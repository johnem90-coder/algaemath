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Control &amp; Outputs" sheetId="1" r:id="rId4"/>
    <sheet state="visible" name="Sections Overview" sheetId="2" r:id="rId5"/>
    <sheet state="visible" name="Sys Volume &amp; Area" sheetId="3" r:id="rId6"/>
    <sheet state="visible" name="Water &amp; Nutrient Calcs" sheetId="4" r:id="rId7"/>
    <sheet state="visible" name="Inputs Overview" sheetId="5" r:id="rId8"/>
    <sheet state="visible" name="Inputs Details" sheetId="6" r:id="rId9"/>
    <sheet state="visible" name="Inoculum Overview" sheetId="7" r:id="rId10"/>
    <sheet state="visible" name="Inoculum Details" sheetId="8" r:id="rId11"/>
    <sheet state="visible" name="Biomass Overview" sheetId="9" r:id="rId12"/>
    <sheet state="visible" name="Biomass Details" sheetId="10" r:id="rId13"/>
    <sheet state="visible" name="Harvesting Overview" sheetId="11" r:id="rId14"/>
    <sheet state="visible" name="Harvesting Details" sheetId="12" r:id="rId15"/>
    <sheet state="visible" name="Drying Overview" sheetId="13" r:id="rId16"/>
    <sheet state="visible" name="Drying Details" sheetId="14" r:id="rId17"/>
  </sheets>
  <definedNames/>
  <calcPr/>
  <extLst>
    <ext uri="GoogleSheetsCustomDataVersion2">
      <go:sheetsCustomData xmlns:go="http://customooxmlschemas.google.com/" r:id="rId18" roundtripDataChecksum="9oyXsYUiiQXPLqPGnMmDUlOWzRVCBQpQt0NRXW+W7VM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2">
      <text>
        <t xml:space="preserve">======
ID#AAAAnuerrnY
Valerie Harmon    (2023-01-22 22:54:00)
These numbers confuse me - shouldn't they be higher than the smaller pond?</t>
      </text>
    </comment>
  </commentList>
  <extLst>
    <ext uri="GoogleSheetsCustomDataVersion2">
      <go:sheetsCustomData xmlns:go="http://customooxmlschemas.google.com/" r:id="rId1" roundtripDataSignature="AMtx7mj6MyvTNc1dyskulkO/F9slMMHhs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6">
      <text>
        <t xml:space="preserve">======
ID#AAAAY9Oi9xM
    (2022-05-03 01:10:35)
Towler 2008
	-John Martin</t>
      </text>
    </comment>
    <comment authorId="0" ref="H39">
      <text>
        <t xml:space="preserve">======
ID#AAAAY9Oi9xE
    (2022-05-03 01:10:35)
made some estimates to determine "flow through" rate and "fill volume" for dissolving nutrients
	-John Martin</t>
      </text>
    </comment>
  </commentList>
  <extLst>
    <ext uri="GoogleSheetsCustomDataVersion2">
      <go:sheetsCustomData xmlns:go="http://customooxmlschemas.google.com/" r:id="rId1" roundtripDataSignature="AMtx7miujJABSbalz7kAypL7CjENG8DIEQ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14">
      <text>
        <t xml:space="preserve">======
ID#AAAAgHcn8g4
John Martin    (2022-09-17 01:05:27)
Calculated for Dome Shaped Lens</t>
      </text>
    </comment>
  </commentList>
  <extLst>
    <ext uri="GoogleSheetsCustomDataVersion2">
      <go:sheetsCustomData xmlns:go="http://customooxmlschemas.google.com/" r:id="rId1" roundtripDataSignature="AMtx7mhD1bz89w9KiFFjdHZkyaiM0XuX5g=="/>
    </ext>
  </extLst>
</comments>
</file>

<file path=xl/sharedStrings.xml><?xml version="1.0" encoding="utf-8"?>
<sst xmlns="http://schemas.openxmlformats.org/spreadsheetml/2006/main" count="1613" uniqueCount="530">
  <si>
    <t>For scaling analysis</t>
  </si>
  <si>
    <t>https://docs.google.com/spreadsheets/d/191RcAXFUTVjO1Yj8pIApGUdlY5XdXoPTQzPs4sHK86U/edit#gid=730945074</t>
  </si>
  <si>
    <t>MAIN INPUTS</t>
  </si>
  <si>
    <t>OUTPUTS</t>
  </si>
  <si>
    <t>Investment Input Variables</t>
  </si>
  <si>
    <t>Value</t>
  </si>
  <si>
    <t>MINIMUM REVENUE &amp; PROFIT NEEDED</t>
  </si>
  <si>
    <t># of Ponds (n)</t>
  </si>
  <si>
    <t>Capacity (tons/yr)</t>
  </si>
  <si>
    <t>Volume (m3)</t>
  </si>
  <si>
    <t>CAPEX ($M)</t>
  </si>
  <si>
    <t>OPEX ($M)</t>
  </si>
  <si>
    <t>Min ASP ($/ton)</t>
  </si>
  <si>
    <t>Revenue ($M/yr)</t>
  </si>
  <si>
    <t>Profit ($M/yr)</t>
  </si>
  <si>
    <t>Net Profit Goal
($/yr)</t>
  </si>
  <si>
    <t>Gross (Pre-Tax) Profit ($/yr)</t>
  </si>
  <si>
    <t>Revenue Required ($/yr)</t>
  </si>
  <si>
    <t>Main System Input Variables</t>
  </si>
  <si>
    <t>Notes</t>
  </si>
  <si>
    <t>Main System Output Variables</t>
  </si>
  <si>
    <t>Low</t>
  </si>
  <si>
    <t>High</t>
  </si>
  <si>
    <t>Desired Output (tons BM/yr)</t>
  </si>
  <si>
    <t>controls overall size of system</t>
  </si>
  <si>
    <t>Total Biomass Produced (tons/yr)</t>
  </si>
  <si>
    <t>Active Time (days/yr)</t>
  </si>
  <si>
    <t>arbitrarily set, seems to be a rough standard</t>
  </si>
  <si>
    <t>Total Land Area Used (acres)</t>
  </si>
  <si>
    <t>Pond Size (acres)</t>
  </si>
  <si>
    <t>arbitrarily set, seems to be a rough standard, 2.5 acres</t>
  </si>
  <si>
    <t>Total Land Area Used (hectares)</t>
  </si>
  <si>
    <t>Minimum Biomass Sale Price ($/ton)</t>
  </si>
  <si>
    <t>Net Profit Margin (%)</t>
  </si>
  <si>
    <t>Pond Depth (m)</t>
  </si>
  <si>
    <t>from computational model, 1.70 is highest productivity</t>
  </si>
  <si>
    <t>System Productivity (g/m2/day)</t>
  </si>
  <si>
    <t>Pond LW Ratio (-)</t>
  </si>
  <si>
    <t>CO2 Fixation (tons/acre/yr)</t>
  </si>
  <si>
    <r>
      <rPr>
        <rFont val="&quot;Proxima Nova&quot;, Arial"/>
        <b/>
        <color rgb="FF000000"/>
        <sz val="10.0"/>
      </rPr>
      <t>Net Profit Goal</t>
    </r>
    <r>
      <rPr>
        <rFont val="&quot;Proxima Nova&quot;, Arial"/>
        <b/>
        <color rgb="FF000000"/>
      </rPr>
      <t xml:space="preserve"> (USD/yr, net profit supports 1.5X capacity &amp; 1yr of OPS every 5yrs)</t>
    </r>
  </si>
  <si>
    <t>Pond Spacing (btwn columns, m)</t>
  </si>
  <si>
    <t>chosen based on equipment need &amp; vehicle movement</t>
  </si>
  <si>
    <t>CO2 Fixation (tons/hectare/yr)</t>
  </si>
  <si>
    <r>
      <rPr>
        <rFont val="&quot;Proxima Nova&quot;, Arial"/>
        <b/>
        <color rgb="FF000000"/>
        <sz val="10.0"/>
      </rPr>
      <t xml:space="preserve">Min Investment Required </t>
    </r>
    <r>
      <rPr>
        <rFont val="&quot;Proxima Nova&quot;, Arial"/>
        <b/>
        <color rgb="FF000000"/>
      </rPr>
      <t>(CAPEX + 2yrs of OPEX)</t>
    </r>
  </si>
  <si>
    <t>Current Spirulina Market ASP ($/ton)</t>
  </si>
  <si>
    <t>Pond Spacing (btwn rows, m)</t>
  </si>
  <si>
    <t>chosen based on need for vehicle movement</t>
  </si>
  <si>
    <t>CO2 Fixation (tons/yr)</t>
  </si>
  <si>
    <r>
      <rPr>
        <rFont val="Proxima Nova"/>
        <b/>
        <color theme="1"/>
        <sz val="10.0"/>
      </rPr>
      <t xml:space="preserve">Max Investment Required </t>
    </r>
    <r>
      <rPr>
        <rFont val="Proxima Nova"/>
        <b/>
        <color theme="1"/>
        <sz val="6.0"/>
      </rPr>
      <t>(CAPEX + 2yrs of OPEX)</t>
    </r>
  </si>
  <si>
    <t>TEA Sale Price Error</t>
  </si>
  <si>
    <t>Unit Lifetime (yrs)</t>
  </si>
  <si>
    <t>arbitrarily set, seems pretty conservative</t>
  </si>
  <si>
    <t>CO2 Fixation (tons/ton biomass)</t>
  </si>
  <si>
    <t># of Ponds</t>
  </si>
  <si>
    <t>Non-technical Input Variables</t>
  </si>
  <si>
    <t>Factor of Biomass Produced</t>
  </si>
  <si>
    <t>Cost ($/year)</t>
  </si>
  <si>
    <t xml:space="preserve">REVENUE &amp; PROFIT CALCULATIONS </t>
  </si>
  <si>
    <t>Growth Input Variables</t>
  </si>
  <si>
    <t xml:space="preserve"> </t>
  </si>
  <si>
    <t>Other System Output Variables</t>
  </si>
  <si>
    <t>MBSP ($/ton)</t>
  </si>
  <si>
    <t>Net Profit ($/yr)</t>
  </si>
  <si>
    <t>Revenue ($/yr)</t>
  </si>
  <si>
    <t>Effective Growth Rate (/day)</t>
  </si>
  <si>
    <t>from computational model, 0.207 is highest productivity</t>
  </si>
  <si>
    <t>Pond Length (m)</t>
  </si>
  <si>
    <t>Quality</t>
  </si>
  <si>
    <t>Density @ Daily Harvest (g/L)</t>
  </si>
  <si>
    <t>from computational model, 0.362 is highest productivity</t>
  </si>
  <si>
    <t>Pond Width (m)</t>
  </si>
  <si>
    <t>Regulatory</t>
  </si>
  <si>
    <t>Pond Surface Area (m2)</t>
  </si>
  <si>
    <t>used only to calculate pond volume</t>
  </si>
  <si>
    <t>Marketing</t>
  </si>
  <si>
    <t>Operation Input Variables</t>
  </si>
  <si>
    <t>Cost</t>
  </si>
  <si>
    <t>Pond Volume (m3)</t>
  </si>
  <si>
    <t>used to calculate # of ponds needed</t>
  </si>
  <si>
    <t>Sales</t>
  </si>
  <si>
    <t>Electricity Power ($/kWh)</t>
  </si>
  <si>
    <t>Hawaii 2022, medium power use business</t>
  </si>
  <si>
    <t>System Volume (m3)</t>
  </si>
  <si>
    <t>Total</t>
  </si>
  <si>
    <t>Natural Gas Power ($/cuft)</t>
  </si>
  <si>
    <t xml:space="preserve">Hawaii 2022/2023 industrial </t>
  </si>
  <si>
    <t>Total Land Area Used (m2)</t>
  </si>
  <si>
    <t>used to calculate system productivity</t>
  </si>
  <si>
    <t>Diesel Power ($/L)</t>
  </si>
  <si>
    <t>May 2022 prices $1.42</t>
  </si>
  <si>
    <t>Evaporation Per day (% of volume)</t>
  </si>
  <si>
    <t>Solar PV Needed (MW)</t>
  </si>
  <si>
    <t>Total Production Cost ($/year)</t>
  </si>
  <si>
    <t>CO2 ($/ton)</t>
  </si>
  <si>
    <t>estimated June 2022 (DAC @ $250/ton)</t>
  </si>
  <si>
    <t>Electricity Used (MWh)</t>
  </si>
  <si>
    <t>Potassium Nitrate ($/ton)</t>
  </si>
  <si>
    <t>rough estimate from two sources (highly volatile)</t>
  </si>
  <si>
    <t>Natural Gas Used (cuft)</t>
  </si>
  <si>
    <t>Diammonium Phosphate ($/ton)</t>
  </si>
  <si>
    <t>Diesel Used (L)</t>
  </si>
  <si>
    <t>Other Micronutrients ($/ton)</t>
  </si>
  <si>
    <t>complete guess this is same cost as other nutrients</t>
  </si>
  <si>
    <t>CO2 Produced from Diesel (tons)</t>
  </si>
  <si>
    <t>Miscellaneous Variables for Assessing Scenarios</t>
  </si>
  <si>
    <t>Water ($/m3)</t>
  </si>
  <si>
    <t>CO2 Used (tons)</t>
  </si>
  <si>
    <t>Section</t>
  </si>
  <si>
    <t>CAPEX Factor</t>
  </si>
  <si>
    <t>OPEX Factor</t>
  </si>
  <si>
    <t>Labor Cost ($/hr)</t>
  </si>
  <si>
    <t>salary of $70k/yr</t>
  </si>
  <si>
    <t>Potassuim Nitrate Used (tons)</t>
  </si>
  <si>
    <t>Inputs Section</t>
  </si>
  <si>
    <t>Diammonium Phosphate Used (tons)</t>
  </si>
  <si>
    <t>Biomass Section</t>
  </si>
  <si>
    <t>Algae Composition Input Variables</t>
  </si>
  <si>
    <t>Water Used (m3)</t>
  </si>
  <si>
    <t>Inoculum Section</t>
  </si>
  <si>
    <r>
      <rPr>
        <rFont val="Proxima Nova"/>
        <b/>
        <color theme="1"/>
      </rPr>
      <t xml:space="preserve">Element </t>
    </r>
    <r>
      <rPr>
        <rFont val="Proxima Nova"/>
        <b/>
        <color theme="1"/>
        <sz val="8.0"/>
      </rPr>
      <t>(Source)</t>
    </r>
  </si>
  <si>
    <t>% of Biomass</t>
  </si>
  <si>
    <t>Operations Managers</t>
  </si>
  <si>
    <t>Harvesting Section</t>
  </si>
  <si>
    <r>
      <rPr>
        <rFont val="Proxima Nova"/>
        <color rgb="FFFF0000"/>
      </rPr>
      <t xml:space="preserve">Carbon </t>
    </r>
    <r>
      <rPr>
        <rFont val="Proxima Nova"/>
        <color rgb="FFFF0000"/>
        <sz val="8.0"/>
      </rPr>
      <t>(CO2)</t>
    </r>
  </si>
  <si>
    <t>did not record source, should evaluate more thoroughly</t>
  </si>
  <si>
    <t>Equipment Engineers</t>
  </si>
  <si>
    <t>Drying Section</t>
  </si>
  <si>
    <r>
      <rPr>
        <rFont val="Proxima Nova"/>
        <color rgb="FFFF0000"/>
      </rPr>
      <t xml:space="preserve">Nitrogen </t>
    </r>
    <r>
      <rPr>
        <rFont val="Proxima Nova"/>
        <color rgb="FFFF0000"/>
        <sz val="8.0"/>
      </rPr>
      <t>[(NH4)(NO3)]</t>
    </r>
  </si>
  <si>
    <t>Maintenance Supervisors</t>
  </si>
  <si>
    <t>Totals</t>
  </si>
  <si>
    <r>
      <rPr>
        <rFont val="Proxima Nova"/>
        <color rgb="FFFF0000"/>
      </rPr>
      <t xml:space="preserve">Phosporus </t>
    </r>
    <r>
      <rPr>
        <rFont val="Proxima Nova"/>
        <color rgb="FFFF0000"/>
        <sz val="8.0"/>
      </rPr>
      <t>[(NH3)2(HPO4)]</t>
    </r>
  </si>
  <si>
    <t>Administrators</t>
  </si>
  <si>
    <t>Harvesting &amp; Drying</t>
  </si>
  <si>
    <t>Other Micronutrients</t>
  </si>
  <si>
    <t>currently just a guess</t>
  </si>
  <si>
    <t>Operators (low)</t>
  </si>
  <si>
    <t>Operators (high)</t>
  </si>
  <si>
    <t>Tax Input Variables</t>
  </si>
  <si>
    <t>Federal Tax Rate</t>
  </si>
  <si>
    <t>2023 US</t>
  </si>
  <si>
    <t>System Cost Outputs</t>
  </si>
  <si>
    <t>State Tax Rate</t>
  </si>
  <si>
    <t>2023 Hawaii</t>
  </si>
  <si>
    <t>Capital Cost ($)</t>
  </si>
  <si>
    <t>Operation Cost ($/year)</t>
  </si>
  <si>
    <t>Unit Economic Outputs</t>
  </si>
  <si>
    <t>Net Profit ($/ton)</t>
  </si>
  <si>
    <t>Capital Cost ($/ton capacity)</t>
  </si>
  <si>
    <t>Operation Cost ($/ton)</t>
  </si>
  <si>
    <t>USD to AUD Conversion</t>
  </si>
  <si>
    <t>Contribution to MBSP ($/ton)</t>
  </si>
  <si>
    <t xml:space="preserve">Capital </t>
  </si>
  <si>
    <t>Operations</t>
  </si>
  <si>
    <t>Contribution to MBSP (%)</t>
  </si>
  <si>
    <t>Expense Category</t>
  </si>
  <si>
    <t>Production</t>
  </si>
  <si>
    <t>CAPEX</t>
  </si>
  <si>
    <t>OPEX</t>
  </si>
  <si>
    <t>Quality, Regulatory, Sales, Marketing</t>
  </si>
  <si>
    <t>Investment/Loan</t>
  </si>
  <si>
    <t>Goal ROI</t>
  </si>
  <si>
    <t>Total Spent by Purchasing Company by Year</t>
  </si>
  <si>
    <t>Total Purchasing Company Would Have Spent to Run Operations</t>
  </si>
  <si>
    <t>Total Saved by Purchasing Company if Ran Operations Themselves vs Bought from Us</t>
  </si>
  <si>
    <t>Facility Sell Price to Hit Goal Return on Investment</t>
  </si>
  <si>
    <t>Does it Make Sense to Sell The Facility?</t>
  </si>
  <si>
    <t>Costs</t>
  </si>
  <si>
    <t>Sections</t>
  </si>
  <si>
    <t>Total System</t>
  </si>
  <si>
    <t>Inputs</t>
  </si>
  <si>
    <t>Biomass</t>
  </si>
  <si>
    <t>Inoculum</t>
  </si>
  <si>
    <t>Harvesting</t>
  </si>
  <si>
    <t>Drying</t>
  </si>
  <si>
    <t>Capital Costs</t>
  </si>
  <si>
    <t>Equipment Purchase</t>
  </si>
  <si>
    <t>Installation, Engr, &amp; Other</t>
  </si>
  <si>
    <t>Land</t>
  </si>
  <si>
    <t>Operation Costs</t>
  </si>
  <si>
    <t>Materials / Inputs</t>
  </si>
  <si>
    <t>Energy</t>
  </si>
  <si>
    <t>Maintenance</t>
  </si>
  <si>
    <t>Labor</t>
  </si>
  <si>
    <t>CAPEX &amp; OPEX Percentages Breakdown</t>
  </si>
  <si>
    <t>Individual Costs Percentages Breakdown</t>
  </si>
  <si>
    <t>GROWTH SYSTEM VOLUME &amp; LAND</t>
  </si>
  <si>
    <t>INOCULUM SYSTEM VOLUME &amp; LAND</t>
  </si>
  <si>
    <t>General/Reference Dimensions for a Single Large Pond</t>
  </si>
  <si>
    <t xml:space="preserve">Inoculum Scaling Factor </t>
  </si>
  <si>
    <t>Time to Inocuate Large Ponds (wks)</t>
  </si>
  <si>
    <t># of In. Ponds</t>
  </si>
  <si>
    <t>Size (acres)</t>
  </si>
  <si>
    <t>L:W Ratio</t>
  </si>
  <si>
    <t>Width (m)</t>
  </si>
  <si>
    <t>Length (m)</t>
  </si>
  <si>
    <t>Depth (m)</t>
  </si>
  <si>
    <t>SA (m2)</t>
  </si>
  <si>
    <t>Col Space (m)</t>
  </si>
  <si>
    <t>Row Space (m)</t>
  </si>
  <si>
    <t>Determining Total Volume of Large Ponds</t>
  </si>
  <si>
    <t>General/Reference Dimensions for a Single Inoculum Pond As</t>
  </si>
  <si>
    <t>Run Time (days/yr)</t>
  </si>
  <si>
    <t>BM Output (tons/yr)</t>
  </si>
  <si>
    <t>Steady-state Density (g/L)</t>
  </si>
  <si>
    <t>Growth Rate (/day)</t>
  </si>
  <si>
    <t>Biomass Production Rate</t>
  </si>
  <si>
    <t>Required Large Pond Volume</t>
  </si>
  <si>
    <t># of Columns</t>
  </si>
  <si>
    <t># of Rows</t>
  </si>
  <si>
    <t>Land (acres)</t>
  </si>
  <si>
    <t>Land (m2)</t>
  </si>
  <si>
    <t>g/L/day</t>
  </si>
  <si>
    <t>g/L/yr</t>
  </si>
  <si>
    <t>L</t>
  </si>
  <si>
    <t>m3</t>
  </si>
  <si>
    <t>General/Reference Dimensions for a Single Inoculum Pond Bs</t>
  </si>
  <si>
    <t>Determining Number of Large Ponds</t>
  </si>
  <si>
    <t># of Large Ponds Required</t>
  </si>
  <si>
    <t>Number of Columns (n)</t>
  </si>
  <si>
    <t>Number of Rows (n)</t>
  </si>
  <si>
    <t>Final Number of Ponds</t>
  </si>
  <si>
    <t>General/Reference Dimensions for a Single Inoculum Pond Cs</t>
  </si>
  <si>
    <t>chosen randomly so the number of columns is closest to a whole number</t>
  </si>
  <si>
    <t>number of rows and columns not used</t>
  </si>
  <si>
    <t>Final Large Pond Info (Biomass Section)</t>
  </si>
  <si>
    <t>System Volume</t>
  </si>
  <si>
    <t>Land Required (acres)</t>
  </si>
  <si>
    <t>Land Required (m2)</t>
  </si>
  <si>
    <t>Determining Total Volume &amp; Size of Inoculum Pond As</t>
  </si>
  <si>
    <t>Large Pond Inoculation Density (g/L)</t>
  </si>
  <si>
    <t>Amount of Pond As to Drain</t>
  </si>
  <si>
    <t>Determining Total Volume &amp; Size of Inoculum Pond Bs</t>
  </si>
  <si>
    <t>Calculating Total Large Pond Liner Required</t>
  </si>
  <si>
    <t>In. Pond As Inoculation Density (g/L)</t>
  </si>
  <si>
    <t>Amount of Pond Bs to Drain</t>
  </si>
  <si>
    <t>Bottom Surface Area of Each Pond (m2)</t>
  </si>
  <si>
    <t>Flat Side Area of Each Pond (m2)</t>
  </si>
  <si>
    <t>Round Side Area of Each Pond (m2)</t>
  </si>
  <si>
    <t>Total Surface Area of Each Pond (m2)</t>
  </si>
  <si>
    <t>Determining Total Volume &amp; Size of Inoculum Pond Cs</t>
  </si>
  <si>
    <t>Total Surface Area of All Ponds (m2)</t>
  </si>
  <si>
    <t>In. Pond Bs Inoculation Density (g/L)</t>
  </si>
  <si>
    <t>Amount of Pond Cs to Drain</t>
  </si>
  <si>
    <t>Calculating Total Pond As Liner Required</t>
  </si>
  <si>
    <t>Calculating Total Pond Bs Liner Required</t>
  </si>
  <si>
    <t>Calculating Total Pond Cs Liner Required</t>
  </si>
  <si>
    <t>Calculating Water Demand</t>
  </si>
  <si>
    <t>Base transfer rate is determined by growth of ponds (daily transfer to harvesting), harvesting efficiency, and evaporation.</t>
  </si>
  <si>
    <t>Pond Size</t>
  </si>
  <si>
    <t>Total Volume (m3)</t>
  </si>
  <si>
    <t>Total Area (m2)</t>
  </si>
  <si>
    <t>Transfer to Harvesting (m3/day)</t>
  </si>
  <si>
    <t>Harvesting Efficiency</t>
  </si>
  <si>
    <t>Slurry Volume (m3/day)</t>
  </si>
  <si>
    <t>Evap Expected (mm/day)</t>
  </si>
  <si>
    <t>Evap Volume (m3/day)</t>
  </si>
  <si>
    <t>Water Used (m3/day)</t>
  </si>
  <si>
    <t>Large Ponds</t>
  </si>
  <si>
    <t>Calculating Nutrient Demand</t>
  </si>
  <si>
    <t xml:space="preserve">Nutrient demand is assumed to be directly correlated with growth rate and estimated based on biomass composition of the source elements (with efficiency &amp; buffers accounted for).. </t>
  </si>
  <si>
    <t xml:space="preserve">Element </t>
  </si>
  <si>
    <t>Atomic Weight (g/mol)</t>
  </si>
  <si>
    <t>Source Molecule</t>
  </si>
  <si>
    <t>Molecular Formula</t>
  </si>
  <si>
    <t>Molecular Weight (g/mol)</t>
  </si>
  <si>
    <t>Element % of Biomass</t>
  </si>
  <si>
    <t>System Uptake Efficiency</t>
  </si>
  <si>
    <t>Molecule Demand (g/g BM)</t>
  </si>
  <si>
    <t>Source Molecule Consumption (tons/day)</t>
  </si>
  <si>
    <t>Nutrient Buffer</t>
  </si>
  <si>
    <t>Nutrients Used (tons/day)</t>
  </si>
  <si>
    <t>Nutrients Used (tons/yr)</t>
  </si>
  <si>
    <t>Nutrients Used (kg/day)</t>
  </si>
  <si>
    <t>Nutrients Used (kg/yr)</t>
  </si>
  <si>
    <t>Carbon</t>
  </si>
  <si>
    <t xml:space="preserve">Carbon Dioxide </t>
  </si>
  <si>
    <t>(CO2)</t>
  </si>
  <si>
    <t>Nitrogen</t>
  </si>
  <si>
    <t>Potassium Nitrate</t>
  </si>
  <si>
    <t>(K)(NO3)</t>
  </si>
  <si>
    <t>Phosphorus</t>
  </si>
  <si>
    <t>Diammonium Phosphate</t>
  </si>
  <si>
    <t>(NH4)2(PO4)</t>
  </si>
  <si>
    <t>Carbon Sequestration</t>
  </si>
  <si>
    <t>tons C per year</t>
  </si>
  <si>
    <t>tons CO2 per year</t>
  </si>
  <si>
    <t>tons C per acre/yr</t>
  </si>
  <si>
    <t>tons CO2 per acre/yr</t>
  </si>
  <si>
    <t>CAPITAL COSTS</t>
  </si>
  <si>
    <t>Equipment Direct Purchase Costs</t>
  </si>
  <si>
    <t>Equipment Total Capital Costs</t>
  </si>
  <si>
    <t>Eq #</t>
  </si>
  <si>
    <t>Name</t>
  </si>
  <si>
    <t>Cost ($/pc)</t>
  </si>
  <si>
    <t>Pcs/Pond</t>
  </si>
  <si>
    <t>Total Pcs</t>
  </si>
  <si>
    <t>Total Cost ($)</t>
  </si>
  <si>
    <t>% of Total</t>
  </si>
  <si>
    <t>Categories</t>
  </si>
  <si>
    <t>Multipliers</t>
  </si>
  <si>
    <t>Tank 1</t>
  </si>
  <si>
    <t>Avg</t>
  </si>
  <si>
    <t>Pump 1</t>
  </si>
  <si>
    <t>Total Section Direct Cost</t>
  </si>
  <si>
    <t>-</t>
  </si>
  <si>
    <t>Filter 1</t>
  </si>
  <si>
    <t>Eq. Purchase Cost</t>
  </si>
  <si>
    <t>Tank 2s</t>
  </si>
  <si>
    <t>Installation</t>
  </si>
  <si>
    <t>Pump 2s</t>
  </si>
  <si>
    <t>Process Piping</t>
  </si>
  <si>
    <t>Hopper 1s</t>
  </si>
  <si>
    <t>Instrumentation</t>
  </si>
  <si>
    <t>Hopper 2s</t>
  </si>
  <si>
    <t>Insulation</t>
  </si>
  <si>
    <t>Hopper 3s</t>
  </si>
  <si>
    <t>Electrical</t>
  </si>
  <si>
    <t>Mix Tank 1s</t>
  </si>
  <si>
    <t>Buildings</t>
  </si>
  <si>
    <t>CO2 Tanks</t>
  </si>
  <si>
    <t>Yard Improvement</t>
  </si>
  <si>
    <t>Auxillary Facilities</t>
  </si>
  <si>
    <t>Total Cost</t>
  </si>
  <si>
    <t>Total Section Indirect Cost</t>
  </si>
  <si>
    <t>Engineering</t>
  </si>
  <si>
    <t>Construction</t>
  </si>
  <si>
    <t>Other</t>
  </si>
  <si>
    <t>Contractor's Fee</t>
  </si>
  <si>
    <t>Contingency</t>
  </si>
  <si>
    <t>Total Installation Cost</t>
  </si>
  <si>
    <t>Calculating the Cost of Land</t>
  </si>
  <si>
    <t>System</t>
  </si>
  <si>
    <t>Acres</t>
  </si>
  <si>
    <t>just a guess, assuming most of this is included in the biomass section</t>
  </si>
  <si>
    <t>Location</t>
  </si>
  <si>
    <t>Land Type</t>
  </si>
  <si>
    <t>Cost ($/acre)</t>
  </si>
  <si>
    <t>California</t>
  </si>
  <si>
    <t>Pasture</t>
  </si>
  <si>
    <t>Arizona</t>
  </si>
  <si>
    <t>Farm</t>
  </si>
  <si>
    <t>pasture info not available</t>
  </si>
  <si>
    <t>New Mexico</t>
  </si>
  <si>
    <t>Texas</t>
  </si>
  <si>
    <t>Min Total</t>
  </si>
  <si>
    <t>Max Total</t>
  </si>
  <si>
    <t>OPERATIONAL COSTS</t>
  </si>
  <si>
    <t>Materials/Inputs Costs</t>
  </si>
  <si>
    <t>Labor Expenditure</t>
  </si>
  <si>
    <t>currently best guess - not based references</t>
  </si>
  <si>
    <t>Mat #</t>
  </si>
  <si>
    <t>Cost ($/unit)</t>
  </si>
  <si>
    <t>Units (#/yr)</t>
  </si>
  <si>
    <t>Cost ($/yr)</t>
  </si>
  <si>
    <t># Needed</t>
  </si>
  <si>
    <t>Salary</t>
  </si>
  <si>
    <t>Wages ($/yr)</t>
  </si>
  <si>
    <t>Water</t>
  </si>
  <si>
    <t>Inputs Ops Managers</t>
  </si>
  <si>
    <t>CO2</t>
  </si>
  <si>
    <t>Inputs Eq Engineers</t>
  </si>
  <si>
    <t>Ammonium Nitrate</t>
  </si>
  <si>
    <t>Inputs Maint Supervisors</t>
  </si>
  <si>
    <t>calculated @ $20/hr</t>
  </si>
  <si>
    <t>just a guess right now</t>
  </si>
  <si>
    <t>Total Labor</t>
  </si>
  <si>
    <t>High Estimate</t>
  </si>
  <si>
    <t>Energy Costs</t>
  </si>
  <si>
    <t>Energy Unit</t>
  </si>
  <si>
    <t>L diesel</t>
  </si>
  <si>
    <t>kWh</t>
  </si>
  <si>
    <t>CO2 Storage</t>
  </si>
  <si>
    <t>CO2 Piping</t>
  </si>
  <si>
    <t>Electricity Used (kWh)</t>
  </si>
  <si>
    <t>Maintenance Costs</t>
  </si>
  <si>
    <t>Rate of Wear</t>
  </si>
  <si>
    <t>Multiplier (%)</t>
  </si>
  <si>
    <t>Medium</t>
  </si>
  <si>
    <t>Pump 3s</t>
  </si>
  <si>
    <t>For Pumps</t>
  </si>
  <si>
    <t>Efficiencies</t>
  </si>
  <si>
    <t>EQUIPMENT DETAILS</t>
  </si>
  <si>
    <t xml:space="preserve">Pump </t>
  </si>
  <si>
    <t>Drive Train</t>
  </si>
  <si>
    <t xml:space="preserve">Motor </t>
  </si>
  <si>
    <t>MJ per kWh</t>
  </si>
  <si>
    <t>MJ per L diesel</t>
  </si>
  <si>
    <r>
      <rPr>
        <rFont val="Arial"/>
        <b/>
        <color rgb="FF674EA7"/>
      </rPr>
      <t xml:space="preserve">Tank 1 </t>
    </r>
    <r>
      <rPr>
        <rFont val="Arial"/>
        <b val="0"/>
        <color rgb="FF674EA7"/>
      </rPr>
      <t>(holds unfiltered agricultural water, backs up for entire system)</t>
    </r>
  </si>
  <si>
    <t>Buffer Stock (days)</t>
  </si>
  <si>
    <t>Available Capacity (m3)</t>
  </si>
  <si>
    <t>Type</t>
  </si>
  <si>
    <t>Cost 2006</t>
  </si>
  <si>
    <t>Cost 2022</t>
  </si>
  <si>
    <t>Required Capacity (m3)</t>
  </si>
  <si>
    <t>Units Required</t>
  </si>
  <si>
    <t>Total Purchase Cost</t>
  </si>
  <si>
    <t>Power Rating (kW)</t>
  </si>
  <si>
    <t>Run Time (hrs/yr)</t>
  </si>
  <si>
    <t>Electricity Use (kWh/yr)</t>
  </si>
  <si>
    <t>Base Operation Cost ($/yr)</t>
  </si>
  <si>
    <t>Cone Roof</t>
  </si>
  <si>
    <r>
      <rPr>
        <rFont val="Arial"/>
        <b/>
        <color rgb="FF674EA7"/>
      </rPr>
      <t xml:space="preserve">Pump 1 </t>
    </r>
    <r>
      <rPr>
        <rFont val="Arial"/>
        <b val="0"/>
        <color rgb="FF674EA7"/>
      </rPr>
      <t>(every day transfers 1 day of water from Tank 1s, through Filter 1)</t>
    </r>
  </si>
  <si>
    <t>Run Time (hrs/day)</t>
  </si>
  <si>
    <t>Available Flow Rating (L/s)</t>
  </si>
  <si>
    <t>Required Flow Rating (L/s)</t>
  </si>
  <si>
    <t>Diesel Fuel Use (L/yr)</t>
  </si>
  <si>
    <t>Vortex Impeller</t>
  </si>
  <si>
    <r>
      <rPr>
        <rFont val="Arial"/>
        <b/>
        <color rgb="FF674EA7"/>
      </rPr>
      <t xml:space="preserve">Filter 1 </t>
    </r>
    <r>
      <rPr>
        <rFont val="Arial"/>
        <b val="0"/>
        <color rgb="FF674EA7"/>
      </rPr>
      <t>(purifies water for use in the entire system)</t>
    </r>
  </si>
  <si>
    <t>Available Flow Rating (GPD)</t>
  </si>
  <si>
    <t>Required Flow Rating (GPD)</t>
  </si>
  <si>
    <t>Ultrafiltration</t>
  </si>
  <si>
    <r>
      <rPr>
        <rFont val="Arial"/>
        <b/>
        <color rgb="FF674EA7"/>
      </rPr>
      <t xml:space="preserve">Tank 2s </t>
    </r>
    <r>
      <rPr>
        <rFont val="Arial"/>
        <b val="0"/>
        <color rgb="FF674EA7"/>
      </rPr>
      <t>(holds filtered water, each backs up one row of ponds)</t>
    </r>
  </si>
  <si>
    <r>
      <rPr>
        <rFont val="Arial"/>
        <b/>
        <color rgb="FF674EA7"/>
      </rPr>
      <t xml:space="preserve">Pump 2s </t>
    </r>
    <r>
      <rPr>
        <rFont val="Arial"/>
        <b val="0"/>
        <color rgb="FF674EA7"/>
      </rPr>
      <t>(transfers water from Tank 2s to Mix Tank 1s, where nutrients are dissolved)</t>
    </r>
  </si>
  <si>
    <r>
      <rPr>
        <rFont val="Arial"/>
        <b/>
        <color rgb="FF674EA7"/>
      </rPr>
      <t xml:space="preserve">Hopper 1s </t>
    </r>
    <r>
      <rPr>
        <rFont val="Arial"/>
        <b val="0"/>
        <color rgb="FF674EA7"/>
      </rPr>
      <t>(holds powdered (K)(NO3), 1 hopper for every 2 ponds)</t>
    </r>
  </si>
  <si>
    <t>Density (tons/m3)</t>
  </si>
  <si>
    <t>Available Capacity (gal)</t>
  </si>
  <si>
    <t>Required Capacity (gal)</t>
  </si>
  <si>
    <r>
      <rPr>
        <rFont val="Arial"/>
        <b/>
        <color rgb="FF674EA7"/>
      </rPr>
      <t xml:space="preserve">Hopper 2s </t>
    </r>
    <r>
      <rPr>
        <rFont val="Arial"/>
        <b val="0"/>
        <color rgb="FF674EA7"/>
      </rPr>
      <t>(holds powdered (NH4)2(PO4), 1 hopper for every 2 ponds)</t>
    </r>
  </si>
  <si>
    <r>
      <rPr>
        <rFont val="Arial"/>
        <b/>
        <color rgb="FF674EA7"/>
      </rPr>
      <t xml:space="preserve">Hopper 3s </t>
    </r>
    <r>
      <rPr>
        <rFont val="Arial"/>
        <b val="0"/>
        <color rgb="FF674EA7"/>
      </rPr>
      <t>(holds other micronutrients, 1 hopper for every 2 ponds)</t>
    </r>
  </si>
  <si>
    <r>
      <rPr>
        <rFont val="Arial"/>
        <b/>
        <color rgb="FF674EA7"/>
      </rPr>
      <t xml:space="preserve">Mix Tank 1s </t>
    </r>
    <r>
      <rPr>
        <rFont val="Arial"/>
        <b val="0"/>
        <color rgb="FF674EA7"/>
      </rPr>
      <t>(used to dissolve nutrients in water, 1 tank for every 2 ponds)</t>
    </r>
  </si>
  <si>
    <t>Tank Cost</t>
  </si>
  <si>
    <t>Propeller Cost</t>
  </si>
  <si>
    <t>Cone + Prop</t>
  </si>
  <si>
    <r>
      <rPr>
        <rFont val="Arial"/>
        <b/>
        <color rgb="FF674EA7"/>
      </rPr>
      <t xml:space="preserve">CO2 Tanks </t>
    </r>
    <r>
      <rPr>
        <rFont val="Arial"/>
        <b val="0"/>
        <color rgb="FF674EA7"/>
      </rPr>
      <t>(used to hold liquid CO2)</t>
    </r>
  </si>
  <si>
    <t>Cost ($/pond)</t>
  </si>
  <si>
    <t>Pond As</t>
  </si>
  <si>
    <t>Pond Bs</t>
  </si>
  <si>
    <t>Pond Cs</t>
  </si>
  <si>
    <t>Ponds</t>
  </si>
  <si>
    <t>Total Acres</t>
  </si>
  <si>
    <r>
      <rPr>
        <rFont val="Arial"/>
        <b/>
        <color theme="1"/>
      </rPr>
      <t xml:space="preserve">Cost </t>
    </r>
    <r>
      <rPr>
        <rFont val="Arial"/>
        <b/>
        <color theme="1"/>
        <sz val="8.0"/>
      </rPr>
      <t>($/rplcmnt)</t>
    </r>
  </si>
  <si>
    <t>Lifetime (yrs)</t>
  </si>
  <si>
    <t>Inoc. Ops Managers</t>
  </si>
  <si>
    <t>Inoc. Eq Engineers</t>
  </si>
  <si>
    <t>Inoc. Maint Supervisors</t>
  </si>
  <si>
    <t>assumes 1 per 10 acres</t>
  </si>
  <si>
    <t>assumes 1 per 5 acres</t>
  </si>
  <si>
    <t>From 2011 NREL Algae Farm Model_Open Ponds_TEA Tool_v1</t>
  </si>
  <si>
    <t>Estimates for this model</t>
  </si>
  <si>
    <t>Liner Option</t>
  </si>
  <si>
    <t>Cost per 5000 acres (2011)</t>
  </si>
  <si>
    <t>Cost per Acre ($2011)</t>
  </si>
  <si>
    <t>Number of Ponds</t>
  </si>
  <si>
    <t>Cost per Pond ($2011)</t>
  </si>
  <si>
    <t>Cost per Pond ($2022)</t>
  </si>
  <si>
    <t>Pond Cost ($)</t>
  </si>
  <si>
    <t>Minimal</t>
  </si>
  <si>
    <t>Full</t>
  </si>
  <si>
    <t>Inoculum Pond As</t>
  </si>
  <si>
    <t>Inoculum Pond Bs</t>
  </si>
  <si>
    <t>Inoculum Pond Cs</t>
  </si>
  <si>
    <t>TOTAL</t>
  </si>
  <si>
    <t>estimates are for fully installed costs</t>
  </si>
  <si>
    <t>Paddlewheel Energy (kWh/ha/day)</t>
  </si>
  <si>
    <t>Paddlewheel Energy (kWh/acre/day)</t>
  </si>
  <si>
    <t>Paddlewheel Energy (kWh/pond/yr)</t>
  </si>
  <si>
    <t>Total Cost ($/yr)</t>
  </si>
  <si>
    <t>Single Pond CAPEX ($)</t>
  </si>
  <si>
    <r>
      <rPr>
        <rFont val="Arial"/>
        <b/>
        <color theme="1"/>
      </rPr>
      <t xml:space="preserve">Cost </t>
    </r>
    <r>
      <rPr>
        <rFont val="Arial"/>
        <b/>
        <color theme="1"/>
        <sz val="8.0"/>
      </rPr>
      <t>($/rplcmnt)</t>
    </r>
  </si>
  <si>
    <t>Pond Ops Managers</t>
  </si>
  <si>
    <t>Pond Eq Engineers</t>
  </si>
  <si>
    <t>Pond Maint Supervisors</t>
  </si>
  <si>
    <t>Single Pond OPEX ($/yr)</t>
  </si>
  <si>
    <t># of Pieces</t>
  </si>
  <si>
    <t>Filter 2s</t>
  </si>
  <si>
    <t>Filter 3s</t>
  </si>
  <si>
    <t>Filter 4s</t>
  </si>
  <si>
    <t>Tank 3s</t>
  </si>
  <si>
    <t>Pump 4s</t>
  </si>
  <si>
    <t>guessing 1 acre per harvesting system</t>
  </si>
  <si>
    <t># of Units</t>
  </si>
  <si>
    <t>Harvesting Ops Managers</t>
  </si>
  <si>
    <t>Harvesting Eq Engineers</t>
  </si>
  <si>
    <t>Harvesting Maint Supervisors</t>
  </si>
  <si>
    <t>Moderate</t>
  </si>
  <si>
    <t># of Ponds per Harvest System</t>
  </si>
  <si>
    <t>Filter 3 Efficiency</t>
  </si>
  <si>
    <t># of Harvest Systems</t>
  </si>
  <si>
    <t>Outlet Flow for All Filter 3 Systems (m3/hr)</t>
  </si>
  <si>
    <t>Time to Harvest (hrs)</t>
  </si>
  <si>
    <t>Filter 4 Efficiency</t>
  </si>
  <si>
    <t>Inlet Flow per Harvest System (m3/day)</t>
  </si>
  <si>
    <t>Outlet Flow for All Filter 4 Systems (m3/hr)</t>
  </si>
  <si>
    <t>Inlet Flow per Harvest System (m3/hr)</t>
  </si>
  <si>
    <r>
      <rPr>
        <rFont val="Arial"/>
        <b/>
        <color rgb="FFA64D79"/>
      </rPr>
      <t xml:space="preserve">Pump 3s </t>
    </r>
    <r>
      <rPr>
        <rFont val="Arial"/>
        <b val="0"/>
        <color rgb="FFA64D79"/>
      </rPr>
      <t>(every day transfers biomass from Ponds to Filter 2s)</t>
    </r>
  </si>
  <si>
    <t>Twin Impeller</t>
  </si>
  <si>
    <r>
      <rPr>
        <rFont val="Arial"/>
        <b/>
        <color rgb="FFA64D79"/>
      </rPr>
      <t xml:space="preserve">Filter 2s </t>
    </r>
    <r>
      <rPr>
        <rFont val="Arial"/>
        <b val="0"/>
        <color rgb="FFA64D79"/>
      </rPr>
      <t>(slant screen, filters biomass out of solution)</t>
    </r>
  </si>
  <si>
    <t>Available Flow Rating (m3/hr)</t>
  </si>
  <si>
    <t>Required Flow Rating (m3/hr)</t>
  </si>
  <si>
    <t>Slant Screen</t>
  </si>
  <si>
    <r>
      <rPr>
        <rFont val="Arial"/>
        <b/>
        <color rgb="FFA64D79"/>
      </rPr>
      <t xml:space="preserve">Filter 3s </t>
    </r>
    <r>
      <rPr>
        <rFont val="Arial"/>
        <b val="0"/>
        <color rgb="FFA64D79"/>
      </rPr>
      <t>(breaks up filtered biomass chunks before transfer to Filter 4s for washing)</t>
    </r>
  </si>
  <si>
    <t>Shaker Screen</t>
  </si>
  <si>
    <r>
      <rPr>
        <rFont val="Arial"/>
        <b/>
        <color rgb="FFA64D79"/>
      </rPr>
      <t xml:space="preserve">Filter 4s </t>
    </r>
    <r>
      <rPr>
        <rFont val="Arial"/>
        <b val="0"/>
        <color rgb="FFA64D79"/>
      </rPr>
      <t>(washes the biomass to remove salts and reduce ash content)</t>
    </r>
  </si>
  <si>
    <t>Vacuum Belt</t>
  </si>
  <si>
    <r>
      <rPr>
        <rFont val="Arial"/>
        <b/>
        <color rgb="FFA64D79"/>
      </rPr>
      <t xml:space="preserve">Tank 3s </t>
    </r>
    <r>
      <rPr>
        <rFont val="Arial"/>
        <b val="0"/>
        <color rgb="FFA64D79"/>
      </rPr>
      <t>(holds water filtered out of the culture before returning to ponds)</t>
    </r>
  </si>
  <si>
    <r>
      <rPr>
        <rFont val="Arial"/>
        <b/>
        <color rgb="FFA64D79"/>
      </rPr>
      <t xml:space="preserve">Pump 4s </t>
    </r>
    <r>
      <rPr>
        <rFont val="Arial"/>
        <b val="0"/>
        <color rgb="FFA64D79"/>
      </rPr>
      <t>(transfers water from Tank 3s back to ponds)</t>
    </r>
  </si>
  <si>
    <t>Pump 5</t>
  </si>
  <si>
    <t>Dryer 1</t>
  </si>
  <si>
    <t>Silo 1</t>
  </si>
  <si>
    <t>guessing 1 acre per drying system</t>
  </si>
  <si>
    <t>Drying Ops Managers</t>
  </si>
  <si>
    <t>Drying Eq Engineers</t>
  </si>
  <si>
    <t>Drying Maint Supervisors</t>
  </si>
  <si>
    <t>MJ</t>
  </si>
  <si>
    <t>-%</t>
  </si>
  <si>
    <t>Inlet Flow for Entire System (m3/hr)</t>
  </si>
  <si>
    <t>Water Content of Inlet Slurry</t>
  </si>
  <si>
    <t># of Drying Systems</t>
  </si>
  <si>
    <t>Water Content of Final Product</t>
  </si>
  <si>
    <t>Inlet Flow for Each Dyring System (m3/hr)</t>
  </si>
  <si>
    <t>Total Evaporation Required (kg/hr)</t>
  </si>
  <si>
    <t>sludge pump</t>
  </si>
  <si>
    <t>https://www.alibaba.com/product-detail/Sludge-Pump-Sludge-Pump-26m3-h_1600227084482.html?spm=a2700.galleryofferlist.normal_offer.d_title.6276f3a67QU3t5&amp;s=p</t>
  </si>
  <si>
    <r>
      <rPr>
        <rFont val="Arial"/>
        <b/>
        <color rgb="FFE69138"/>
      </rPr>
      <t xml:space="preserve">Pump 5s </t>
    </r>
    <r>
      <rPr>
        <rFont val="Arial"/>
        <b val="0"/>
        <color rgb="FFE69138"/>
      </rPr>
      <t>(transfers algae slurry/cake from Filter 4s to Dryer 1s)</t>
    </r>
  </si>
  <si>
    <t>Sludge Pump</t>
  </si>
  <si>
    <r>
      <rPr>
        <rFont val="Arial"/>
        <b/>
        <color rgb="FFE69138"/>
      </rPr>
      <t xml:space="preserve">Dryer 1s </t>
    </r>
    <r>
      <rPr>
        <rFont val="Arial"/>
        <b val="0"/>
        <color rgb="FFE69138"/>
      </rPr>
      <t>(evaporates excess water from algae slurry/cake)</t>
    </r>
  </si>
  <si>
    <t>Evap Rate (kg/hr)</t>
  </si>
  <si>
    <t>Cost 2020</t>
  </si>
  <si>
    <t>Heat Required (MJ/ton)</t>
  </si>
  <si>
    <t>Efficiency (%)</t>
  </si>
  <si>
    <t>Total Heat Required (MJ/hr)</t>
  </si>
  <si>
    <t>Natural Gas Use (cuft/yr)</t>
  </si>
  <si>
    <t>Spray</t>
  </si>
  <si>
    <r>
      <rPr>
        <rFont val="Arial"/>
        <b/>
        <color rgb="FFE69138"/>
      </rPr>
      <t xml:space="preserve">Silo 1s </t>
    </r>
    <r>
      <rPr>
        <rFont val="Arial"/>
        <b val="0"/>
        <color rgb="FFE69138"/>
      </rPr>
      <t>(holds powdered algae biomass)</t>
    </r>
  </si>
  <si>
    <t>Buffer Days Storage</t>
  </si>
  <si>
    <t>Biomass Input (tons/day)</t>
  </si>
  <si>
    <t>Total Capacity (tons)</t>
  </si>
  <si>
    <t>Capacity Per Silo (tons)</t>
  </si>
  <si>
    <t>Cost per Silo</t>
  </si>
  <si>
    <t>Silo System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</si>
</sst>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.0"/>
    <numFmt numFmtId="165" formatCode="&quot;$&quot;#,##0"/>
    <numFmt numFmtId="166" formatCode="0.0"/>
    <numFmt numFmtId="167" formatCode="0.0%"/>
    <numFmt numFmtId="168" formatCode="0.000"/>
    <numFmt numFmtId="169" formatCode="&quot;$&quot;#,##0.00"/>
    <numFmt numFmtId="170" formatCode="&quot;$&quot;#,##0.000"/>
    <numFmt numFmtId="171" formatCode="[$$]#,##0"/>
    <numFmt numFmtId="172" formatCode="#,##0.0"/>
    <numFmt numFmtId="173" formatCode="0.000000"/>
    <numFmt numFmtId="174" formatCode="0.0000"/>
  </numFmts>
  <fonts count="57">
    <font>
      <sz val="10.0"/>
      <color rgb="FF000000"/>
      <name val="Arial"/>
      <scheme val="minor"/>
    </font>
    <font>
      <color theme="1"/>
      <name val="Proxima Nova"/>
    </font>
    <font>
      <u/>
      <color theme="1"/>
      <name val="Proxima Nova"/>
    </font>
    <font>
      <color theme="1"/>
      <name val="Arial"/>
    </font>
    <font>
      <b/>
      <color rgb="FFFFFFFF"/>
      <name val="Proxima Nova"/>
    </font>
    <font/>
    <font>
      <b/>
      <color theme="1"/>
      <name val="Proxima Nova"/>
    </font>
    <font>
      <b/>
      <color theme="1"/>
      <name val="Arial"/>
    </font>
    <font>
      <b/>
      <i/>
      <sz val="8.0"/>
      <color theme="1"/>
      <name val="Proxima Nova"/>
    </font>
    <font>
      <i/>
      <sz val="8.0"/>
      <color theme="1"/>
      <name val="Proxima Nova"/>
    </font>
    <font>
      <color rgb="FFFF0000"/>
      <name val="Proxima Nova"/>
    </font>
    <font>
      <i/>
      <sz val="8.0"/>
      <color rgb="FFFF0000"/>
      <name val="Proxima Nova"/>
    </font>
    <font>
      <i/>
      <color theme="1"/>
      <name val="Proxima Nova"/>
    </font>
    <font>
      <b/>
      <color rgb="FF000000"/>
      <name val="&quot;Proxima Nova&quot;"/>
    </font>
    <font>
      <color theme="1"/>
      <name val="&quot;Proxima Nova&quot;"/>
    </font>
    <font>
      <u/>
      <color rgb="FF1155CC"/>
      <name val="Proxima Nova"/>
    </font>
    <font>
      <sz val="8.0"/>
      <color theme="1"/>
      <name val="Proxima Nova"/>
    </font>
    <font>
      <u/>
      <color rgb="FF0000FF"/>
      <name val="Proxima Nova"/>
    </font>
    <font>
      <u/>
      <sz val="8.0"/>
      <color rgb="FF0000FF"/>
      <name val="Proxima Nova"/>
    </font>
    <font>
      <i/>
      <u/>
      <sz val="8.0"/>
      <color rgb="FF0000FF"/>
      <name val="Proxima Nova"/>
    </font>
    <font>
      <u/>
      <color rgb="FF0000FF"/>
    </font>
    <font>
      <u/>
      <color rgb="FF1155CC"/>
      <name val="Proxima Nova"/>
    </font>
    <font>
      <sz val="10.0"/>
      <color theme="1"/>
      <name val="Proxima Nova"/>
    </font>
    <font>
      <b/>
      <sz val="9.0"/>
      <color theme="1"/>
      <name val="Arial"/>
    </font>
    <font>
      <sz val="9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Inconsolata"/>
    </font>
    <font>
      <i/>
      <sz val="6.0"/>
      <color rgb="FFFF0000"/>
      <name val="Arial"/>
    </font>
    <font>
      <i/>
      <sz val="8.0"/>
      <color theme="1"/>
      <name val="Arial"/>
    </font>
    <font>
      <b/>
      <sz val="8.0"/>
      <color theme="1"/>
      <name val="Arial"/>
    </font>
    <font>
      <color rgb="FFFF0000"/>
      <name val="Arial"/>
    </font>
    <font>
      <sz val="8.0"/>
      <color theme="1"/>
      <name val="Arial"/>
    </font>
    <font>
      <color rgb="FF000000"/>
      <name val="Arial"/>
    </font>
    <font>
      <b/>
      <color rgb="FFFFFFFF"/>
      <name val="Arial"/>
    </font>
    <font>
      <b/>
      <color rgb="FF674EA7"/>
      <name val="Arial"/>
    </font>
    <font>
      <i/>
      <sz val="9.0"/>
      <color theme="1"/>
      <name val="Arial"/>
    </font>
    <font>
      <i/>
      <sz val="8.0"/>
      <color rgb="FFFF0000"/>
      <name val="Arial"/>
    </font>
    <font>
      <b/>
      <u/>
      <color rgb="FF1155CC"/>
      <name val="Arial"/>
    </font>
    <font>
      <b/>
      <color rgb="FF000000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</font>
    <font>
      <b/>
      <u/>
      <color rgb="FF0000FF"/>
      <name val="Arial"/>
    </font>
    <font>
      <b/>
      <color rgb="FFCC0000"/>
      <name val="Arial"/>
    </font>
    <font>
      <b/>
      <i/>
      <sz val="8.0"/>
      <color rgb="FFFF0000"/>
      <name val="Arial"/>
    </font>
    <font>
      <b/>
      <color rgb="FF6AA84F"/>
      <name val="Arial"/>
    </font>
    <font>
      <b/>
      <sz val="10.0"/>
      <color theme="1"/>
      <name val="Arial"/>
    </font>
    <font>
      <i/>
      <color rgb="FFFF0000"/>
      <name val="Arial"/>
    </font>
    <font>
      <b/>
      <color rgb="FFA64D79"/>
      <name val="Arial"/>
    </font>
    <font>
      <b/>
      <u/>
      <color rgb="FF1155CC"/>
      <name val="Arial"/>
    </font>
    <font>
      <b/>
      <u/>
      <color rgb="FF1155CC"/>
      <name val="Arial"/>
    </font>
    <font>
      <b/>
      <color rgb="FFE69138"/>
      <name val="Arial"/>
    </font>
    <font>
      <u/>
      <color theme="1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FBBC04"/>
        <bgColor rgb="FFFBBC04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rgb="FFCC4125"/>
        <bgColor rgb="FFCC4125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990000"/>
        <bgColor rgb="FF990000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vertical="center"/>
    </xf>
    <xf borderId="2" fillId="0" fontId="5" numFmtId="0" xfId="0" applyBorder="1" applyFont="1"/>
    <xf borderId="3" fillId="0" fontId="5" numFmtId="0" xfId="0" applyBorder="1" applyFont="1"/>
    <xf borderId="1" fillId="3" fontId="4" numFmtId="0" xfId="0" applyAlignment="1" applyBorder="1" applyFill="1" applyFont="1">
      <alignment vertical="center"/>
    </xf>
    <xf borderId="1" fillId="4" fontId="6" numFmtId="0" xfId="0" applyAlignment="1" applyBorder="1" applyFill="1" applyFont="1">
      <alignment horizontal="left" vertical="center"/>
    </xf>
    <xf borderId="3" fillId="5" fontId="6" numFmtId="0" xfId="0" applyAlignment="1" applyBorder="1" applyFill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2" fillId="6" fontId="4" numFmtId="0" xfId="0" applyAlignment="1" applyBorder="1" applyFill="1" applyFont="1">
      <alignment horizontal="left" vertical="center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5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6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0" fillId="7" fontId="6" numFmtId="0" xfId="0" applyAlignment="1" applyFill="1" applyFont="1">
      <alignment horizontal="left" shrinkToFit="0" vertical="center" wrapText="1"/>
    </xf>
    <xf borderId="0" fillId="8" fontId="6" numFmtId="0" xfId="0" applyAlignment="1" applyFill="1" applyFont="1">
      <alignment horizontal="left" shrinkToFit="0" vertical="center" wrapText="1"/>
    </xf>
    <xf borderId="0" fillId="9" fontId="6" numFmtId="0" xfId="0" applyAlignment="1" applyFill="1" applyFont="1">
      <alignment horizontal="left" vertical="center"/>
    </xf>
    <xf borderId="4" fillId="0" fontId="5" numFmtId="0" xfId="0" applyBorder="1" applyFont="1"/>
    <xf borderId="0" fillId="0" fontId="1" numFmtId="3" xfId="0" applyAlignment="1" applyFont="1" applyNumberFormat="1">
      <alignment horizontal="left" vertical="center"/>
    </xf>
    <xf borderId="0" fillId="0" fontId="1" numFmtId="1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5" fillId="10" fontId="6" numFmtId="0" xfId="0" applyAlignment="1" applyBorder="1" applyFill="1" applyFont="1">
      <alignment vertical="center"/>
    </xf>
    <xf borderId="0" fillId="10" fontId="6" numFmtId="0" xfId="0" applyAlignment="1" applyFont="1">
      <alignment horizontal="center" vertical="center"/>
    </xf>
    <xf borderId="4" fillId="10" fontId="8" numFmtId="0" xfId="0" applyAlignment="1" applyBorder="1" applyFont="1">
      <alignment vertical="center"/>
    </xf>
    <xf borderId="5" fillId="11" fontId="6" numFmtId="0" xfId="0" applyAlignment="1" applyBorder="1" applyFill="1" applyFont="1">
      <alignment vertical="center"/>
    </xf>
    <xf borderId="0" fillId="11" fontId="6" numFmtId="0" xfId="0" applyAlignment="1" applyFont="1">
      <alignment horizontal="center" vertical="center"/>
    </xf>
    <xf borderId="5" fillId="0" fontId="6" numFmtId="0" xfId="0" applyAlignment="1" applyBorder="1" applyFont="1">
      <alignment horizontal="left" vertical="center"/>
    </xf>
    <xf borderId="4" fillId="0" fontId="1" numFmtId="10" xfId="0" applyAlignment="1" applyBorder="1" applyFont="1" applyNumberFormat="1">
      <alignment horizontal="left" vertical="center"/>
    </xf>
    <xf borderId="4" fillId="9" fontId="6" numFmtId="0" xfId="0" applyAlignment="1" applyBorder="1" applyFont="1">
      <alignment horizontal="left" vertical="center"/>
    </xf>
    <xf borderId="0" fillId="0" fontId="1" numFmtId="3" xfId="0" applyAlignment="1" applyFont="1" applyNumberFormat="1">
      <alignment horizontal="center" readingOrder="0" vertical="center"/>
    </xf>
    <xf borderId="4" fillId="0" fontId="9" numFmtId="0" xfId="0" applyAlignment="1" applyBorder="1" applyFont="1">
      <alignment vertical="center"/>
    </xf>
    <xf borderId="0" fillId="0" fontId="1" numFmtId="1" xfId="0" applyAlignment="1" applyFont="1" applyNumberFormat="1">
      <alignment horizontal="center" vertical="center"/>
    </xf>
    <xf borderId="6" fillId="0" fontId="1" numFmtId="165" xfId="0" applyAlignment="1" applyBorder="1" applyFont="1" applyNumberFormat="1">
      <alignment horizontal="left" vertical="center"/>
    </xf>
    <xf borderId="7" fillId="0" fontId="1" numFmtId="165" xfId="0" applyAlignment="1" applyBorder="1" applyFont="1" applyNumberFormat="1">
      <alignment horizontal="left" vertical="center"/>
    </xf>
    <xf borderId="4" fillId="0" fontId="9" numFmtId="0" xfId="0" applyAlignment="1" applyBorder="1" applyFont="1">
      <alignment shrinkToFit="0" vertical="center" wrapText="0"/>
    </xf>
    <xf borderId="5" fillId="12" fontId="1" numFmtId="0" xfId="0" applyAlignment="1" applyBorder="1" applyFill="1" applyFont="1">
      <alignment vertical="center"/>
    </xf>
    <xf borderId="0" fillId="12" fontId="1" numFmtId="3" xfId="0" applyAlignment="1" applyFont="1" applyNumberFormat="1">
      <alignment horizontal="center" vertical="center"/>
    </xf>
    <xf borderId="4" fillId="0" fontId="1" numFmtId="165" xfId="0" applyAlignment="1" applyBorder="1" applyFont="1" applyNumberFormat="1">
      <alignment horizontal="left" vertical="center"/>
    </xf>
    <xf borderId="6" fillId="0" fontId="1" numFmtId="0" xfId="0" applyAlignment="1" applyBorder="1" applyFont="1">
      <alignment horizontal="left" vertical="center"/>
    </xf>
    <xf borderId="0" fillId="12" fontId="1" numFmtId="1" xfId="0" applyAlignment="1" applyFont="1" applyNumberFormat="1">
      <alignment horizontal="center" vertical="center"/>
    </xf>
    <xf borderId="0" fillId="13" fontId="6" numFmtId="0" xfId="0" applyAlignment="1" applyFill="1" applyFont="1">
      <alignment horizontal="center" vertical="center"/>
    </xf>
    <xf borderId="1" fillId="8" fontId="6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4" fillId="0" fontId="11" numFmtId="0" xfId="0" applyAlignment="1" applyBorder="1" applyFont="1">
      <alignment vertical="center"/>
    </xf>
    <xf borderId="0" fillId="0" fontId="12" numFmtId="166" xfId="0" applyAlignment="1" applyFont="1" applyNumberFormat="1">
      <alignment horizontal="center" vertical="center"/>
    </xf>
    <xf borderId="0" fillId="14" fontId="6" numFmtId="0" xfId="0" applyAlignment="1" applyFill="1" applyFont="1">
      <alignment horizontal="center" vertical="center"/>
    </xf>
    <xf borderId="4" fillId="14" fontId="6" numFmtId="0" xfId="0" applyAlignment="1" applyBorder="1" applyFont="1">
      <alignment horizontal="center" vertical="center"/>
    </xf>
    <xf borderId="5" fillId="9" fontId="6" numFmtId="0" xfId="0" applyAlignment="1" applyBorder="1" applyFont="1">
      <alignment horizontal="center" vertical="center"/>
    </xf>
    <xf borderId="4" fillId="9" fontId="6" numFmtId="0" xfId="0" applyAlignment="1" applyBorder="1" applyFont="1">
      <alignment horizontal="center" vertical="center"/>
    </xf>
    <xf borderId="0" fillId="12" fontId="1" numFmtId="166" xfId="0" applyAlignment="1" applyFont="1" applyNumberFormat="1">
      <alignment horizontal="center" vertical="center"/>
    </xf>
    <xf borderId="5" fillId="0" fontId="13" numFmtId="0" xfId="0" applyBorder="1" applyFont="1"/>
    <xf borderId="4" fillId="0" fontId="14" numFmtId="165" xfId="0" applyBorder="1" applyFont="1" applyNumberFormat="1"/>
    <xf borderId="6" fillId="0" fontId="1" numFmtId="165" xfId="0" applyAlignment="1" applyBorder="1" applyFont="1" applyNumberFormat="1">
      <alignment horizontal="center" vertical="center"/>
    </xf>
    <xf borderId="7" fillId="0" fontId="1" numFmtId="165" xfId="0" applyAlignment="1" applyBorder="1" applyFont="1" applyNumberFormat="1">
      <alignment horizontal="center" vertical="center"/>
    </xf>
    <xf borderId="8" fillId="0" fontId="1" numFmtId="167" xfId="0" applyAlignment="1" applyBorder="1" applyFont="1" applyNumberFormat="1">
      <alignment horizontal="center" vertical="center"/>
    </xf>
    <xf borderId="7" fillId="0" fontId="1" numFmtId="167" xfId="0" applyAlignment="1" applyBorder="1" applyFont="1" applyNumberFormat="1">
      <alignment horizontal="center" vertical="center"/>
    </xf>
    <xf borderId="1" fillId="13" fontId="6" numFmtId="0" xfId="0" applyAlignment="1" applyBorder="1" applyFont="1">
      <alignment horizontal="left" readingOrder="0" vertical="center"/>
    </xf>
    <xf borderId="2" fillId="0" fontId="1" numFmtId="165" xfId="0" applyAlignment="1" applyBorder="1" applyFont="1" applyNumberFormat="1">
      <alignment horizontal="left" readingOrder="0" vertical="center"/>
    </xf>
    <xf borderId="5" fillId="0" fontId="15" numFmtId="0" xfId="0" applyAlignment="1" applyBorder="1" applyFont="1">
      <alignment vertical="center"/>
    </xf>
    <xf borderId="0" fillId="0" fontId="1" numFmtId="166" xfId="0" applyAlignment="1" applyFont="1" applyNumberFormat="1">
      <alignment horizontal="center" vertical="center"/>
    </xf>
    <xf borderId="8" fillId="0" fontId="13" numFmtId="0" xfId="0" applyBorder="1" applyFont="1"/>
    <xf borderId="6" fillId="0" fontId="5" numFmtId="0" xfId="0" applyBorder="1" applyFont="1"/>
    <xf borderId="7" fillId="0" fontId="14" numFmtId="165" xfId="0" applyBorder="1" applyFont="1" applyNumberFormat="1"/>
    <xf borderId="8" fillId="13" fontId="6" numFmtId="0" xfId="0" applyAlignment="1" applyBorder="1" applyFont="1">
      <alignment horizontal="left" readingOrder="0" vertical="center"/>
    </xf>
    <xf borderId="6" fillId="0" fontId="1" numFmtId="4" xfId="0" applyAlignment="1" applyBorder="1" applyFont="1" applyNumberFormat="1">
      <alignment horizontal="left" vertical="center"/>
    </xf>
    <xf borderId="7" fillId="0" fontId="1" numFmtId="4" xfId="0" applyAlignment="1" applyBorder="1" applyFont="1" applyNumberFormat="1">
      <alignment horizontal="left" vertical="center"/>
    </xf>
    <xf borderId="9" fillId="15" fontId="1" numFmtId="4" xfId="0" applyAlignment="1" applyBorder="1" applyFill="1" applyFont="1" applyNumberForma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12" fontId="1" numFmtId="2" xfId="0" applyAlignment="1" applyFont="1" applyNumberFormat="1">
      <alignment horizontal="center" vertical="center"/>
    </xf>
    <xf borderId="6" fillId="0" fontId="1" numFmtId="167" xfId="0" applyAlignment="1" applyBorder="1" applyFont="1" applyNumberFormat="1">
      <alignment horizontal="left" vertical="center"/>
    </xf>
    <xf borderId="1" fillId="16" fontId="6" numFmtId="0" xfId="0" applyAlignment="1" applyBorder="1" applyFill="1" applyFont="1">
      <alignment horizontal="left" shrinkToFit="0" vertical="center" wrapText="1"/>
    </xf>
    <xf borderId="2" fillId="17" fontId="6" numFmtId="0" xfId="0" applyAlignment="1" applyBorder="1" applyFill="1" applyFont="1">
      <alignment horizontal="center" shrinkToFit="0" vertical="center" wrapText="1"/>
    </xf>
    <xf borderId="2" fillId="17" fontId="6" numFmtId="0" xfId="0" applyAlignment="1" applyBorder="1" applyFont="1">
      <alignment horizontal="left" vertical="center"/>
    </xf>
    <xf borderId="0" fillId="6" fontId="4" numFmtId="0" xfId="0" applyAlignment="1" applyFont="1">
      <alignment horizontal="left" vertical="center"/>
    </xf>
    <xf borderId="5" fillId="0" fontId="5" numFmtId="0" xfId="0" applyBorder="1" applyFont="1"/>
    <xf borderId="0" fillId="18" fontId="6" numFmtId="0" xfId="0" applyAlignment="1" applyFill="1" applyFont="1">
      <alignment horizontal="left" vertical="center"/>
    </xf>
    <xf borderId="4" fillId="18" fontId="6" numFmtId="0" xfId="0" applyAlignment="1" applyBorder="1" applyFont="1">
      <alignment horizontal="left" vertical="center"/>
    </xf>
    <xf borderId="10" fillId="15" fontId="6" numFmtId="0" xfId="0" applyAlignment="1" applyBorder="1" applyFont="1">
      <alignment horizontal="left" shrinkToFit="0" vertical="center" wrapText="1"/>
    </xf>
    <xf borderId="2" fillId="7" fontId="6" numFmtId="165" xfId="0" applyAlignment="1" applyBorder="1" applyFont="1" applyNumberFormat="1">
      <alignment horizontal="left" vertical="center"/>
    </xf>
    <xf borderId="2" fillId="8" fontId="6" numFmtId="0" xfId="0" applyAlignment="1" applyBorder="1" applyFont="1">
      <alignment horizontal="left" vertical="center"/>
    </xf>
    <xf borderId="1" fillId="8" fontId="6" numFmtId="0" xfId="0" applyAlignment="1" applyBorder="1" applyFont="1">
      <alignment horizontal="left" vertical="center"/>
    </xf>
    <xf borderId="0" fillId="0" fontId="10" numFmtId="168" xfId="0" applyAlignment="1" applyFont="1" applyNumberFormat="1">
      <alignment horizontal="center"/>
    </xf>
    <xf borderId="4" fillId="0" fontId="11" numFmtId="0" xfId="0" applyBorder="1" applyFont="1"/>
    <xf borderId="5" fillId="0" fontId="1" numFmtId="0" xfId="0" applyAlignment="1" applyBorder="1" applyFont="1">
      <alignment horizontal="left" vertical="center"/>
    </xf>
    <xf borderId="0" fillId="0" fontId="1" numFmtId="3" xfId="0" applyAlignment="1" applyFont="1" applyNumberFormat="1">
      <alignment horizontal="center" vertical="center"/>
    </xf>
    <xf borderId="11" fillId="0" fontId="5" numFmtId="0" xfId="0" applyBorder="1" applyFont="1"/>
    <xf borderId="6" fillId="7" fontId="6" numFmtId="165" xfId="0" applyAlignment="1" applyBorder="1" applyFont="1" applyNumberFormat="1">
      <alignment horizontal="left" vertical="center"/>
    </xf>
    <xf borderId="7" fillId="7" fontId="6" numFmtId="165" xfId="0" applyAlignment="1" applyBorder="1" applyFont="1" applyNumberFormat="1">
      <alignment horizontal="left" vertical="center"/>
    </xf>
    <xf borderId="6" fillId="19" fontId="6" numFmtId="165" xfId="0" applyAlignment="1" applyBorder="1" applyFill="1" applyFont="1" applyNumberFormat="1">
      <alignment horizontal="left" vertical="center"/>
    </xf>
    <xf borderId="7" fillId="19" fontId="6" numFmtId="165" xfId="0" applyAlignment="1" applyBorder="1" applyFont="1" applyNumberFormat="1">
      <alignment horizontal="left" vertical="center"/>
    </xf>
    <xf borderId="1" fillId="0" fontId="1" numFmtId="165" xfId="0" applyAlignment="1" applyBorder="1" applyFont="1" applyNumberFormat="1">
      <alignment horizontal="left" vertical="center"/>
    </xf>
    <xf borderId="3" fillId="0" fontId="1" numFmtId="165" xfId="0" applyAlignment="1" applyBorder="1" applyFont="1" applyNumberFormat="1">
      <alignment horizontal="left" vertical="center"/>
    </xf>
    <xf borderId="5" fillId="0" fontId="1" numFmtId="165" xfId="0" applyAlignment="1" applyBorder="1" applyFont="1" applyNumberFormat="1">
      <alignment horizontal="left" vertical="center"/>
    </xf>
    <xf borderId="0" fillId="0" fontId="1" numFmtId="167" xfId="0" applyAlignment="1" applyFont="1" applyNumberFormat="1">
      <alignment horizontal="left" vertical="center"/>
    </xf>
    <xf borderId="4" fillId="0" fontId="1" numFmtId="167" xfId="0" applyAlignment="1" applyBorder="1" applyFont="1" applyNumberFormat="1">
      <alignment horizontal="left" vertical="center"/>
    </xf>
    <xf borderId="0" fillId="0" fontId="16" numFmtId="0" xfId="0" applyAlignment="1" applyFont="1">
      <alignment shrinkToFit="0" vertical="center" wrapText="0"/>
    </xf>
    <xf borderId="0" fillId="10" fontId="6" numFmtId="165" xfId="0" applyAlignment="1" applyFont="1" applyNumberFormat="1">
      <alignment horizontal="center" vertical="center"/>
    </xf>
    <xf borderId="5" fillId="0" fontId="1" numFmtId="169" xfId="0" applyAlignment="1" applyBorder="1" applyFont="1" applyNumberFormat="1">
      <alignment horizontal="left" vertical="center"/>
    </xf>
    <xf borderId="5" fillId="0" fontId="17" numFmtId="0" xfId="0" applyAlignment="1" applyBorder="1" applyFont="1">
      <alignment vertical="center"/>
    </xf>
    <xf borderId="0" fillId="0" fontId="1" numFmtId="169" xfId="0" applyAlignment="1" applyFont="1" applyNumberFormat="1">
      <alignment horizontal="center" vertical="center"/>
    </xf>
    <xf borderId="0" fillId="0" fontId="16" numFmtId="0" xfId="0" applyAlignment="1" applyFont="1">
      <alignment vertical="center"/>
    </xf>
    <xf borderId="8" fillId="18" fontId="6" numFmtId="0" xfId="0" applyAlignment="1" applyBorder="1" applyFont="1">
      <alignment horizontal="left" vertical="center"/>
    </xf>
    <xf borderId="6" fillId="18" fontId="6" numFmtId="3" xfId="0" applyAlignment="1" applyBorder="1" applyFont="1" applyNumberFormat="1">
      <alignment horizontal="center" vertical="center"/>
    </xf>
    <xf borderId="6" fillId="18" fontId="6" numFmtId="165" xfId="0" applyAlignment="1" applyBorder="1" applyFont="1" applyNumberFormat="1">
      <alignment horizontal="left" vertical="center"/>
    </xf>
    <xf borderId="7" fillId="18" fontId="6" numFmtId="165" xfId="0" applyAlignment="1" applyBorder="1" applyFont="1" applyNumberFormat="1">
      <alignment horizontal="left" vertical="center"/>
    </xf>
    <xf borderId="0" fillId="0" fontId="1" numFmtId="170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18" numFmtId="0" xfId="0" applyAlignment="1" applyFont="1">
      <alignment vertical="center"/>
    </xf>
    <xf borderId="1" fillId="11" fontId="6" numFmtId="1" xfId="0" applyAlignment="1" applyBorder="1" applyFont="1" applyNumberFormat="1">
      <alignment horizontal="left" shrinkToFit="0" vertical="center" wrapText="1"/>
    </xf>
    <xf borderId="0" fillId="12" fontId="1" numFmtId="3" xfId="0" applyAlignment="1" applyFont="1" applyNumberFormat="1">
      <alignment vertical="center"/>
    </xf>
    <xf borderId="0" fillId="12" fontId="1" numFmtId="165" xfId="0" applyAlignment="1" applyFont="1" applyNumberFormat="1">
      <alignment vertical="center"/>
    </xf>
    <xf borderId="0" fillId="0" fontId="16" numFmtId="2" xfId="0" applyAlignment="1" applyFont="1" applyNumberFormat="1">
      <alignment vertical="center"/>
    </xf>
    <xf borderId="5" fillId="12" fontId="6" numFmtId="0" xfId="0" applyAlignment="1" applyBorder="1" applyFont="1">
      <alignment horizontal="left" vertical="center"/>
    </xf>
    <xf borderId="4" fillId="12" fontId="6" numFmtId="0" xfId="0" applyAlignment="1" applyBorder="1" applyFont="1">
      <alignment horizontal="left" vertical="center"/>
    </xf>
    <xf borderId="4" fillId="0" fontId="19" numFmtId="0" xfId="0" applyAlignment="1" applyBorder="1" applyFont="1">
      <alignment shrinkToFit="0" vertical="center" wrapText="0"/>
    </xf>
    <xf borderId="8" fillId="0" fontId="1" numFmtId="165" xfId="0" applyAlignment="1" applyBorder="1" applyFont="1" applyNumberFormat="1">
      <alignment horizontal="left" vertical="center"/>
    </xf>
    <xf borderId="4" fillId="0" fontId="1" numFmtId="165" xfId="0" applyAlignment="1" applyBorder="1" applyFont="1" applyNumberFormat="1">
      <alignment horizontal="left" readingOrder="0" vertical="center"/>
    </xf>
    <xf borderId="5" fillId="20" fontId="20" numFmtId="0" xfId="0" applyAlignment="1" applyBorder="1" applyFill="1" applyFont="1">
      <alignment vertical="center"/>
    </xf>
    <xf borderId="0" fillId="20" fontId="3" numFmtId="3" xfId="0" applyAlignment="1" applyFont="1" applyNumberFormat="1">
      <alignment vertical="center"/>
    </xf>
    <xf borderId="0" fillId="20" fontId="3" numFmtId="0" xfId="0" applyAlignment="1" applyFont="1">
      <alignment vertical="center"/>
    </xf>
    <xf borderId="1" fillId="20" fontId="6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left" shrinkToFit="0" vertical="center" wrapText="0"/>
    </xf>
    <xf borderId="0" fillId="12" fontId="6" numFmtId="0" xfId="0" applyAlignment="1" applyFont="1">
      <alignment horizontal="left" vertical="center"/>
    </xf>
    <xf borderId="5" fillId="21" fontId="6" numFmtId="0" xfId="0" applyAlignment="1" applyBorder="1" applyFill="1" applyFont="1">
      <alignment vertical="center"/>
    </xf>
    <xf borderId="0" fillId="21" fontId="1" numFmtId="0" xfId="0" applyAlignment="1" applyFont="1">
      <alignment horizontal="center" vertical="center"/>
    </xf>
    <xf borderId="5" fillId="9" fontId="3" numFmtId="0" xfId="0" applyAlignment="1" applyBorder="1" applyFont="1">
      <alignment vertical="center"/>
    </xf>
    <xf borderId="0" fillId="9" fontId="3" numFmtId="0" xfId="0" applyAlignment="1" applyFont="1">
      <alignment vertical="center"/>
    </xf>
    <xf borderId="0" fillId="9" fontId="3" numFmtId="165" xfId="0" applyAlignment="1" applyFont="1" applyNumberFormat="1">
      <alignment vertical="center"/>
    </xf>
    <xf borderId="0" fillId="0" fontId="10" numFmtId="10" xfId="0" applyAlignment="1" applyFont="1" applyNumberFormat="1">
      <alignment horizontal="center" vertical="center"/>
    </xf>
    <xf borderId="4" fillId="0" fontId="11" numFmtId="0" xfId="0" applyAlignment="1" applyBorder="1" applyFont="1">
      <alignment shrinkToFit="0" vertical="center" wrapText="0"/>
    </xf>
    <xf borderId="5" fillId="12" fontId="1" numFmtId="0" xfId="0" applyAlignment="1" applyBorder="1" applyFont="1">
      <alignment horizontal="left" vertical="center"/>
    </xf>
    <xf borderId="0" fillId="12" fontId="1" numFmtId="0" xfId="0" applyAlignment="1" applyFont="1">
      <alignment horizontal="left" vertical="center"/>
    </xf>
    <xf borderId="4" fillId="12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left" vertical="center"/>
    </xf>
    <xf borderId="0" fillId="0" fontId="1" numFmtId="10" xfId="0" applyAlignment="1" applyFont="1" applyNumberFormat="1">
      <alignment horizontal="center" vertical="center"/>
    </xf>
    <xf borderId="5" fillId="12" fontId="6" numFmtId="0" xfId="0" applyAlignment="1" applyBorder="1" applyFont="1">
      <alignment vertical="center"/>
    </xf>
    <xf borderId="0" fillId="12" fontId="6" numFmtId="0" xfId="0" applyAlignment="1" applyFont="1">
      <alignment shrinkToFit="0" vertical="center" wrapText="1"/>
    </xf>
    <xf borderId="0" fillId="12" fontId="6" numFmtId="1" xfId="0" applyAlignment="1" applyFont="1" applyNumberFormat="1">
      <alignment shrinkToFit="0" vertical="center" wrapText="1"/>
    </xf>
    <xf borderId="8" fillId="0" fontId="1" numFmtId="0" xfId="0" applyAlignment="1" applyBorder="1" applyFont="1">
      <alignment horizontal="right" vertical="center"/>
    </xf>
    <xf borderId="6" fillId="0" fontId="1" numFmtId="10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shrinkToFit="0" vertical="center" wrapText="0"/>
    </xf>
    <xf borderId="0" fillId="12" fontId="6" numFmtId="0" xfId="0" applyAlignment="1" applyFont="1">
      <alignment vertical="center"/>
    </xf>
    <xf borderId="4" fillId="12" fontId="6" numFmtId="0" xfId="0" applyAlignment="1" applyBorder="1" applyFont="1">
      <alignment vertical="center"/>
    </xf>
    <xf borderId="0" fillId="0" fontId="1" numFmtId="165" xfId="0" applyAlignment="1" applyFont="1" applyNumberFormat="1">
      <alignment vertical="center"/>
    </xf>
    <xf borderId="4" fillId="0" fontId="1" numFmtId="165" xfId="0" applyAlignment="1" applyBorder="1" applyFont="1" applyNumberFormat="1">
      <alignment vertical="center"/>
    </xf>
    <xf borderId="0" fillId="0" fontId="1" numFmtId="165" xfId="0" applyFont="1" applyNumberFormat="1"/>
    <xf borderId="0" fillId="0" fontId="1" numFmtId="166" xfId="0" applyFont="1" applyNumberFormat="1"/>
    <xf borderId="7" fillId="0" fontId="1" numFmtId="167" xfId="0" applyAlignment="1" applyBorder="1" applyFont="1" applyNumberFormat="1">
      <alignment horizontal="left" vertical="center"/>
    </xf>
    <xf borderId="5" fillId="12" fontId="6" numFmtId="0" xfId="0" applyAlignment="1" applyBorder="1" applyFont="1">
      <alignment horizontal="right" vertical="center"/>
    </xf>
    <xf borderId="0" fillId="12" fontId="6" numFmtId="165" xfId="0" applyAlignment="1" applyFont="1" applyNumberFormat="1">
      <alignment vertical="center"/>
    </xf>
    <xf borderId="4" fillId="12" fontId="6" numFmtId="165" xfId="0" applyAlignment="1" applyBorder="1" applyFont="1" applyNumberFormat="1">
      <alignment vertical="center"/>
    </xf>
    <xf borderId="0" fillId="0" fontId="6" numFmtId="0" xfId="0" applyAlignment="1" applyFont="1">
      <alignment horizontal="left" vertical="center"/>
    </xf>
    <xf borderId="1" fillId="11" fontId="6" numFmtId="0" xfId="0" applyAlignment="1" applyBorder="1" applyFont="1">
      <alignment shrinkToFit="0" vertical="center" wrapText="0"/>
    </xf>
    <xf borderId="2" fillId="11" fontId="6" numFmtId="0" xfId="0" applyAlignment="1" applyBorder="1" applyFont="1">
      <alignment vertical="center"/>
    </xf>
    <xf borderId="3" fillId="11" fontId="1" numFmtId="0" xfId="0" applyAlignment="1" applyBorder="1" applyFont="1">
      <alignment vertical="center"/>
    </xf>
    <xf borderId="5" fillId="12" fontId="6" numFmtId="0" xfId="0" applyAlignment="1" applyBorder="1" applyFont="1">
      <alignment horizontal="center" vertical="center"/>
    </xf>
    <xf borderId="0" fillId="12" fontId="6" numFmtId="0" xfId="0" applyAlignment="1" applyFont="1">
      <alignment horizontal="center" shrinkToFit="0" vertical="center" wrapText="1"/>
    </xf>
    <xf borderId="0" fillId="12" fontId="6" numFmtId="1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vertical="center"/>
    </xf>
    <xf borderId="0" fillId="22" fontId="22" numFmtId="0" xfId="0" applyAlignment="1" applyFill="1" applyFont="1">
      <alignment horizontal="left" vertical="center"/>
    </xf>
    <xf borderId="0" fillId="12" fontId="6" numFmtId="0" xfId="0" applyAlignment="1" applyFont="1">
      <alignment horizontal="center" vertical="center"/>
    </xf>
    <xf borderId="4" fillId="12" fontId="6" numFmtId="0" xfId="0" applyAlignment="1" applyBorder="1" applyFont="1">
      <alignment horizontal="center" vertical="center"/>
    </xf>
    <xf borderId="8" fillId="0" fontId="1" numFmtId="165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vertical="center"/>
    </xf>
    <xf borderId="5" fillId="23" fontId="6" numFmtId="0" xfId="0" applyAlignment="1" applyBorder="1" applyFill="1" applyFont="1">
      <alignment horizontal="left" vertical="center"/>
    </xf>
    <xf borderId="5" fillId="24" fontId="6" numFmtId="0" xfId="0" applyAlignment="1" applyBorder="1" applyFill="1" applyFont="1">
      <alignment horizontal="left" vertical="center"/>
    </xf>
    <xf borderId="0" fillId="24" fontId="6" numFmtId="0" xfId="0" applyAlignment="1" applyFont="1">
      <alignment horizontal="left" shrinkToFit="0" vertical="center" wrapText="1"/>
    </xf>
    <xf borderId="0" fillId="24" fontId="6" numFmtId="1" xfId="0" applyAlignment="1" applyFont="1" applyNumberFormat="1">
      <alignment horizontal="left" shrinkToFit="0" vertical="center" wrapText="1"/>
    </xf>
    <xf borderId="0" fillId="25" fontId="6" numFmtId="0" xfId="0" applyAlignment="1" applyFill="1" applyFont="1">
      <alignment horizontal="left" vertical="center"/>
    </xf>
    <xf borderId="4" fillId="25" fontId="6" numFmtId="0" xfId="0" applyAlignment="1" applyBorder="1" applyFont="1">
      <alignment horizontal="left" vertical="center"/>
    </xf>
    <xf borderId="5" fillId="25" fontId="6" numFmtId="0" xfId="0" applyAlignment="1" applyBorder="1" applyFont="1">
      <alignment horizontal="left" vertical="center"/>
    </xf>
    <xf borderId="0" fillId="25" fontId="1" numFmtId="165" xfId="0" applyAlignment="1" applyFont="1" applyNumberFormat="1">
      <alignment horizontal="left" vertical="center"/>
    </xf>
    <xf borderId="4" fillId="25" fontId="1" numFmtId="165" xfId="0" applyAlignment="1" applyBorder="1" applyFont="1" applyNumberFormat="1">
      <alignment horizontal="left" vertical="center"/>
    </xf>
    <xf borderId="0" fillId="0" fontId="6" numFmtId="167" xfId="0" applyAlignment="1" applyFont="1" applyNumberFormat="1">
      <alignment horizontal="left" vertical="center"/>
    </xf>
    <xf borderId="0" fillId="25" fontId="1" numFmtId="167" xfId="0" applyAlignment="1" applyFont="1" applyNumberFormat="1">
      <alignment horizontal="left" vertical="center"/>
    </xf>
    <xf borderId="4" fillId="25" fontId="1" numFmtId="167" xfId="0" applyAlignment="1" applyBorder="1" applyFont="1" applyNumberFormat="1">
      <alignment horizontal="left" vertical="center"/>
    </xf>
    <xf borderId="0" fillId="24" fontId="6" numFmtId="0" xfId="0" applyAlignment="1" applyFont="1">
      <alignment horizontal="left" vertical="center"/>
    </xf>
    <xf borderId="8" fillId="25" fontId="6" numFmtId="0" xfId="0" applyAlignment="1" applyBorder="1" applyFont="1">
      <alignment horizontal="left" vertical="center"/>
    </xf>
    <xf borderId="6" fillId="25" fontId="1" numFmtId="167" xfId="0" applyAlignment="1" applyBorder="1" applyFont="1" applyNumberFormat="1">
      <alignment horizontal="left" vertical="center"/>
    </xf>
    <xf borderId="7" fillId="0" fontId="5" numFmtId="0" xfId="0" applyBorder="1" applyFont="1"/>
    <xf borderId="0" fillId="0" fontId="3" numFmtId="0" xfId="0" applyFont="1"/>
    <xf borderId="2" fillId="15" fontId="6" numFmtId="0" xfId="0" applyAlignment="1" applyBorder="1" applyFont="1">
      <alignment horizontal="left" shrinkToFit="0" vertical="center" wrapText="0"/>
    </xf>
    <xf borderId="2" fillId="15" fontId="7" numFmtId="0" xfId="0" applyAlignment="1" applyBorder="1" applyFont="1">
      <alignment shrinkToFit="0" vertical="center" wrapText="0"/>
    </xf>
    <xf borderId="0" fillId="15" fontId="7" numFmtId="0" xfId="0" applyAlignment="1" applyFont="1">
      <alignment shrinkToFit="0" vertical="center" wrapText="0"/>
    </xf>
    <xf borderId="6" fillId="15" fontId="6" numFmtId="0" xfId="0" applyAlignment="1" applyBorder="1" applyFont="1">
      <alignment horizontal="left" vertical="center"/>
    </xf>
    <xf borderId="6" fillId="15" fontId="7" numFmtId="0" xfId="0" applyAlignment="1" applyBorder="1" applyFont="1">
      <alignment vertical="center"/>
    </xf>
    <xf borderId="7" fillId="15" fontId="7" numFmtId="0" xfId="0" applyAlignment="1" applyBorder="1" applyFont="1">
      <alignment vertical="center"/>
    </xf>
    <xf borderId="0" fillId="15" fontId="7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0" fillId="0" fontId="3" numFmtId="165" xfId="0" applyFont="1" applyNumberFormat="1"/>
    <xf borderId="1" fillId="26" fontId="7" numFmtId="0" xfId="0" applyAlignment="1" applyBorder="1" applyFill="1" applyFont="1">
      <alignment vertical="center"/>
    </xf>
    <xf borderId="12" fillId="26" fontId="7" numFmtId="0" xfId="0" applyAlignment="1" applyBorder="1" applyFont="1">
      <alignment vertical="center"/>
    </xf>
    <xf borderId="13" fillId="0" fontId="5" numFmtId="0" xfId="0" applyBorder="1" applyFont="1"/>
    <xf borderId="14" fillId="0" fontId="5" numFmtId="0" xfId="0" applyBorder="1" applyFont="1"/>
    <xf borderId="1" fillId="26" fontId="7" numFmtId="0" xfId="0" applyAlignment="1" applyBorder="1" applyFont="1">
      <alignment horizontal="left" vertical="center"/>
    </xf>
    <xf borderId="1" fillId="24" fontId="7" numFmtId="0" xfId="0" applyAlignment="1" applyBorder="1" applyFont="1">
      <alignment vertical="center"/>
    </xf>
    <xf borderId="1" fillId="19" fontId="7" numFmtId="0" xfId="0" applyAlignment="1" applyBorder="1" applyFont="1">
      <alignment vertical="center"/>
    </xf>
    <xf borderId="1" fillId="5" fontId="7" numFmtId="0" xfId="0" applyAlignment="1" applyBorder="1" applyFont="1">
      <alignment vertical="center"/>
    </xf>
    <xf borderId="2" fillId="27" fontId="7" numFmtId="0" xfId="0" applyAlignment="1" applyBorder="1" applyFill="1" applyFont="1">
      <alignment vertical="center"/>
    </xf>
    <xf borderId="2" fillId="28" fontId="7" numFmtId="0" xfId="0" applyAlignment="1" applyBorder="1" applyFill="1" applyFont="1">
      <alignment vertical="center"/>
    </xf>
    <xf borderId="8" fillId="0" fontId="5" numFmtId="0" xfId="0" applyBorder="1" applyFont="1"/>
    <xf borderId="5" fillId="24" fontId="7" numFmtId="0" xfId="0" applyAlignment="1" applyBorder="1" applyFont="1">
      <alignment vertical="center"/>
    </xf>
    <xf borderId="4" fillId="24" fontId="7" numFmtId="0" xfId="0" applyAlignment="1" applyBorder="1" applyFont="1">
      <alignment vertical="center"/>
    </xf>
    <xf borderId="5" fillId="19" fontId="7" numFmtId="0" xfId="0" applyAlignment="1" applyBorder="1" applyFont="1">
      <alignment vertical="center"/>
    </xf>
    <xf borderId="0" fillId="19" fontId="7" numFmtId="0" xfId="0" applyAlignment="1" applyFont="1">
      <alignment vertical="center"/>
    </xf>
    <xf borderId="5" fillId="5" fontId="7" numFmtId="0" xfId="0" applyAlignment="1" applyBorder="1" applyFont="1">
      <alignment vertical="center"/>
    </xf>
    <xf borderId="4" fillId="5" fontId="7" numFmtId="0" xfId="0" applyAlignment="1" applyBorder="1" applyFont="1">
      <alignment vertical="center"/>
    </xf>
    <xf borderId="0" fillId="27" fontId="7" numFmtId="0" xfId="0" applyAlignment="1" applyFont="1">
      <alignment vertical="center"/>
    </xf>
    <xf borderId="4" fillId="27" fontId="7" numFmtId="0" xfId="0" applyAlignment="1" applyBorder="1" applyFont="1">
      <alignment vertical="center"/>
    </xf>
    <xf borderId="0" fillId="28" fontId="7" numFmtId="0" xfId="0" applyAlignment="1" applyFont="1">
      <alignment vertical="center"/>
    </xf>
    <xf borderId="4" fillId="28" fontId="7" numFmtId="0" xfId="0" applyAlignment="1" applyBorder="1" applyFont="1">
      <alignment vertical="center"/>
    </xf>
    <xf borderId="5" fillId="26" fontId="7" numFmtId="0" xfId="0" applyAlignment="1" applyBorder="1" applyFont="1">
      <alignment vertical="center"/>
    </xf>
    <xf borderId="4" fillId="26" fontId="7" numFmtId="0" xfId="0" applyAlignment="1" applyBorder="1" applyFont="1">
      <alignment vertical="center"/>
    </xf>
    <xf borderId="5" fillId="29" fontId="7" numFmtId="0" xfId="0" applyAlignment="1" applyBorder="1" applyFill="1" applyFont="1">
      <alignment horizontal="left" vertical="center"/>
    </xf>
    <xf borderId="4" fillId="29" fontId="7" numFmtId="0" xfId="0" applyAlignment="1" applyBorder="1" applyFont="1">
      <alignment horizontal="left" vertical="center"/>
    </xf>
    <xf borderId="5" fillId="25" fontId="3" numFmtId="165" xfId="0" applyAlignment="1" applyBorder="1" applyFont="1" applyNumberFormat="1">
      <alignment horizontal="left" vertical="center"/>
    </xf>
    <xf borderId="4" fillId="25" fontId="3" numFmtId="165" xfId="0" applyAlignment="1" applyBorder="1" applyFont="1" applyNumberFormat="1">
      <alignment horizontal="left" vertical="center"/>
    </xf>
    <xf borderId="5" fillId="9" fontId="3" numFmtId="165" xfId="0" applyAlignment="1" applyBorder="1" applyFont="1" applyNumberFormat="1">
      <alignment horizontal="left" vertical="center"/>
    </xf>
    <xf borderId="0" fillId="9" fontId="3" numFmtId="165" xfId="0" applyAlignment="1" applyFont="1" applyNumberFormat="1">
      <alignment horizontal="left" vertical="center"/>
    </xf>
    <xf borderId="5" fillId="30" fontId="3" numFmtId="165" xfId="0" applyAlignment="1" applyBorder="1" applyFill="1" applyFont="1" applyNumberFormat="1">
      <alignment horizontal="left" vertical="center"/>
    </xf>
    <xf borderId="4" fillId="30" fontId="3" numFmtId="165" xfId="0" applyAlignment="1" applyBorder="1" applyFont="1" applyNumberFormat="1">
      <alignment horizontal="left" vertical="center"/>
    </xf>
    <xf borderId="0" fillId="31" fontId="3" numFmtId="165" xfId="0" applyAlignment="1" applyFill="1" applyFont="1" applyNumberFormat="1">
      <alignment horizontal="left" vertical="center"/>
    </xf>
    <xf borderId="4" fillId="31" fontId="3" numFmtId="165" xfId="0" applyAlignment="1" applyBorder="1" applyFont="1" applyNumberFormat="1">
      <alignment horizontal="left" vertical="center"/>
    </xf>
    <xf borderId="0" fillId="18" fontId="3" numFmtId="165" xfId="0" applyAlignment="1" applyFont="1" applyNumberFormat="1">
      <alignment horizontal="left" vertical="center"/>
    </xf>
    <xf borderId="1" fillId="32" fontId="3" numFmtId="165" xfId="0" applyAlignment="1" applyBorder="1" applyFill="1" applyFont="1" applyNumberFormat="1">
      <alignment horizontal="left" vertical="center"/>
    </xf>
    <xf borderId="3" fillId="32" fontId="3" numFmtId="165" xfId="0" applyAlignment="1" applyBorder="1" applyFont="1" applyNumberFormat="1">
      <alignment horizontal="left" vertical="center"/>
    </xf>
    <xf borderId="5" fillId="0" fontId="7" numFmtId="0" xfId="0" applyAlignment="1" applyBorder="1" applyFont="1">
      <alignment vertical="center"/>
    </xf>
    <xf borderId="4" fillId="0" fontId="23" numFmtId="0" xfId="0" applyAlignment="1" applyBorder="1" applyFont="1">
      <alignment vertical="center"/>
    </xf>
    <xf borderId="5" fillId="0" fontId="24" numFmtId="165" xfId="0" applyAlignment="1" applyBorder="1" applyFont="1" applyNumberFormat="1">
      <alignment vertical="center"/>
    </xf>
    <xf borderId="4" fillId="0" fontId="24" numFmtId="165" xfId="0" applyAlignment="1" applyBorder="1" applyFont="1" applyNumberFormat="1">
      <alignment vertical="center"/>
    </xf>
    <xf borderId="0" fillId="0" fontId="24" numFmtId="165" xfId="0" applyAlignment="1" applyFont="1" applyNumberFormat="1">
      <alignment vertical="center"/>
    </xf>
    <xf borderId="4" fillId="0" fontId="24" numFmtId="165" xfId="0" applyBorder="1" applyFont="1" applyNumberFormat="1"/>
    <xf borderId="5" fillId="22" fontId="24" numFmtId="165" xfId="0" applyAlignment="1" applyBorder="1" applyFont="1" applyNumberFormat="1">
      <alignment horizontal="right" vertical="center"/>
    </xf>
    <xf borderId="4" fillId="22" fontId="24" numFmtId="165" xfId="0" applyAlignment="1" applyBorder="1" applyFont="1" applyNumberFormat="1">
      <alignment horizontal="right" vertical="center"/>
    </xf>
    <xf borderId="0" fillId="0" fontId="7" numFmtId="166" xfId="0" applyFont="1" applyNumberFormat="1"/>
    <xf borderId="0" fillId="0" fontId="3" numFmtId="166" xfId="0" applyAlignment="1" applyFont="1" applyNumberFormat="1">
      <alignment vertical="center"/>
    </xf>
    <xf borderId="5" fillId="32" fontId="3" numFmtId="165" xfId="0" applyAlignment="1" applyBorder="1" applyFont="1" applyNumberFormat="1">
      <alignment horizontal="left" vertical="center"/>
    </xf>
    <xf borderId="4" fillId="32" fontId="3" numFmtId="165" xfId="0" applyAlignment="1" applyBorder="1" applyFont="1" applyNumberFormat="1">
      <alignment horizontal="left" vertical="center"/>
    </xf>
    <xf borderId="0" fillId="0" fontId="7" numFmtId="0" xfId="0" applyFont="1"/>
    <xf borderId="5" fillId="0" fontId="24" numFmtId="171" xfId="0" applyAlignment="1" applyBorder="1" applyFont="1" applyNumberFormat="1">
      <alignment vertical="center"/>
    </xf>
    <xf borderId="0" fillId="0" fontId="24" numFmtId="171" xfId="0" applyAlignment="1" applyFont="1" applyNumberFormat="1">
      <alignment vertical="center"/>
    </xf>
    <xf borderId="8" fillId="0" fontId="7" numFmtId="0" xfId="0" applyAlignment="1" applyBorder="1" applyFont="1">
      <alignment vertical="center"/>
    </xf>
    <xf borderId="7" fillId="0" fontId="23" numFmtId="0" xfId="0" applyAlignment="1" applyBorder="1" applyFont="1">
      <alignment vertical="center"/>
    </xf>
    <xf borderId="8" fillId="0" fontId="24" numFmtId="165" xfId="0" applyAlignment="1" applyBorder="1" applyFont="1" applyNumberFormat="1">
      <alignment vertical="center"/>
    </xf>
    <xf borderId="7" fillId="0" fontId="24" numFmtId="165" xfId="0" applyAlignment="1" applyBorder="1" applyFont="1" applyNumberFormat="1">
      <alignment vertical="center"/>
    </xf>
    <xf borderId="6" fillId="0" fontId="24" numFmtId="165" xfId="0" applyAlignment="1" applyBorder="1" applyFont="1" applyNumberFormat="1">
      <alignment vertical="center"/>
    </xf>
    <xf borderId="8" fillId="22" fontId="24" numFmtId="165" xfId="0" applyAlignment="1" applyBorder="1" applyFont="1" applyNumberFormat="1">
      <alignment horizontal="right" vertical="center"/>
    </xf>
    <xf borderId="7" fillId="22" fontId="24" numFmtId="165" xfId="0" applyAlignment="1" applyBorder="1" applyFont="1" applyNumberFormat="1">
      <alignment horizontal="right" vertical="center"/>
    </xf>
    <xf borderId="0" fillId="0" fontId="7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26" fontId="7" numFmtId="0" xfId="0" applyAlignment="1" applyBorder="1" applyFont="1">
      <alignment shrinkToFit="0" vertical="center" wrapText="1"/>
    </xf>
    <xf borderId="8" fillId="26" fontId="7" numFmtId="0" xfId="0" applyAlignment="1" applyBorder="1" applyFont="1">
      <alignment vertical="center"/>
    </xf>
    <xf borderId="7" fillId="26" fontId="7" numFmtId="0" xfId="0" applyAlignment="1" applyBorder="1" applyFont="1">
      <alignment vertical="center"/>
    </xf>
    <xf borderId="5" fillId="25" fontId="3" numFmtId="10" xfId="0" applyAlignment="1" applyBorder="1" applyFont="1" applyNumberFormat="1">
      <alignment horizontal="left" vertical="center"/>
    </xf>
    <xf borderId="4" fillId="25" fontId="3" numFmtId="10" xfId="0" applyAlignment="1" applyBorder="1" applyFont="1" applyNumberFormat="1">
      <alignment horizontal="left" vertical="center"/>
    </xf>
    <xf borderId="5" fillId="9" fontId="3" numFmtId="10" xfId="0" applyAlignment="1" applyBorder="1" applyFont="1" applyNumberFormat="1">
      <alignment horizontal="left" vertical="center"/>
    </xf>
    <xf borderId="0" fillId="9" fontId="3" numFmtId="10" xfId="0" applyAlignment="1" applyFont="1" applyNumberFormat="1">
      <alignment horizontal="left" vertical="center"/>
    </xf>
    <xf borderId="5" fillId="30" fontId="3" numFmtId="10" xfId="0" applyAlignment="1" applyBorder="1" applyFont="1" applyNumberFormat="1">
      <alignment horizontal="left" vertical="center"/>
    </xf>
    <xf borderId="4" fillId="30" fontId="3" numFmtId="10" xfId="0" applyAlignment="1" applyBorder="1" applyFont="1" applyNumberFormat="1">
      <alignment horizontal="left" vertical="center"/>
    </xf>
    <xf borderId="0" fillId="31" fontId="3" numFmtId="10" xfId="0" applyAlignment="1" applyFont="1" applyNumberFormat="1">
      <alignment horizontal="left" vertical="center"/>
    </xf>
    <xf borderId="4" fillId="31" fontId="3" numFmtId="10" xfId="0" applyAlignment="1" applyBorder="1" applyFont="1" applyNumberFormat="1">
      <alignment horizontal="left" vertical="center"/>
    </xf>
    <xf borderId="0" fillId="18" fontId="3" numFmtId="10" xfId="0" applyAlignment="1" applyFont="1" applyNumberFormat="1">
      <alignment horizontal="left" vertical="center"/>
    </xf>
    <xf borderId="5" fillId="29" fontId="3" numFmtId="10" xfId="0" applyAlignment="1" applyBorder="1" applyFont="1" applyNumberFormat="1">
      <alignment horizontal="left" vertical="center"/>
    </xf>
    <xf borderId="4" fillId="29" fontId="3" numFmtId="10" xfId="0" applyAlignment="1" applyBorder="1" applyFont="1" applyNumberFormat="1">
      <alignment horizontal="left" vertical="center"/>
    </xf>
    <xf borderId="5" fillId="0" fontId="24" numFmtId="10" xfId="0" applyAlignment="1" applyBorder="1" applyFont="1" applyNumberFormat="1">
      <alignment vertical="center"/>
    </xf>
    <xf borderId="4" fillId="0" fontId="24" numFmtId="10" xfId="0" applyAlignment="1" applyBorder="1" applyFont="1" applyNumberFormat="1">
      <alignment vertical="center"/>
    </xf>
    <xf borderId="0" fillId="0" fontId="24" numFmtId="10" xfId="0" applyAlignment="1" applyFont="1" applyNumberFormat="1">
      <alignment vertical="center"/>
    </xf>
    <xf borderId="4" fillId="0" fontId="24" numFmtId="10" xfId="0" applyBorder="1" applyFont="1" applyNumberFormat="1"/>
    <xf borderId="4" fillId="18" fontId="3" numFmtId="10" xfId="0" applyAlignment="1" applyBorder="1" applyFont="1" applyNumberFormat="1">
      <alignment horizontal="left" vertical="center"/>
    </xf>
    <xf borderId="8" fillId="0" fontId="24" numFmtId="10" xfId="0" applyAlignment="1" applyBorder="1" applyFont="1" applyNumberFormat="1">
      <alignment vertical="center"/>
    </xf>
    <xf borderId="7" fillId="0" fontId="24" numFmtId="10" xfId="0" applyAlignment="1" applyBorder="1" applyFont="1" applyNumberFormat="1">
      <alignment vertical="center"/>
    </xf>
    <xf borderId="6" fillId="0" fontId="24" numFmtId="10" xfId="0" applyAlignment="1" applyBorder="1" applyFont="1" applyNumberFormat="1">
      <alignment vertical="center"/>
    </xf>
    <xf borderId="0" fillId="0" fontId="3" numFmtId="10" xfId="0" applyAlignment="1" applyFont="1" applyNumberFormat="1">
      <alignment horizontal="right" vertical="bottom"/>
    </xf>
    <xf borderId="0" fillId="0" fontId="3" numFmtId="2" xfId="0" applyAlignment="1" applyFont="1" applyNumberFormat="1">
      <alignment vertical="center"/>
    </xf>
    <xf borderId="0" fillId="0" fontId="3" numFmtId="10" xfId="0" applyAlignment="1" applyFont="1" applyNumberFormat="1">
      <alignment vertical="center"/>
    </xf>
    <xf borderId="5" fillId="22" fontId="24" numFmtId="10" xfId="0" applyAlignment="1" applyBorder="1" applyFont="1" applyNumberFormat="1">
      <alignment horizontal="right" vertical="center"/>
    </xf>
    <xf borderId="4" fillId="22" fontId="24" numFmtId="10" xfId="0" applyAlignment="1" applyBorder="1" applyFont="1" applyNumberFormat="1">
      <alignment horizontal="right" vertical="center"/>
    </xf>
    <xf borderId="8" fillId="22" fontId="24" numFmtId="10" xfId="0" applyAlignment="1" applyBorder="1" applyFont="1" applyNumberFormat="1">
      <alignment horizontal="right" vertical="center"/>
    </xf>
    <xf borderId="7" fillId="22" fontId="24" numFmtId="10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33" fontId="7" numFmtId="0" xfId="0" applyAlignment="1" applyFill="1" applyFont="1">
      <alignment horizontal="left" shrinkToFit="0" vertical="center" wrapText="1"/>
    </xf>
    <xf borderId="0" fillId="34" fontId="7" numFmtId="0" xfId="0" applyAlignment="1" applyFill="1" applyFont="1">
      <alignment horizontal="left" shrinkToFit="0" vertical="center" wrapText="1"/>
    </xf>
    <xf borderId="0" fillId="22" fontId="3" numFmtId="0" xfId="0" applyAlignment="1" applyFont="1">
      <alignment horizontal="center" vertical="center"/>
    </xf>
    <xf borderId="0" fillId="14" fontId="7" numFmtId="0" xfId="0" applyAlignment="1" applyFont="1">
      <alignment horizontal="left" shrinkToFit="0" vertical="center" wrapText="1"/>
    </xf>
    <xf borderId="0" fillId="22" fontId="3" numFmtId="0" xfId="0" applyAlignment="1" applyFont="1">
      <alignment horizontal="center" shrinkToFit="0" vertical="center" wrapText="1"/>
    </xf>
    <xf borderId="0" fillId="35" fontId="7" numFmtId="0" xfId="0" applyAlignment="1" applyFill="1" applyFont="1">
      <alignment horizontal="center" shrinkToFit="0" vertical="center" wrapText="1"/>
    </xf>
    <xf borderId="0" fillId="36" fontId="7" numFmtId="0" xfId="0" applyAlignment="1" applyFill="1" applyFont="1">
      <alignment horizontal="center" shrinkToFit="0" vertical="center" wrapText="1"/>
    </xf>
    <xf borderId="0" fillId="22" fontId="25" numFmtId="166" xfId="0" applyAlignment="1" applyFont="1" applyNumberFormat="1">
      <alignment horizontal="center" shrinkToFit="0" vertical="center" wrapText="1"/>
    </xf>
    <xf borderId="0" fillId="0" fontId="26" numFmtId="166" xfId="0" applyAlignment="1" applyFont="1" applyNumberFormat="1">
      <alignment horizontal="center" shrinkToFit="0" vertical="center" wrapText="1"/>
    </xf>
    <xf borderId="0" fillId="22" fontId="3" numFmtId="166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22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left" shrinkToFit="0" vertical="center" wrapText="1"/>
    </xf>
    <xf borderId="0" fillId="3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22" fontId="3" numFmtId="1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shrinkToFit="0" vertical="center" wrapText="1"/>
    </xf>
    <xf borderId="0" fillId="0" fontId="3" numFmtId="2" xfId="0" applyAlignment="1" applyFont="1" applyNumberFormat="1">
      <alignment horizontal="center" shrinkToFit="0" vertical="center" wrapText="1"/>
    </xf>
    <xf borderId="0" fillId="22" fontId="27" numFmtId="10" xfId="0" applyAlignment="1" applyFont="1" applyNumberFormat="1">
      <alignment horizontal="center" shrinkToFit="0" vertical="center" wrapText="1"/>
    </xf>
    <xf borderId="0" fillId="27" fontId="7" numFmtId="0" xfId="0" applyAlignment="1" applyFont="1">
      <alignment horizontal="left" shrinkToFit="0" vertical="center" wrapText="1"/>
    </xf>
    <xf borderId="0" fillId="31" fontId="7" numFmtId="0" xfId="0" applyAlignment="1" applyFont="1">
      <alignment horizontal="center" shrinkToFit="0" vertical="center" wrapText="1"/>
    </xf>
    <xf borderId="0" fillId="14" fontId="7" numFmtId="0" xfId="0" applyAlignment="1" applyFont="1">
      <alignment horizontal="center" shrinkToFit="0" vertical="center" wrapText="1"/>
    </xf>
    <xf borderId="0" fillId="22" fontId="25" numFmtId="3" xfId="0" applyAlignment="1" applyFont="1" applyNumberFormat="1">
      <alignment horizontal="center" shrinkToFit="0" vertical="center" wrapText="1"/>
    </xf>
    <xf borderId="0" fillId="30" fontId="3" numFmtId="3" xfId="0" applyAlignment="1" applyFont="1" applyNumberFormat="1">
      <alignment horizontal="center" shrinkToFit="0" vertical="center" wrapText="1"/>
    </xf>
    <xf borderId="0" fillId="28" fontId="7" numFmtId="0" xfId="0" applyAlignment="1" applyFont="1">
      <alignment horizontal="left" shrinkToFit="0" vertical="center" wrapText="1"/>
    </xf>
    <xf borderId="0" fillId="0" fontId="28" numFmtId="166" xfId="0" applyAlignment="1" applyFont="1" applyNumberForma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18" fontId="7" numFmtId="0" xfId="0" applyAlignment="1" applyFont="1">
      <alignment horizontal="center" shrinkToFit="0" vertical="center" wrapText="1"/>
    </xf>
    <xf borderId="0" fillId="15" fontId="7" numFmtId="0" xfId="0" applyAlignment="1" applyFont="1">
      <alignment horizontal="left" shrinkToFit="0" vertical="center" wrapText="1"/>
    </xf>
    <xf borderId="0" fillId="30" fontId="30" numFmtId="0" xfId="0" applyAlignment="1" applyFont="1">
      <alignment horizontal="center" shrinkToFit="0" vertical="center" wrapText="1"/>
    </xf>
    <xf borderId="0" fillId="30" fontId="23" numFmtId="0" xfId="0" applyAlignment="1" applyFont="1">
      <alignment horizontal="center" shrinkToFit="0" vertical="center" wrapText="1"/>
    </xf>
    <xf borderId="0" fillId="0" fontId="3" numFmtId="172" xfId="0" applyAlignment="1" applyFont="1" applyNumberFormat="1">
      <alignment horizontal="center"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0" fillId="15" fontId="7" numFmtId="0" xfId="0" applyAlignment="1" applyFont="1">
      <alignment horizontal="center" shrinkToFit="0" vertical="center" wrapText="1"/>
    </xf>
    <xf borderId="0" fillId="31" fontId="30" numFmtId="0" xfId="0" applyAlignment="1" applyFont="1">
      <alignment horizontal="center" shrinkToFit="0" vertical="center" wrapText="1"/>
    </xf>
    <xf borderId="0" fillId="31" fontId="23" numFmtId="0" xfId="0" applyAlignment="1" applyFont="1">
      <alignment horizontal="center" shrinkToFit="0" vertical="center" wrapText="1"/>
    </xf>
    <xf borderId="0" fillId="36" fontId="7" numFmtId="0" xfId="0" applyAlignment="1" applyFont="1">
      <alignment horizontal="left" shrinkToFit="0" vertical="center" wrapText="1"/>
    </xf>
    <xf borderId="0" fillId="18" fontId="30" numFmtId="0" xfId="0" applyAlignment="1" applyFont="1">
      <alignment horizontal="center" shrinkToFit="0" vertical="center" wrapText="1"/>
    </xf>
    <xf borderId="0" fillId="18" fontId="23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30" fontId="7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29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27" fontId="7" numFmtId="0" xfId="0" applyAlignment="1" applyFont="1">
      <alignment horizontal="center" shrinkToFit="0" vertical="center" wrapText="1"/>
    </xf>
    <xf borderId="0" fillId="31" fontId="7" numFmtId="0" xfId="0" applyAlignment="1" applyFont="1">
      <alignment horizontal="left" shrinkToFit="0" vertical="center" wrapText="1"/>
    </xf>
    <xf borderId="0" fillId="28" fontId="7" numFmtId="0" xfId="0" applyAlignment="1" applyFont="1">
      <alignment horizontal="center" shrinkToFit="0" vertical="center" wrapText="1"/>
    </xf>
    <xf borderId="0" fillId="18" fontId="7" numFmtId="0" xfId="0" applyAlignment="1" applyFont="1">
      <alignment horizontal="left" shrinkToFit="0" vertical="center" wrapText="1"/>
    </xf>
    <xf borderId="0" fillId="37" fontId="7" numFmtId="0" xfId="0" applyAlignment="1" applyFill="1" applyFont="1">
      <alignment vertical="center"/>
    </xf>
    <xf borderId="0" fillId="0" fontId="29" numFmtId="0" xfId="0" applyAlignment="1" applyFont="1">
      <alignment vertical="center"/>
    </xf>
    <xf borderId="0" fillId="10" fontId="7" numFmtId="0" xfId="0" applyAlignment="1" applyFont="1">
      <alignment horizontal="left" vertical="center"/>
    </xf>
    <xf borderId="0" fillId="1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3" xfId="0" applyAlignment="1" applyFont="1" applyNumberFormat="1">
      <alignment horizontal="left" shrinkToFit="0" vertical="center" wrapText="1"/>
    </xf>
    <xf borderId="0" fillId="0" fontId="3" numFmtId="2" xfId="0" applyAlignment="1" applyFont="1" applyNumberFormat="1">
      <alignment horizontal="left" shrinkToFit="0" vertical="center" wrapText="1"/>
    </xf>
    <xf borderId="0" fillId="0" fontId="31" numFmtId="9" xfId="0" applyAlignment="1" applyFont="1" applyNumberFormat="1">
      <alignment horizontal="left" vertical="center"/>
    </xf>
    <xf borderId="0" fillId="0" fontId="3" numFmtId="3" xfId="0" applyAlignment="1" applyFont="1" applyNumberFormat="1">
      <alignment horizontal="left" vertical="center"/>
    </xf>
    <xf borderId="0" fillId="24" fontId="7" numFmtId="0" xfId="0" applyAlignment="1" applyFont="1">
      <alignment horizontal="left" vertical="center"/>
    </xf>
    <xf borderId="0" fillId="0" fontId="32" numFmtId="0" xfId="0" applyAlignment="1" applyFont="1">
      <alignment horizontal="left" vertical="center"/>
    </xf>
    <xf borderId="0" fillId="0" fontId="32" numFmtId="9" xfId="0" applyAlignment="1" applyFont="1" applyNumberFormat="1">
      <alignment horizontal="left" vertical="center"/>
    </xf>
    <xf borderId="0" fillId="25" fontId="7" numFmtId="0" xfId="0" applyAlignment="1" applyFont="1">
      <alignment horizontal="left" shrinkToFit="0" vertical="center" wrapText="1"/>
    </xf>
    <xf borderId="0" fillId="22" fontId="33" numFmtId="0" xfId="0" applyAlignment="1" applyFont="1">
      <alignment horizontal="left" vertical="center"/>
    </xf>
    <xf borderId="0" fillId="0" fontId="3" numFmtId="10" xfId="0" applyAlignment="1" applyFont="1" applyNumberFormat="1">
      <alignment horizontal="left" vertical="center"/>
    </xf>
    <xf borderId="0" fillId="0" fontId="3" numFmtId="2" xfId="0" applyAlignment="1" applyFont="1" applyNumberFormat="1">
      <alignment horizontal="left" vertical="center"/>
    </xf>
    <xf borderId="0" fillId="0" fontId="3" numFmtId="166" xfId="0" applyAlignment="1" applyFont="1" applyNumberFormat="1">
      <alignment horizontal="left" vertical="center"/>
    </xf>
    <xf borderId="0" fillId="0" fontId="3" numFmtId="9" xfId="0" applyAlignment="1" applyFont="1" applyNumberFormat="1">
      <alignment horizontal="left" vertical="center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horizontal="right" vertical="bottom"/>
    </xf>
    <xf borderId="0" fillId="0" fontId="3" numFmtId="10" xfId="0" applyFont="1" applyNumberFormat="1"/>
    <xf borderId="0" fillId="0" fontId="3" numFmtId="1" xfId="0" applyFont="1" applyNumberFormat="1"/>
    <xf borderId="0" fillId="38" fontId="34" numFmtId="0" xfId="0" applyAlignment="1" applyFill="1" applyFont="1">
      <alignment vertical="center"/>
    </xf>
    <xf borderId="0" fillId="0" fontId="35" numFmtId="0" xfId="0" applyAlignment="1" applyFont="1">
      <alignment vertical="center"/>
    </xf>
    <xf borderId="0" fillId="24" fontId="7" numFmtId="0" xfId="0" applyAlignment="1" applyFont="1">
      <alignment horizontal="center" vertical="center"/>
    </xf>
    <xf borderId="0" fillId="24" fontId="7" numFmtId="0" xfId="0" applyAlignment="1" applyFont="1">
      <alignment vertical="center"/>
    </xf>
    <xf borderId="0" fillId="22" fontId="3" numFmtId="0" xfId="0" applyAlignment="1" applyFont="1">
      <alignment horizontal="left" vertical="center"/>
    </xf>
    <xf borderId="0" fillId="22" fontId="3" numFmtId="165" xfId="0" applyAlignment="1" applyFont="1" applyNumberFormat="1">
      <alignment horizontal="left" vertical="center"/>
    </xf>
    <xf borderId="0" fillId="22" fontId="3" numFmtId="168" xfId="0" applyAlignment="1" applyFont="1" applyNumberFormat="1">
      <alignment horizontal="left" vertical="center"/>
    </xf>
    <xf borderId="0" fillId="22" fontId="3" numFmtId="167" xfId="0" applyAlignment="1" applyFont="1" applyNumberFormat="1">
      <alignment horizontal="left" vertical="center"/>
    </xf>
    <xf borderId="0" fillId="25" fontId="7" numFmtId="0" xfId="0" applyAlignment="1" applyFont="1">
      <alignment shrinkToFit="0" vertical="center" wrapText="0"/>
    </xf>
    <xf borderId="0" fillId="25" fontId="3" numFmtId="0" xfId="0" applyAlignment="1" applyFont="1">
      <alignment vertical="center"/>
    </xf>
    <xf borderId="0" fillId="25" fontId="3" numFmtId="0" xfId="0" applyAlignment="1" applyFont="1">
      <alignment horizontal="center" vertical="center"/>
    </xf>
    <xf borderId="0" fillId="25" fontId="3" numFmtId="165" xfId="0" applyAlignment="1" applyFont="1" applyNumberFormat="1">
      <alignment horizontal="right" vertical="center"/>
    </xf>
    <xf borderId="0" fillId="25" fontId="3" numFmtId="10" xfId="0" applyAlignment="1" applyFont="1" applyNumberFormat="1">
      <alignment horizontal="right" vertical="center"/>
    </xf>
    <xf borderId="0" fillId="0" fontId="36" numFmtId="0" xfId="0" applyAlignment="1" applyFont="1">
      <alignment vertical="center"/>
    </xf>
    <xf borderId="0" fillId="0" fontId="36" numFmtId="0" xfId="0" applyAlignment="1" applyFont="1">
      <alignment horizontal="center" vertical="center"/>
    </xf>
    <xf borderId="0" fillId="0" fontId="36" numFmtId="165" xfId="0" applyAlignment="1" applyFont="1" applyNumberFormat="1">
      <alignment horizontal="center" vertical="center"/>
    </xf>
    <xf borderId="0" fillId="0" fontId="36" numFmtId="10" xfId="0" applyAlignment="1" applyFont="1" applyNumberFormat="1">
      <alignment horizontal="right" vertical="center"/>
    </xf>
    <xf borderId="0" fillId="22" fontId="3" numFmtId="166" xfId="0" applyAlignment="1" applyFont="1" applyNumberFormat="1">
      <alignment horizontal="left" vertical="center"/>
    </xf>
    <xf borderId="0" fillId="0" fontId="36" numFmtId="165" xfId="0" applyAlignment="1" applyFont="1" applyNumberFormat="1">
      <alignment horizontal="right" vertical="center"/>
    </xf>
    <xf borderId="0" fillId="0" fontId="37" numFmtId="0" xfId="0" applyAlignment="1" applyFont="1">
      <alignment horizontal="right" vertical="center"/>
    </xf>
    <xf borderId="0" fillId="22" fontId="3" numFmtId="2" xfId="0" applyAlignment="1" applyFont="1" applyNumberFormat="1">
      <alignment horizontal="left" vertical="center"/>
    </xf>
    <xf borderId="0" fillId="24" fontId="7" numFmtId="0" xfId="0" applyAlignment="1" applyFont="1">
      <alignment horizontal="right" vertical="center"/>
    </xf>
    <xf borderId="0" fillId="24" fontId="7" numFmtId="165" xfId="0" applyAlignment="1" applyFont="1" applyNumberFormat="1">
      <alignment horizontal="center" vertical="center"/>
    </xf>
    <xf borderId="0" fillId="25" fontId="7" numFmtId="0" xfId="0" applyAlignment="1" applyFont="1">
      <alignment horizontal="center" vertical="center"/>
    </xf>
    <xf borderId="0" fillId="25" fontId="7" numFmtId="0" xfId="0" applyAlignment="1" applyFont="1">
      <alignment vertical="center"/>
    </xf>
    <xf borderId="0" fillId="24" fontId="7" numFmtId="165" xfId="0" applyAlignment="1" applyFont="1" applyNumberFormat="1">
      <alignment horizontal="right" vertical="center"/>
    </xf>
    <xf borderId="0" fillId="0" fontId="35" numFmtId="0" xfId="0" applyAlignment="1" applyFont="1">
      <alignment shrinkToFit="0" vertical="center" wrapText="0"/>
    </xf>
    <xf borderId="0" fillId="0" fontId="37" numFmtId="0" xfId="0" applyAlignment="1" applyFont="1">
      <alignment vertical="center"/>
    </xf>
    <xf borderId="0" fillId="0" fontId="3" numFmtId="165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right" vertical="center"/>
    </xf>
    <xf borderId="0" fillId="0" fontId="34" numFmtId="0" xfId="0" applyAlignment="1" applyFont="1">
      <alignment vertical="center"/>
    </xf>
    <xf borderId="0" fillId="0" fontId="29" numFmtId="0" xfId="0" applyAlignment="1" applyFont="1">
      <alignment horizontal="right" vertical="center"/>
    </xf>
    <xf borderId="0" fillId="0" fontId="29" numFmtId="1" xfId="0" applyAlignment="1" applyFont="1" applyNumberFormat="1">
      <alignment vertical="center"/>
    </xf>
    <xf borderId="0" fillId="22" fontId="3" numFmtId="0" xfId="0" applyAlignment="1" applyFont="1">
      <alignment vertical="center"/>
    </xf>
    <xf borderId="0" fillId="22" fontId="3" numFmtId="169" xfId="0" applyAlignment="1" applyFont="1" applyNumberFormat="1">
      <alignment horizontal="left" vertical="center"/>
    </xf>
    <xf borderId="0" fillId="22" fontId="3" numFmtId="1" xfId="0" applyAlignment="1" applyFont="1" applyNumberFormat="1">
      <alignment horizontal="left" vertical="center"/>
    </xf>
    <xf borderId="0" fillId="22" fontId="3" numFmtId="9" xfId="0" applyAlignment="1" applyFont="1" applyNumberFormat="1">
      <alignment horizontal="left" vertical="center"/>
    </xf>
    <xf borderId="0" fillId="22" fontId="33" numFmtId="0" xfId="0" applyAlignment="1" applyFont="1">
      <alignment vertical="center"/>
    </xf>
    <xf borderId="0" fillId="0" fontId="31" numFmtId="0" xfId="0" applyAlignment="1" applyFont="1">
      <alignment horizontal="center" vertical="center"/>
    </xf>
    <xf borderId="0" fillId="24" fontId="3" numFmtId="0" xfId="0" applyAlignment="1" applyFont="1">
      <alignment vertical="center"/>
    </xf>
    <xf borderId="0" fillId="22" fontId="3" numFmtId="171" xfId="0" applyAlignment="1" applyFont="1" applyNumberFormat="1">
      <alignment horizontal="left" vertical="center"/>
    </xf>
    <xf borderId="0" fillId="22" fontId="33" numFmtId="1" xfId="0" applyAlignment="1" applyFont="1" applyNumberFormat="1">
      <alignment horizontal="left" vertical="center"/>
    </xf>
    <xf borderId="0" fillId="22" fontId="33" numFmtId="171" xfId="0" applyAlignment="1" applyFont="1" applyNumberFormat="1">
      <alignment horizontal="left" vertical="center"/>
    </xf>
    <xf borderId="0" fillId="0" fontId="3" numFmtId="1" xfId="0" applyAlignment="1" applyFont="1" applyNumberFormat="1">
      <alignment vertical="center"/>
    </xf>
    <xf borderId="0" fillId="39" fontId="3" numFmtId="0" xfId="0" applyAlignment="1" applyFill="1" applyFont="1">
      <alignment horizontal="center" vertical="center"/>
    </xf>
    <xf borderId="0" fillId="39" fontId="3" numFmtId="0" xfId="0" applyAlignment="1" applyFont="1">
      <alignment vertical="center"/>
    </xf>
    <xf borderId="0" fillId="39" fontId="3" numFmtId="10" xfId="0" applyAlignment="1" applyFont="1" applyNumberFormat="1">
      <alignment horizontal="left" vertical="center"/>
    </xf>
    <xf borderId="0" fillId="39" fontId="3" numFmtId="165" xfId="0" applyAlignment="1" applyFont="1" applyNumberFormat="1">
      <alignment horizontal="left" vertical="center"/>
    </xf>
    <xf borderId="0" fillId="39" fontId="3" numFmtId="9" xfId="0" applyAlignment="1" applyFont="1" applyNumberFormat="1">
      <alignment horizontal="left" vertical="center"/>
    </xf>
    <xf borderId="0" fillId="32" fontId="3" numFmtId="0" xfId="0" applyAlignment="1" applyFont="1">
      <alignment horizontal="center" vertical="center"/>
    </xf>
    <xf borderId="0" fillId="32" fontId="3" numFmtId="0" xfId="0" applyAlignment="1" applyFont="1">
      <alignment vertical="center"/>
    </xf>
    <xf borderId="0" fillId="32" fontId="3" numFmtId="10" xfId="0" applyAlignment="1" applyFont="1" applyNumberFormat="1">
      <alignment horizontal="left" vertical="center"/>
    </xf>
    <xf borderId="0" fillId="32" fontId="3" numFmtId="165" xfId="0" applyAlignment="1" applyFont="1" applyNumberFormat="1">
      <alignment horizontal="left" vertical="center"/>
    </xf>
    <xf borderId="0" fillId="32" fontId="3" numFmtId="9" xfId="0" applyAlignment="1" applyFont="1" applyNumberFormat="1">
      <alignment horizontal="left" vertical="center"/>
    </xf>
    <xf borderId="0" fillId="23" fontId="7" numFmtId="0" xfId="0" applyAlignment="1" applyFont="1">
      <alignment shrinkToFit="0" vertical="center" wrapText="1"/>
    </xf>
    <xf borderId="0" fillId="24" fontId="7" numFmtId="0" xfId="0" applyAlignment="1" applyFont="1">
      <alignment horizontal="center" shrinkToFit="0" vertical="center" wrapText="1"/>
    </xf>
    <xf borderId="0" fillId="38" fontId="34" numFmtId="0" xfId="0" applyAlignment="1" applyFont="1">
      <alignment shrinkToFit="0" vertical="center" wrapText="1"/>
    </xf>
    <xf borderId="0" fillId="25" fontId="7" numFmtId="0" xfId="0" applyAlignment="1" applyFont="1">
      <alignment shrinkToFit="0" vertical="center" wrapText="1"/>
    </xf>
    <xf borderId="0" fillId="25" fontId="7" numFmtId="0" xfId="0" applyAlignment="1" applyFont="1">
      <alignment shrinkToFit="0" wrapText="1"/>
    </xf>
    <xf borderId="0" fillId="0" fontId="3" numFmtId="10" xfId="0" applyAlignment="1" applyFont="1" applyNumberFormat="1">
      <alignment shrinkToFit="0" vertical="center" wrapText="1"/>
    </xf>
    <xf borderId="0" fillId="0" fontId="35" numFmtId="0" xfId="0" applyAlignment="1" applyFont="1">
      <alignment shrinkToFit="0" vertical="center" wrapText="1"/>
    </xf>
    <xf borderId="0" fillId="24" fontId="38" numFmtId="0" xfId="0" applyAlignment="1" applyFont="1">
      <alignment horizontal="left" shrinkToFit="0" vertical="center" wrapText="1"/>
    </xf>
    <xf borderId="0" fillId="25" fontId="39" numFmtId="0" xfId="0" applyAlignment="1" applyFont="1">
      <alignment horizontal="left" shrinkToFit="0" vertical="center" wrapText="1"/>
    </xf>
    <xf borderId="0" fillId="0" fontId="3" numFmtId="165" xfId="0" applyAlignment="1" applyFont="1" applyNumberFormat="1">
      <alignment horizontal="left" shrinkToFit="0" vertical="center" wrapText="1"/>
    </xf>
    <xf borderId="0" fillId="0" fontId="3" numFmtId="171" xfId="0" applyAlignment="1" applyFont="1" applyNumberFormat="1">
      <alignment horizontal="left" shrinkToFit="0" vertical="center" wrapText="1"/>
    </xf>
    <xf borderId="0" fillId="0" fontId="3" numFmtId="166" xfId="0" applyAlignment="1" applyFont="1" applyNumberForma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25" fontId="40" numFmtId="0" xfId="0" applyAlignment="1" applyFont="1">
      <alignment horizontal="left" shrinkToFit="0" vertical="center" wrapText="1"/>
    </xf>
    <xf borderId="0" fillId="22" fontId="25" numFmtId="172" xfId="0" applyAlignment="1" applyFont="1" applyNumberFormat="1">
      <alignment horizontal="left" shrinkToFit="0" vertical="center" wrapText="1"/>
    </xf>
    <xf borderId="0" fillId="22" fontId="25" numFmtId="3" xfId="0" applyAlignment="1" applyFont="1" applyNumberFormat="1">
      <alignment horizontal="left" shrinkToFit="0" vertical="center" wrapText="1"/>
    </xf>
    <xf borderId="0" fillId="22" fontId="3" numFmtId="0" xfId="0" applyAlignment="1" applyFont="1">
      <alignment shrinkToFit="0" vertical="center" wrapText="1"/>
    </xf>
    <xf borderId="0" fillId="22" fontId="7" numFmtId="0" xfId="0" applyAlignment="1" applyFont="1">
      <alignment shrinkToFit="0" vertical="center" wrapText="1"/>
    </xf>
    <xf borderId="0" fillId="22" fontId="3" numFmtId="0" xfId="0" applyAlignment="1" applyFont="1">
      <alignment shrinkToFit="0" wrapText="1"/>
    </xf>
    <xf borderId="0" fillId="22" fontId="3" numFmtId="0" xfId="0" applyFont="1"/>
    <xf borderId="0" fillId="0" fontId="29" numFmtId="0" xfId="0" applyAlignment="1" applyFont="1">
      <alignment horizontal="right"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4" xfId="0" applyAlignment="1" applyFont="1" applyNumberFormat="1">
      <alignment shrinkToFit="0" vertical="center" wrapText="1"/>
    </xf>
    <xf borderId="0" fillId="0" fontId="3" numFmtId="0" xfId="0" applyAlignment="1" applyFont="1">
      <alignment horizontal="left" shrinkToFit="0" wrapText="1"/>
    </xf>
    <xf borderId="0" fillId="0" fontId="26" numFmtId="166" xfId="0" applyAlignment="1" applyFont="1" applyNumberFormat="1">
      <alignment horizontal="left" shrinkToFit="0" vertical="center" wrapText="1"/>
    </xf>
    <xf borderId="0" fillId="25" fontId="41" numFmtId="0" xfId="0" applyAlignment="1" applyFont="1">
      <alignment shrinkToFit="0" vertical="center" wrapText="1"/>
    </xf>
    <xf borderId="0" fillId="25" fontId="42" numFmtId="0" xfId="0" applyAlignment="1" applyFont="1">
      <alignment shrinkToFit="0" vertical="center" wrapText="1"/>
    </xf>
    <xf borderId="0" fillId="24" fontId="39" numFmtId="0" xfId="0" applyAlignment="1" applyFont="1">
      <alignment horizontal="left" shrinkToFit="0" vertical="center" wrapText="1"/>
    </xf>
    <xf borderId="0" fillId="0" fontId="3" numFmtId="1" xfId="0" applyAlignment="1" applyFont="1" applyNumberFormat="1">
      <alignment horizontal="left" shrinkToFit="0" vertical="center" wrapText="1"/>
    </xf>
    <xf borderId="0" fillId="0" fontId="25" numFmtId="2" xfId="0" applyAlignment="1" applyFont="1" applyNumberFormat="1">
      <alignment horizontal="left" shrinkToFit="0" vertical="center" wrapText="1"/>
    </xf>
    <xf borderId="0" fillId="24" fontId="43" numFmtId="0" xfId="0" applyAlignment="1" applyFont="1">
      <alignment horizontal="left" shrinkToFit="0" vertical="center" wrapText="1"/>
    </xf>
    <xf borderId="0" fillId="40" fontId="34" numFmtId="0" xfId="0" applyAlignment="1" applyFill="1" applyFont="1">
      <alignment vertical="center"/>
    </xf>
    <xf borderId="0" fillId="0" fontId="44" numFmtId="0" xfId="0" applyAlignment="1" applyFont="1">
      <alignment vertical="center"/>
    </xf>
    <xf borderId="0" fillId="5" fontId="7" numFmtId="0" xfId="0" applyAlignment="1" applyFont="1">
      <alignment horizontal="center" vertical="center"/>
    </xf>
    <xf borderId="0" fillId="5" fontId="7" numFmtId="0" xfId="0" applyAlignment="1" applyFont="1">
      <alignment vertical="center"/>
    </xf>
    <xf borderId="0" fillId="5" fontId="7" numFmtId="0" xfId="0" applyAlignment="1" applyFont="1">
      <alignment horizontal="left" vertical="center"/>
    </xf>
    <xf borderId="0" fillId="39" fontId="33" numFmtId="0" xfId="0" applyAlignment="1" applyFont="1">
      <alignment vertical="center"/>
    </xf>
    <xf borderId="0" fillId="39" fontId="3" numFmtId="3" xfId="0" applyAlignment="1" applyFont="1" applyNumberFormat="1">
      <alignment horizontal="left" vertical="center"/>
    </xf>
    <xf borderId="0" fillId="39" fontId="3" numFmtId="167" xfId="0" applyAlignment="1" applyFont="1" applyNumberFormat="1">
      <alignment horizontal="left" vertical="center"/>
    </xf>
    <xf borderId="0" fillId="0" fontId="3" numFmtId="165" xfId="0" applyAlignment="1" applyFont="1" applyNumberFormat="1">
      <alignment horizontal="left" vertical="center"/>
    </xf>
    <xf borderId="0" fillId="30" fontId="7" numFmtId="0" xfId="0" applyAlignment="1" applyFont="1">
      <alignment shrinkToFit="0" vertical="center" wrapText="0"/>
    </xf>
    <xf borderId="0" fillId="30" fontId="3" numFmtId="0" xfId="0" applyAlignment="1" applyFont="1">
      <alignment vertical="center"/>
    </xf>
    <xf borderId="0" fillId="30" fontId="3" numFmtId="0" xfId="0" applyAlignment="1" applyFont="1">
      <alignment horizontal="center" vertical="center"/>
    </xf>
    <xf borderId="0" fillId="30" fontId="3" numFmtId="165" xfId="0" applyAlignment="1" applyFont="1" applyNumberFormat="1">
      <alignment vertical="center"/>
    </xf>
    <xf borderId="0" fillId="30" fontId="3" numFmtId="10" xfId="0" applyAlignment="1" applyFont="1" applyNumberFormat="1">
      <alignment vertical="center"/>
    </xf>
    <xf borderId="0" fillId="5" fontId="7" numFmtId="0" xfId="0" applyAlignment="1" applyFont="1">
      <alignment horizontal="right" vertical="center"/>
    </xf>
    <xf borderId="0" fillId="5" fontId="7" numFmtId="165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30" fontId="7" numFmtId="0" xfId="0" applyAlignment="1" applyFont="1">
      <alignment horizontal="center" vertical="center"/>
    </xf>
    <xf borderId="0" fillId="30" fontId="7" numFmtId="0" xfId="0" applyAlignment="1" applyFont="1">
      <alignment vertical="center"/>
    </xf>
    <xf borderId="0" fillId="5" fontId="7" numFmtId="165" xfId="0" applyAlignment="1" applyFont="1" applyNumberFormat="1">
      <alignment vertical="center"/>
    </xf>
    <xf borderId="0" fillId="0" fontId="44" numFmtId="0" xfId="0" applyAlignment="1" applyFont="1">
      <alignment shrinkToFit="0" vertical="center" wrapText="0"/>
    </xf>
    <xf borderId="0" fillId="0" fontId="3" numFmtId="3" xfId="0" applyAlignment="1" applyFont="1" applyNumberFormat="1">
      <alignment horizontal="center" vertical="center"/>
    </xf>
    <xf borderId="0" fillId="0" fontId="45" numFmtId="0" xfId="0" applyAlignment="1" applyFont="1">
      <alignment vertical="center"/>
    </xf>
    <xf borderId="0" fillId="5" fontId="7" numFmtId="165" xfId="0" applyAlignment="1" applyFont="1" applyNumberFormat="1">
      <alignment horizontal="right" vertical="center"/>
    </xf>
    <xf borderId="0" fillId="0" fontId="46" numFmtId="0" xfId="0" applyAlignment="1" applyFont="1">
      <alignment vertical="center"/>
    </xf>
    <xf borderId="0" fillId="0" fontId="45" numFmtId="1" xfId="0" applyAlignment="1" applyFont="1" applyNumberFormat="1">
      <alignment horizontal="center" vertical="center"/>
    </xf>
    <xf borderId="0" fillId="0" fontId="37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right" vertical="center"/>
    </xf>
    <xf borderId="0" fillId="5" fontId="3" numFmtId="0" xfId="0" applyAlignment="1" applyFont="1">
      <alignment vertical="center"/>
    </xf>
    <xf borderId="0" fillId="0" fontId="3" numFmtId="1" xfId="0" applyAlignment="1" applyFont="1" applyNumberFormat="1">
      <alignment horizontal="left" vertical="center"/>
    </xf>
    <xf borderId="0" fillId="0" fontId="3" numFmtId="167" xfId="0" applyAlignment="1" applyFont="1" applyNumberFormat="1">
      <alignment horizontal="left" vertical="center"/>
    </xf>
    <xf borderId="0" fillId="40" fontId="34" numFmtId="0" xfId="0" applyAlignment="1" applyFont="1">
      <alignment shrinkToFit="0" vertical="center" wrapText="1"/>
    </xf>
    <xf borderId="0" fillId="5" fontId="47" numFmtId="0" xfId="0" applyAlignment="1" applyFont="1">
      <alignment horizontal="left" shrinkToFit="0" vertical="center" wrapText="0"/>
    </xf>
    <xf borderId="0" fillId="5" fontId="7" numFmtId="0" xfId="0" applyAlignment="1" applyFont="1">
      <alignment shrinkToFit="0" vertical="center" wrapText="1"/>
    </xf>
    <xf borderId="0" fillId="30" fontId="47" numFmtId="0" xfId="0" applyAlignment="1" applyFont="1">
      <alignment horizontal="left" shrinkToFit="0" vertical="center" wrapText="1"/>
    </xf>
    <xf borderId="0" fillId="30" fontId="7" numFmtId="0" xfId="0" applyAlignment="1" applyFont="1">
      <alignment shrinkToFit="0" vertical="center" wrapText="1"/>
    </xf>
    <xf borderId="0" fillId="0" fontId="26" numFmtId="0" xfId="0" applyAlignment="1" applyFont="1">
      <alignment horizontal="left" shrinkToFit="0" vertical="center" wrapText="1"/>
    </xf>
    <xf borderId="0" fillId="0" fontId="25" numFmtId="165" xfId="0" applyAlignment="1" applyFont="1" applyNumberFormat="1">
      <alignment horizontal="left" shrinkToFit="0" vertical="center" wrapText="0"/>
    </xf>
    <xf borderId="0" fillId="0" fontId="26" numFmtId="165" xfId="0" applyAlignment="1" applyFont="1" applyNumberFormat="1">
      <alignment horizontal="left" shrinkToFit="0" vertical="center" wrapText="1"/>
    </xf>
    <xf borderId="0" fillId="0" fontId="37" numFmtId="0" xfId="0" applyAlignment="1" applyFont="1">
      <alignment shrinkToFit="0" vertical="center" wrapText="0"/>
    </xf>
    <xf borderId="0" fillId="22" fontId="25" numFmtId="165" xfId="0" applyAlignment="1" applyFont="1" applyNumberFormat="1">
      <alignment horizontal="left" shrinkToFit="0" vertical="center" wrapText="0"/>
    </xf>
    <xf borderId="0" fillId="5" fontId="7" numFmtId="0" xfId="0" applyAlignment="1" applyFont="1">
      <alignment horizontal="right" shrinkToFit="0" vertical="center" wrapText="1"/>
    </xf>
    <xf borderId="0" fillId="5" fontId="7" numFmtId="165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horizontal="left" vertical="center"/>
    </xf>
    <xf borderId="0" fillId="0" fontId="48" numFmtId="0" xfId="0" applyAlignment="1" applyFont="1">
      <alignment vertical="center"/>
    </xf>
    <xf borderId="0" fillId="6" fontId="34" numFmtId="0" xfId="0" applyAlignment="1" applyFont="1">
      <alignment vertical="center"/>
    </xf>
    <xf borderId="0" fillId="19" fontId="7" numFmtId="0" xfId="0" applyAlignment="1" applyFont="1">
      <alignment horizontal="center" vertical="center"/>
    </xf>
    <xf borderId="0" fillId="19" fontId="7" numFmtId="0" xfId="0" applyAlignment="1" applyFont="1">
      <alignment horizontal="left" vertical="center"/>
    </xf>
    <xf borderId="0" fillId="9" fontId="7" numFmtId="0" xfId="0" applyAlignment="1" applyFont="1">
      <alignment shrinkToFit="0" vertical="center" wrapText="0"/>
    </xf>
    <xf borderId="0" fillId="9" fontId="3" numFmtId="0" xfId="0" applyAlignment="1" applyFont="1">
      <alignment horizontal="center" vertical="center"/>
    </xf>
    <xf borderId="0" fillId="9" fontId="3" numFmtId="10" xfId="0" applyAlignment="1" applyFont="1" applyNumberFormat="1">
      <alignment vertical="center"/>
    </xf>
    <xf borderId="0" fillId="19" fontId="7" numFmtId="0" xfId="0" applyAlignment="1" applyFont="1">
      <alignment horizontal="right" vertical="center"/>
    </xf>
    <xf borderId="0" fillId="19" fontId="7" numFmtId="165" xfId="0" applyAlignment="1" applyFont="1" applyNumberFormat="1">
      <alignment horizontal="center" vertical="center"/>
    </xf>
    <xf borderId="0" fillId="0" fontId="3" numFmtId="169" xfId="0" applyAlignment="1" applyFont="1" applyNumberFormat="1">
      <alignment vertical="center"/>
    </xf>
    <xf borderId="0" fillId="9" fontId="7" numFmtId="0" xfId="0" applyAlignment="1" applyFont="1">
      <alignment horizontal="center" vertical="center"/>
    </xf>
    <xf borderId="0" fillId="9" fontId="7" numFmtId="0" xfId="0" applyAlignment="1" applyFont="1">
      <alignment vertical="center"/>
    </xf>
    <xf borderId="0" fillId="19" fontId="7" numFmtId="165" xfId="0" applyAlignment="1" applyFont="1" applyNumberFormat="1">
      <alignment vertical="center"/>
    </xf>
    <xf borderId="0" fillId="0" fontId="46" numFmtId="0" xfId="0" applyAlignment="1" applyFont="1">
      <alignment shrinkToFit="0" vertical="center" wrapText="0"/>
    </xf>
    <xf borderId="0" fillId="19" fontId="7" numFmtId="165" xfId="0" applyAlignment="1" applyFont="1" applyNumberFormat="1">
      <alignment horizontal="right" vertical="center"/>
    </xf>
    <xf borderId="0" fillId="19" fontId="3" numFmtId="0" xfId="0" applyAlignment="1" applyFont="1">
      <alignment vertical="center"/>
    </xf>
    <xf borderId="0" fillId="6" fontId="34" numFmtId="0" xfId="0" applyAlignment="1" applyFont="1">
      <alignment shrinkToFit="0" vertical="center" wrapText="1"/>
    </xf>
    <xf borderId="0" fillId="19" fontId="47" numFmtId="0" xfId="0" applyAlignment="1" applyFont="1">
      <alignment horizontal="left" shrinkToFit="0" vertical="center" wrapText="0"/>
    </xf>
    <xf borderId="0" fillId="19" fontId="7" numFmtId="0" xfId="0" applyAlignment="1" applyFont="1">
      <alignment shrinkToFit="0" vertical="center" wrapText="1"/>
    </xf>
    <xf borderId="0" fillId="9" fontId="47" numFmtId="0" xfId="0" applyAlignment="1" applyFont="1">
      <alignment horizontal="left" shrinkToFit="0" vertical="center" wrapText="1"/>
    </xf>
    <xf borderId="0" fillId="9" fontId="7" numFmtId="0" xfId="0" applyAlignment="1" applyFont="1">
      <alignment horizontal="left" shrinkToFit="0" vertical="center" wrapText="1"/>
    </xf>
    <xf borderId="0" fillId="9" fontId="7" numFmtId="0" xfId="0" applyAlignment="1" applyFont="1">
      <alignment shrinkToFit="0" vertical="center" wrapText="1"/>
    </xf>
    <xf borderId="0" fillId="0" fontId="3" numFmtId="0" xfId="0" applyAlignment="1" applyFont="1">
      <alignment horizontal="left"/>
    </xf>
    <xf borderId="0" fillId="0" fontId="3" numFmtId="173" xfId="0" applyAlignment="1" applyFont="1" applyNumberFormat="1">
      <alignment horizontal="left" vertical="center"/>
    </xf>
    <xf borderId="0" fillId="0" fontId="3" numFmtId="169" xfId="0" applyAlignment="1" applyFont="1" applyNumberFormat="1">
      <alignment horizontal="left" shrinkToFit="0" vertical="center" wrapText="1"/>
    </xf>
    <xf borderId="0" fillId="0" fontId="3" numFmtId="169" xfId="0" applyAlignment="1" applyFont="1" applyNumberFormat="1">
      <alignment horizontal="left" vertical="center"/>
    </xf>
    <xf borderId="0" fillId="0" fontId="3" numFmtId="3" xfId="0" applyAlignment="1" applyFont="1" applyNumberFormat="1">
      <alignment vertical="center"/>
    </xf>
    <xf borderId="0" fillId="0" fontId="3" numFmtId="174" xfId="0" applyFont="1" applyNumberFormat="1"/>
    <xf borderId="0" fillId="0" fontId="3" numFmtId="17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3" xfId="0" applyAlignment="1" applyFont="1" applyNumberFormat="1">
      <alignment shrinkToFit="0" vertical="center" wrapText="1"/>
    </xf>
    <xf borderId="0" fillId="0" fontId="3" numFmtId="1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shrinkToFit="0" vertical="center" wrapText="1"/>
    </xf>
    <xf borderId="0" fillId="41" fontId="34" numFmtId="0" xfId="0" applyAlignment="1" applyFill="1" applyFont="1">
      <alignment vertical="center"/>
    </xf>
    <xf borderId="0" fillId="0" fontId="49" numFmtId="0" xfId="0" applyAlignment="1" applyFont="1">
      <alignment vertical="center"/>
    </xf>
    <xf borderId="0" fillId="27" fontId="7" numFmtId="0" xfId="0" applyAlignment="1" applyFont="1">
      <alignment horizontal="center" vertical="center"/>
    </xf>
    <xf borderId="0" fillId="27" fontId="7" numFmtId="0" xfId="0" applyAlignment="1" applyFont="1">
      <alignment horizontal="left" vertical="center"/>
    </xf>
    <xf borderId="0" fillId="31" fontId="7" numFmtId="0" xfId="0" applyAlignment="1" applyFont="1">
      <alignment shrinkToFit="0" vertical="center" wrapText="0"/>
    </xf>
    <xf borderId="0" fillId="31" fontId="3" numFmtId="0" xfId="0" applyAlignment="1" applyFont="1">
      <alignment vertical="center"/>
    </xf>
    <xf borderId="0" fillId="31" fontId="3" numFmtId="0" xfId="0" applyAlignment="1" applyFont="1">
      <alignment horizontal="center" vertical="center"/>
    </xf>
    <xf borderId="0" fillId="31" fontId="3" numFmtId="165" xfId="0" applyAlignment="1" applyFont="1" applyNumberFormat="1">
      <alignment vertical="center"/>
    </xf>
    <xf borderId="0" fillId="31" fontId="7" numFmtId="10" xfId="0" applyAlignment="1" applyFont="1" applyNumberFormat="1">
      <alignment vertical="center"/>
    </xf>
    <xf borderId="0" fillId="27" fontId="7" numFmtId="0" xfId="0" applyAlignment="1" applyFont="1">
      <alignment horizontal="right" vertical="center"/>
    </xf>
    <xf borderId="0" fillId="27" fontId="7" numFmtId="165" xfId="0" applyAlignment="1" applyFont="1" applyNumberFormat="1">
      <alignment horizontal="center" vertical="center"/>
    </xf>
    <xf borderId="0" fillId="31" fontId="7" numFmtId="0" xfId="0" applyAlignment="1" applyFont="1">
      <alignment horizontal="center" vertical="center"/>
    </xf>
    <xf borderId="0" fillId="31" fontId="7" numFmtId="0" xfId="0" applyAlignment="1" applyFont="1">
      <alignment vertical="center"/>
    </xf>
    <xf borderId="0" fillId="27" fontId="7" numFmtId="165" xfId="0" applyAlignment="1" applyFont="1" applyNumberFormat="1">
      <alignment vertical="center"/>
    </xf>
    <xf borderId="0" fillId="0" fontId="49" numFmtId="0" xfId="0" applyAlignment="1" applyFont="1">
      <alignment shrinkToFit="0" vertical="center" wrapText="0"/>
    </xf>
    <xf borderId="0" fillId="27" fontId="7" numFmtId="165" xfId="0" applyAlignment="1" applyFont="1" applyNumberFormat="1">
      <alignment horizontal="right" vertical="center"/>
    </xf>
    <xf borderId="0" fillId="27" fontId="3" numFmtId="0" xfId="0" applyAlignment="1" applyFont="1">
      <alignment vertical="center"/>
    </xf>
    <xf borderId="0" fillId="0" fontId="49" numFmtId="0" xfId="0" applyAlignment="1" applyFont="1">
      <alignment horizontal="left" vertical="center"/>
    </xf>
    <xf borderId="0" fillId="22" fontId="25" numFmtId="1" xfId="0" applyAlignment="1" applyFont="1" applyNumberFormat="1">
      <alignment horizontal="left" vertical="center"/>
    </xf>
    <xf borderId="0" fillId="0" fontId="35" numFmtId="0" xfId="0" applyAlignment="1" applyFont="1">
      <alignment horizontal="left" shrinkToFit="0" vertical="center" wrapText="1"/>
    </xf>
    <xf borderId="0" fillId="42" fontId="7" numFmtId="0" xfId="0" applyAlignment="1" applyFill="1" applyFont="1">
      <alignment horizontal="left" shrinkToFit="0" vertical="center" wrapText="1"/>
    </xf>
    <xf borderId="0" fillId="41" fontId="34" numFmtId="0" xfId="0" applyAlignment="1" applyFont="1">
      <alignment horizontal="left" vertical="center"/>
    </xf>
    <xf borderId="0" fillId="0" fontId="3" numFmtId="10" xfId="0" applyAlignment="1" applyFont="1" applyNumberFormat="1">
      <alignment horizontal="left" shrinkToFit="0" vertical="center" wrapText="1"/>
    </xf>
    <xf borderId="0" fillId="31" fontId="50" numFmtId="0" xfId="0" applyAlignment="1" applyFont="1">
      <alignment horizontal="left" shrinkToFit="0" vertical="center" wrapText="1"/>
    </xf>
    <xf borderId="0" fillId="27" fontId="51" numFmtId="0" xfId="0" applyAlignment="1" applyFont="1">
      <alignment horizontal="left" shrinkToFit="0" vertical="center" wrapText="1"/>
    </xf>
    <xf borderId="0" fillId="0" fontId="49" numFmtId="0" xfId="0" applyAlignment="1" applyFont="1">
      <alignment horizontal="left" shrinkToFit="0" vertical="center" wrapText="0"/>
    </xf>
    <xf borderId="0" fillId="31" fontId="39" numFmtId="0" xfId="0" applyAlignment="1" applyFont="1">
      <alignment horizontal="left" shrinkToFit="0" vertical="center" wrapText="1"/>
    </xf>
    <xf borderId="0" fillId="0" fontId="26" numFmtId="165" xfId="0" applyAlignment="1" applyFont="1" applyNumberFormat="1">
      <alignment horizontal="left" vertical="center"/>
    </xf>
    <xf borderId="0" fillId="27" fontId="39" numFmtId="0" xfId="0" applyAlignment="1" applyFont="1">
      <alignment horizontal="left" shrinkToFit="0" vertical="center" wrapText="1"/>
    </xf>
    <xf borderId="0" fillId="31" fontId="7" numFmtId="0" xfId="0" applyAlignment="1" applyFont="1">
      <alignment shrinkToFit="0" vertical="center" wrapText="1"/>
    </xf>
    <xf borderId="0" fillId="22" fontId="26" numFmtId="165" xfId="0" applyAlignment="1" applyFont="1" applyNumberFormat="1">
      <alignment horizontal="left" vertical="center"/>
    </xf>
    <xf borderId="0" fillId="16" fontId="34" numFmtId="0" xfId="0" applyAlignment="1" applyFont="1">
      <alignment vertical="center"/>
    </xf>
    <xf borderId="0" fillId="0" fontId="52" numFmtId="0" xfId="0" applyAlignment="1" applyFont="1">
      <alignment vertical="center"/>
    </xf>
    <xf borderId="0" fillId="28" fontId="7" numFmtId="0" xfId="0" applyAlignment="1" applyFont="1">
      <alignment horizontal="center" vertical="center"/>
    </xf>
    <xf borderId="0" fillId="28" fontId="7" numFmtId="0" xfId="0" applyAlignment="1" applyFont="1">
      <alignment horizontal="left" vertical="center"/>
    </xf>
    <xf borderId="0" fillId="18" fontId="7" numFmtId="0" xfId="0" applyAlignment="1" applyFont="1">
      <alignment shrinkToFit="0" vertical="center" wrapText="0"/>
    </xf>
    <xf borderId="0" fillId="18" fontId="3" numFmtId="0" xfId="0" applyAlignment="1" applyFont="1">
      <alignment vertical="center"/>
    </xf>
    <xf borderId="0" fillId="18" fontId="3" numFmtId="0" xfId="0" applyAlignment="1" applyFont="1">
      <alignment horizontal="center" vertical="center"/>
    </xf>
    <xf borderId="0" fillId="18" fontId="3" numFmtId="165" xfId="0" applyAlignment="1" applyFont="1" applyNumberFormat="1">
      <alignment vertical="center"/>
    </xf>
    <xf borderId="0" fillId="18" fontId="7" numFmtId="10" xfId="0" applyAlignment="1" applyFont="1" applyNumberFormat="1">
      <alignment vertical="center"/>
    </xf>
    <xf borderId="0" fillId="28" fontId="7" numFmtId="0" xfId="0" applyAlignment="1" applyFont="1">
      <alignment horizontal="right" vertical="center"/>
    </xf>
    <xf borderId="0" fillId="28" fontId="7" numFmtId="165" xfId="0" applyAlignment="1" applyFont="1" applyNumberFormat="1">
      <alignment horizontal="center" vertical="center"/>
    </xf>
    <xf borderId="0" fillId="18" fontId="7" numFmtId="0" xfId="0" applyAlignment="1" applyFont="1">
      <alignment horizontal="center" vertical="center"/>
    </xf>
    <xf borderId="0" fillId="18" fontId="7" numFmtId="0" xfId="0" applyAlignment="1" applyFont="1">
      <alignment vertical="center"/>
    </xf>
    <xf borderId="0" fillId="28" fontId="7" numFmtId="165" xfId="0" applyAlignment="1" applyFont="1" applyNumberFormat="1">
      <alignment vertical="center"/>
    </xf>
    <xf borderId="0" fillId="0" fontId="52" numFmtId="0" xfId="0" applyAlignment="1" applyFont="1">
      <alignment shrinkToFit="0" vertical="center" wrapText="0"/>
    </xf>
    <xf borderId="0" fillId="28" fontId="7" numFmtId="165" xfId="0" applyAlignment="1" applyFont="1" applyNumberFormat="1">
      <alignment horizontal="right" vertical="center"/>
    </xf>
    <xf borderId="0" fillId="28" fontId="3" numFmtId="0" xfId="0" applyAlignment="1" applyFont="1">
      <alignment vertical="center"/>
    </xf>
    <xf borderId="0" fillId="0" fontId="52" numFmtId="0" xfId="0" applyAlignment="1" applyFont="1">
      <alignment horizontal="left" vertical="center"/>
    </xf>
    <xf borderId="0" fillId="16" fontId="34" numFmtId="0" xfId="0" applyAlignment="1" applyFont="1">
      <alignment horizontal="left" vertical="center"/>
    </xf>
    <xf borderId="0" fillId="0" fontId="53" numFmtId="0" xfId="0" applyAlignment="1" applyFont="1">
      <alignment vertical="center"/>
    </xf>
    <xf borderId="0" fillId="18" fontId="39" numFmtId="0" xfId="0" applyAlignment="1" applyFont="1">
      <alignment horizontal="left" shrinkToFit="0" vertical="center" wrapText="1"/>
    </xf>
    <xf borderId="0" fillId="28" fontId="54" numFmtId="0" xfId="0" applyAlignment="1" applyFont="1">
      <alignment horizontal="left" shrinkToFit="0" vertical="center" wrapText="1"/>
    </xf>
    <xf borderId="0" fillId="18" fontId="55" numFmtId="0" xfId="0" applyAlignment="1" applyFont="1">
      <alignment horizontal="left" shrinkToFit="0" vertical="center" wrapText="1"/>
    </xf>
    <xf borderId="0" fillId="18" fontId="7" numFmtId="0" xfId="0" applyAlignment="1" applyFont="1">
      <alignment shrinkToFit="0" vertical="center" wrapText="1"/>
    </xf>
    <xf borderId="0" fillId="0" fontId="52" numFmtId="0" xfId="0" applyAlignment="1" applyFont="1">
      <alignment horizontal="left" shrinkToFit="0" vertical="center" wrapText="0"/>
    </xf>
    <xf borderId="0" fillId="18" fontId="39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0"/>
    </xf>
    <xf borderId="0" fillId="0" fontId="56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FFFFFF"/>
                </a:solidFill>
                <a:latin typeface="+mn-lt"/>
              </a:defRPr>
            </a:pPr>
            <a:r>
              <a:rPr b="1" i="0">
                <a:solidFill>
                  <a:srgbClr val="FFFFFF"/>
                </a:solidFill>
                <a:latin typeface="+mn-lt"/>
              </a:rPr>
              <a:t>Raceway Pond Facility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CAPEX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'System Control &amp; Outputs'!$F$66:$F$70</c:f>
            </c:strRef>
          </c:cat>
          <c:val>
            <c:numRef>
              <c:f>'System Control &amp; Outputs'!$G$66:$G$70</c:f>
              <c:numCache/>
            </c:numRef>
          </c:val>
        </c:ser>
        <c:ser>
          <c:idx val="1"/>
          <c:order val="1"/>
          <c:tx>
            <c:v>OPEX</c:v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'System Control &amp; Outputs'!$F$66:$F$70</c:f>
            </c:strRef>
          </c:cat>
          <c:val>
            <c:numRef>
              <c:f>'System Control &amp; Outputs'!$I$66:$I$70</c:f>
              <c:numCache/>
            </c:numRef>
          </c:val>
        </c:ser>
        <c:axId val="620115110"/>
        <c:axId val="314000489"/>
      </c:barChart>
      <c:catAx>
        <c:axId val="620115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FFFFFF"/>
                </a:solidFill>
                <a:latin typeface="+mn-lt"/>
              </a:defRPr>
            </a:pPr>
          </a:p>
        </c:txPr>
        <c:crossAx val="314000489"/>
      </c:catAx>
      <c:valAx>
        <c:axId val="314000489"/>
        <c:scaling>
          <c:orientation val="minMax"/>
          <c:max val="0.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  <a:latin typeface="+mn-lt"/>
                  </a:defRPr>
                </a:pPr>
                <a:r>
                  <a:rPr b="1" i="0">
                    <a:solidFill>
                      <a:srgbClr val="FFFFFF"/>
                    </a:solidFill>
                    <a:latin typeface="+mn-lt"/>
                  </a:rPr>
                  <a:t>Contribution to ASP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FFFFFF"/>
                </a:solidFill>
                <a:latin typeface="+mn-lt"/>
              </a:defRPr>
            </a:pPr>
          </a:p>
        </c:txPr>
        <c:crossAx val="620115110"/>
        <c:majorUnit val="0.1"/>
      </c:valAx>
    </c:plotArea>
    <c:legend>
      <c:legendPos val="t"/>
      <c:legendEntry>
        <c:idx val="0"/>
        <c:txPr>
          <a:bodyPr/>
          <a:lstStyle/>
          <a:p>
            <a:pPr lvl="0">
              <a:defRPr b="1" i="0">
                <a:solidFill>
                  <a:srgbClr val="FFD966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 i="0">
                <a:solidFill>
                  <a:srgbClr val="F1C232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Fully-Lined Pond Cost Chart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E06666"/>
              </a:solidFill>
              <a:ln cmpd="sng">
                <a:solidFill>
                  <a:srgbClr val="E06666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'Inoculum Details'!$B$10:$B$13</c:f>
            </c:numRef>
          </c:xVal>
          <c:yVal>
            <c:numRef>
              <c:f>'Inoculum Details'!$H$10:$H$12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634822"/>
        <c:axId val="1161104382"/>
      </c:scatterChart>
      <c:valAx>
        <c:axId val="8076348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Pond Size (acres)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61104382"/>
      </c:valAx>
      <c:valAx>
        <c:axId val="1161104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76348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Paddlewheel Energy Chart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E06666"/>
              </a:solidFill>
              <a:ln cmpd="sng">
                <a:solidFill>
                  <a:srgbClr val="E06666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1"/>
            <c:dispEq val="0"/>
          </c:trendline>
          <c:xVal>
            <c:numRef>
              <c:f>'Inoculum Details'!$B$36:$B$38</c:f>
            </c:numRef>
          </c:xVal>
          <c:yVal>
            <c:numRef>
              <c:f>'Inoculum Details'!$D$36:$D$38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784866"/>
        <c:axId val="635527554"/>
      </c:scatterChart>
      <c:valAx>
        <c:axId val="4837848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Pond Size (acres)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35527554"/>
      </c:valAx>
      <c:valAx>
        <c:axId val="635527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Paddlewheel Energy (kWh/acre)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37848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Fully-Lined Pond Cost Chart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dPt>
            <c:idx val="1"/>
            <c:marker>
              <c:symbol val="none"/>
            </c:marker>
          </c:dPt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'Biomass Details'!$B$10:$B$13</c:f>
            </c:numRef>
          </c:xVal>
          <c:yVal>
            <c:numRef>
              <c:f>'Biomass Details'!$H$10:$H$12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268597"/>
        <c:axId val="562962018"/>
      </c:scatterChart>
      <c:valAx>
        <c:axId val="8252685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Pond Size (acres)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2962018"/>
      </c:valAx>
      <c:valAx>
        <c:axId val="562962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5268597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Paddlewheel Energy (kWh/acre) vs. Pond Size (acres)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1"/>
            <c:dispEq val="0"/>
          </c:trendline>
          <c:xVal>
            <c:numRef>
              <c:f>'Biomass Details'!$B$36:$B$38</c:f>
            </c:numRef>
          </c:xVal>
          <c:yVal>
            <c:numRef>
              <c:f>'Biomass Details'!$D$36:$D$38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65153"/>
        <c:axId val="1328197923"/>
      </c:scatterChart>
      <c:valAx>
        <c:axId val="18488651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Pond Size (acres)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28197923"/>
      </c:valAx>
      <c:valAx>
        <c:axId val="1328197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Paddlewheel Energy (kWh/acre)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4886515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51</xdr:row>
      <xdr:rowOff>190500</xdr:rowOff>
    </xdr:from>
    <xdr:ext cx="5715000" cy="3533775"/>
    <xdr:graphicFrame>
      <xdr:nvGraphicFramePr>
        <xdr:cNvPr id="49432979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13</xdr:row>
      <xdr:rowOff>28575</xdr:rowOff>
    </xdr:from>
    <xdr:ext cx="6667500" cy="3743325"/>
    <xdr:graphicFrame>
      <xdr:nvGraphicFramePr>
        <xdr:cNvPr id="23729685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38</xdr:row>
      <xdr:rowOff>28575</xdr:rowOff>
    </xdr:from>
    <xdr:ext cx="6667500" cy="3743325"/>
    <xdr:graphicFrame>
      <xdr:nvGraphicFramePr>
        <xdr:cNvPr id="102128767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13</xdr:row>
      <xdr:rowOff>28575</xdr:rowOff>
    </xdr:from>
    <xdr:ext cx="6667500" cy="3743325"/>
    <xdr:graphicFrame>
      <xdr:nvGraphicFramePr>
        <xdr:cNvPr id="1007770103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38</xdr:row>
      <xdr:rowOff>28575</xdr:rowOff>
    </xdr:from>
    <xdr:ext cx="6667500" cy="3743325"/>
    <xdr:graphicFrame>
      <xdr:nvGraphicFramePr>
        <xdr:cNvPr id="91398052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charts.com/indicators/us_diammonium_phosphate_spot_price_gulf" TargetMode="External"/><Relationship Id="rId10" Type="http://schemas.openxmlformats.org/officeDocument/2006/relationships/hyperlink" Target="https://tradingeconomics.com/commodity/di-ammonium" TargetMode="External"/><Relationship Id="rId13" Type="http://schemas.openxmlformats.org/officeDocument/2006/relationships/hyperlink" Target="https://nelha.hawaii.gov/join-us/" TargetMode="External"/><Relationship Id="rId12" Type="http://schemas.openxmlformats.org/officeDocument/2006/relationships/hyperlink" Target="https://www.ntc.gov.au/sites/default/files/assets/files/Carbon%20dioxide%20emissions%20intensity%20for%20new%20Australian%20light%20vehicles%202018.pdf" TargetMode="External"/><Relationship Id="rId1" Type="http://schemas.openxmlformats.org/officeDocument/2006/relationships/hyperlink" Target="https://docs.google.com/spreadsheets/d/191RcAXFUTVjO1Yj8pIApGUdlY5XdXoPTQzPs4sHK86U/edit" TargetMode="External"/><Relationship Id="rId2" Type="http://schemas.openxmlformats.org/officeDocument/2006/relationships/hyperlink" Target="https://en.wikipedia.org/wiki/Lane" TargetMode="External"/><Relationship Id="rId3" Type="http://schemas.openxmlformats.org/officeDocument/2006/relationships/hyperlink" Target="https://www.hawaiianelectric.com/billing-and-payment/rates-and-regulations/average-price-of-electricity" TargetMode="External"/><Relationship Id="rId4" Type="http://schemas.openxmlformats.org/officeDocument/2006/relationships/hyperlink" Target="https://www.eia.gov/dnav/ng/NG_PRI_SUM_DCU_SHI_M.htm" TargetMode="External"/><Relationship Id="rId9" Type="http://schemas.openxmlformats.org/officeDocument/2006/relationships/hyperlink" Target="https://www.intratec.us/chemical-markets/potassium-nitrate-price" TargetMode="External"/><Relationship Id="rId15" Type="http://schemas.openxmlformats.org/officeDocument/2006/relationships/hyperlink" Target="https://taxfoundation.org/state/hawaii/" TargetMode="External"/><Relationship Id="rId14" Type="http://schemas.openxmlformats.org/officeDocument/2006/relationships/hyperlink" Target="https://atotaxrates.info/businesses/company-tax-rates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xe.com/currencyconverter/convert/?Amount=1&amp;From=USD&amp;To=AUD" TargetMode="External"/><Relationship Id="rId5" Type="http://schemas.openxmlformats.org/officeDocument/2006/relationships/hyperlink" Target="https://www.globalpetrolprices.com/USA/Hawaii/diesel_prices/" TargetMode="External"/><Relationship Id="rId6" Type="http://schemas.openxmlformats.org/officeDocument/2006/relationships/hyperlink" Target="https://www.freeingenergy.com/math/solar-pv-gwh-per-mw-power-energy-mwh-m147/" TargetMode="External"/><Relationship Id="rId7" Type="http://schemas.openxmlformats.org/officeDocument/2006/relationships/hyperlink" Target="https://www.indexbox.io/blog/carbon-dioxide-price-per-ton-june-2022/" TargetMode="External"/><Relationship Id="rId8" Type="http://schemas.openxmlformats.org/officeDocument/2006/relationships/hyperlink" Target="https://www.alibaba.com/showroom/potassium-nitrate-price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libaba.com/product-detail/50m3-2-16Mpa-Stainless-Steel-Cryogenic_1600785572147.html?s=p" TargetMode="External"/><Relationship Id="rId11" Type="http://schemas.openxmlformats.org/officeDocument/2006/relationships/hyperlink" Target="https://www.bbta.com.au/products/BBT-Diesel-Gusher-Pump.html" TargetMode="External"/><Relationship Id="rId22" Type="http://schemas.openxmlformats.org/officeDocument/2006/relationships/drawing" Target="../drawings/drawing6.xml"/><Relationship Id="rId10" Type="http://schemas.openxmlformats.org/officeDocument/2006/relationships/hyperlink" Target="https://www.bbta.com.au/products/BBT-Diesel-Gusher-Pump.html" TargetMode="External"/><Relationship Id="rId21" Type="http://schemas.openxmlformats.org/officeDocument/2006/relationships/hyperlink" Target="https://www.zoro.com/dayton-agitator-air-mixer-size-55-gallon-32v132/i/G4973841/?q=" TargetMode="External"/><Relationship Id="rId13" Type="http://schemas.openxmlformats.org/officeDocument/2006/relationships/hyperlink" Target="https://www.plastic-mart.com/product/6584/160-gallon-45-degree-cone-bottom-tank-43845" TargetMode="External"/><Relationship Id="rId12" Type="http://schemas.openxmlformats.org/officeDocument/2006/relationships/hyperlink" Target="https://www.bbta.com.au/products/BBT-Diesel-Gusher-Pump.html" TargetMode="External"/><Relationship Id="rId23" Type="http://schemas.openxmlformats.org/officeDocument/2006/relationships/vmlDrawing" Target="../drawings/vmlDrawing2.vml"/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efCfM7XHKmnWWGvCFBPyiF4dypx-hvfpoJ5YEtnB03o/edit" TargetMode="External"/><Relationship Id="rId3" Type="http://schemas.openxmlformats.org/officeDocument/2006/relationships/hyperlink" Target="https://www.bbta.com.au/bbt-diesel-4-100mm-cast-iron-water-pump/" TargetMode="External"/><Relationship Id="rId4" Type="http://schemas.openxmlformats.org/officeDocument/2006/relationships/hyperlink" Target="https://www.bbta.com.au/bbt-diesel-4-100mm-cast-iron-water-pump/" TargetMode="External"/><Relationship Id="rId9" Type="http://schemas.openxmlformats.org/officeDocument/2006/relationships/hyperlink" Target="https://docs.google.com/spreadsheets/d/1efCfM7XHKmnWWGvCFBPyiF4dypx-hvfpoJ5YEtnB03o/edit" TargetMode="External"/><Relationship Id="rId15" Type="http://schemas.openxmlformats.org/officeDocument/2006/relationships/hyperlink" Target="https://www.plastic-mart.com/product/1712/3-and-a-half-gallon-cylinder-cone-bottom-specialty-rinse-tank-sp003-5-cl" TargetMode="External"/><Relationship Id="rId14" Type="http://schemas.openxmlformats.org/officeDocument/2006/relationships/hyperlink" Target="https://www.plastic-mart.com/product/5813/15-gallon-cone-inductor-tank-fully-draining-infd15-19" TargetMode="External"/><Relationship Id="rId17" Type="http://schemas.openxmlformats.org/officeDocument/2006/relationships/hyperlink" Target="https://www.plastic-mart.com/product/5816/110-gallon-cone-inductor-tank-fully-draining-infd110-30" TargetMode="External"/><Relationship Id="rId16" Type="http://schemas.openxmlformats.org/officeDocument/2006/relationships/hyperlink" Target="https://www.plastic-mart.com/product/151/510-gallon-horizontal-leg-tank-fs0510-57" TargetMode="External"/><Relationship Id="rId5" Type="http://schemas.openxmlformats.org/officeDocument/2006/relationships/hyperlink" Target="https://www.bbta.com.au/bbt-diesel-4-100mm-cast-iron-water-pump/" TargetMode="External"/><Relationship Id="rId19" Type="http://schemas.openxmlformats.org/officeDocument/2006/relationships/hyperlink" Target="https://www.zoro.com/dayton-agitator-air-mixer-size-55-gallon-32v132/i/G4973841/?q=" TargetMode="External"/><Relationship Id="rId6" Type="http://schemas.openxmlformats.org/officeDocument/2006/relationships/hyperlink" Target="https://purewaterguys.com/products/heavy-commercial-reverse-osmosis-40-000-gpd-water-filter-system?utm_medium=cpc&amp;utm_source=google&amp;utm_campaign=Google%20Shopping&amp;gclid=CjwKCAiAudD_BRBXEiwAudakX2-Icqwhq2WUD4C_flkHzNeyosa4gaZxWaI0v56GzELd5qFoGy8drBoCLlMQAvD_BwE" TargetMode="External"/><Relationship Id="rId18" Type="http://schemas.openxmlformats.org/officeDocument/2006/relationships/hyperlink" Target="https://www.zoro.com/dayton-agitator-air-mixer-size-55-gallon-32v132/i/G4973841/?q=" TargetMode="External"/><Relationship Id="rId7" Type="http://schemas.openxmlformats.org/officeDocument/2006/relationships/hyperlink" Target="https://purewaterguys.com/products/heavy-commercial-reverse-osmosis-40-000-gpd-water-filter-system?utm_medium=cpc&amp;utm_source=google&amp;utm_campaign=Google%20Shopping&amp;gclid=CjwKCAiAudD_BRBXEiwAudakX2-Icqwhq2WUD4C_flkHzNeyosa4gaZxWaI0v56GzELd5qFoGy8drBoCLlMQAvD_BwE" TargetMode="External"/><Relationship Id="rId8" Type="http://schemas.openxmlformats.org/officeDocument/2006/relationships/hyperlink" Target="https://purewaterguys.com/products/heavy-commercial-reverse-osmosis-40-000-gpd-water-filter-system?utm_medium=cpc&amp;utm_source=google&amp;utm_campaign=Google%20Shopping&amp;gclid=CjwKCAiAudD_BRBXEiwAudakX2-Icqwhq2WUD4C_flkHzNeyosa4gaZxWaI0v56GzELd5qFoGy8drBoCLlMQAvD_Bw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bta.com.au/products/Water-Pump-Paichi-5400i.html" TargetMode="External"/><Relationship Id="rId10" Type="http://schemas.openxmlformats.org/officeDocument/2006/relationships/hyperlink" Target="https://www.alibaba.com/product-detail/Belt-Horizontal-Vacuum-Filter-2-Meter_1600335572427.html?spm=a2700.galleryofferlist.normal_offer.d_title.11163bf3OMwSsE&amp;s=p" TargetMode="External"/><Relationship Id="rId13" Type="http://schemas.openxmlformats.org/officeDocument/2006/relationships/hyperlink" Target="https://www.bbta.com.au/products/Water-Pump-Paichi-5400i.html" TargetMode="External"/><Relationship Id="rId12" Type="http://schemas.openxmlformats.org/officeDocument/2006/relationships/hyperlink" Target="https://www.bbta.com.au/products/Water-Pump-Paichi-5400i.html" TargetMode="External"/><Relationship Id="rId1" Type="http://schemas.openxmlformats.org/officeDocument/2006/relationships/hyperlink" Target="https://www.bbta.com.au/bbt-diesel-4-100mm-cast-iron-water-pump/" TargetMode="External"/><Relationship Id="rId2" Type="http://schemas.openxmlformats.org/officeDocument/2006/relationships/hyperlink" Target="https://www.bbta.com.au/bbt-diesel-4-100mm-cast-iron-water-pump/" TargetMode="External"/><Relationship Id="rId3" Type="http://schemas.openxmlformats.org/officeDocument/2006/relationships/hyperlink" Target="https://www.bbta.com.au/bbt-diesel-4-100mm-cast-iron-water-pump/" TargetMode="External"/><Relationship Id="rId4" Type="http://schemas.openxmlformats.org/officeDocument/2006/relationships/hyperlink" Target="https://www.alibaba.com/product-detail/Hot-selling-Slant-Screen-Solid-Liquid_1600331832611.html?spm=a2700.galleryofferlist.normal_offer.d_title.48283737U0uSn3" TargetMode="External"/><Relationship Id="rId9" Type="http://schemas.openxmlformats.org/officeDocument/2006/relationships/hyperlink" Target="https://www.alibaba.com/product-detail/Belt-Horizontal-Vacuum-Filter-2-Meter_1600335572427.html?spm=a2700.galleryofferlist.normal_offer.d_title.11163bf3OMwSsE&amp;s=p" TargetMode="External"/><Relationship Id="rId14" Type="http://schemas.openxmlformats.org/officeDocument/2006/relationships/drawing" Target="../drawings/drawing12.xml"/><Relationship Id="rId5" Type="http://schemas.openxmlformats.org/officeDocument/2006/relationships/hyperlink" Target="https://www.alibaba.com/product-detail/Hot-selling-Slant-Screen-Solid-Liquid_1600331832611.html?spm=a2700.galleryofferlist.normal_offer.d_title.48283737U0uSn3" TargetMode="External"/><Relationship Id="rId6" Type="http://schemas.openxmlformats.org/officeDocument/2006/relationships/hyperlink" Target="https://www.alibaba.com/product-detail/Hot-selling-Slant-Screen-Solid-Liquid_1600331832611.html?spm=a2700.galleryofferlist.normal_offer.d_title.48283737U0uSn3" TargetMode="External"/><Relationship Id="rId7" Type="http://schemas.openxmlformats.org/officeDocument/2006/relationships/hyperlink" Target="https://xxjubao.en.made-in-china.com/product/JOrfZxLKJtkP/China-Slurry-Filtering-Vibrating-Screen-Dewatering-Sieve-Shaker.html" TargetMode="External"/><Relationship Id="rId8" Type="http://schemas.openxmlformats.org/officeDocument/2006/relationships/hyperlink" Target="https://xxjubao.en.made-in-china.com/product/JOrfZxLKJtkP/China-Slurry-Filtering-Vibrating-Screen-Dewatering-Sieve-Shaker.html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baba.com/product-detail/Sludge-Pump-Sludge-Pump-26m3-h_1600227084482.html?spm=a2700.galleryofferlist.normal_offer.d_title.6276f3a67QU3t5&amp;s=p" TargetMode="External"/><Relationship Id="rId2" Type="http://schemas.openxmlformats.org/officeDocument/2006/relationships/hyperlink" Target="https://www.alibaba.com/product-detail/Sludge-Pump-Sludge-Pump-26m3-h_1600227084482.html?spm=a2700.galleryofferlist.normal_offer.d_title.6276f3a67QU3t5&amp;s=p" TargetMode="External"/><Relationship Id="rId3" Type="http://schemas.openxmlformats.org/officeDocument/2006/relationships/hyperlink" Target="https://www.alibaba.com/product-detail/Sludge-Pump-Sludge-Pump-26m3-h_1600227084482.html?spm=a2700.galleryofferlist.normal_offer.d_title.6276f3a67QU3t5&amp;s=p" TargetMode="External"/><Relationship Id="rId4" Type="http://schemas.openxmlformats.org/officeDocument/2006/relationships/hyperlink" Target="https://www.alibaba.com/product-detail/20000L-Large-outdoor-milk-storage-tank_60622122148.html" TargetMode="External"/><Relationship Id="rId5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6.25"/>
    <col customWidth="1" min="3" max="3" width="12.38"/>
    <col customWidth="1" min="4" max="4" width="35.13"/>
    <col customWidth="1" min="5" max="5" width="5.13"/>
    <col customWidth="1" min="6" max="6" width="30.5"/>
    <col customWidth="1" min="11" max="11" width="5.13"/>
    <col customWidth="1" min="12" max="12" width="17.13"/>
    <col customWidth="1" min="13" max="13" width="15.75"/>
    <col customWidth="1" min="14" max="15" width="13.38"/>
    <col customWidth="1" min="16" max="16" width="4.5"/>
    <col customWidth="1" min="17" max="25" width="15.25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0</v>
      </c>
      <c r="W1" s="4" t="s">
        <v>1</v>
      </c>
      <c r="X1" s="3"/>
      <c r="Y1" s="3"/>
      <c r="Z1" s="5"/>
    </row>
    <row r="2" ht="15.75" customHeight="1">
      <c r="A2" s="1"/>
      <c r="B2" s="6" t="s">
        <v>2</v>
      </c>
      <c r="C2" s="7"/>
      <c r="D2" s="8"/>
      <c r="E2" s="1"/>
      <c r="F2" s="9" t="s">
        <v>3</v>
      </c>
      <c r="G2" s="7"/>
      <c r="H2" s="7"/>
      <c r="I2" s="7"/>
      <c r="J2" s="8"/>
      <c r="K2" s="3"/>
      <c r="L2" s="10" t="s">
        <v>4</v>
      </c>
      <c r="M2" s="7"/>
      <c r="N2" s="7"/>
      <c r="O2" s="11" t="s">
        <v>5</v>
      </c>
      <c r="P2" s="12"/>
      <c r="Q2" s="13" t="s">
        <v>6</v>
      </c>
      <c r="R2" s="7"/>
      <c r="S2" s="7"/>
      <c r="T2" s="8"/>
      <c r="V2" s="14" t="s">
        <v>7</v>
      </c>
      <c r="W2" s="15" t="s">
        <v>8</v>
      </c>
      <c r="X2" s="15" t="s">
        <v>9</v>
      </c>
      <c r="Y2" s="15" t="s">
        <v>10</v>
      </c>
      <c r="Z2" s="14" t="s">
        <v>11</v>
      </c>
      <c r="AA2" s="14" t="s">
        <v>12</v>
      </c>
      <c r="AB2" s="14" t="s">
        <v>13</v>
      </c>
      <c r="AC2" s="14" t="s">
        <v>14</v>
      </c>
    </row>
    <row r="3" ht="15.75" customHeight="1">
      <c r="A3" s="1"/>
      <c r="B3" s="16"/>
      <c r="C3" s="2"/>
      <c r="D3" s="17"/>
      <c r="E3" s="1"/>
      <c r="F3" s="16"/>
      <c r="G3" s="1"/>
      <c r="H3" s="1"/>
      <c r="I3" s="1"/>
      <c r="J3" s="17"/>
      <c r="K3" s="3"/>
      <c r="L3" s="18"/>
      <c r="M3" s="7"/>
      <c r="N3" s="7"/>
      <c r="O3" s="19"/>
      <c r="P3" s="12"/>
      <c r="Q3" s="20" t="s">
        <v>15</v>
      </c>
      <c r="R3" s="21" t="s">
        <v>16</v>
      </c>
      <c r="S3" s="22" t="s">
        <v>17</v>
      </c>
      <c r="T3" s="23"/>
      <c r="V3" s="24">
        <f>G13</f>
        <v>69</v>
      </c>
      <c r="W3" s="25">
        <f>G5</f>
        <v>810.811453</v>
      </c>
      <c r="X3" s="24">
        <f>G19</f>
        <v>32788.91295</v>
      </c>
      <c r="Y3" s="26">
        <f>G45/1000000</f>
        <v>20.97366139</v>
      </c>
      <c r="Z3" s="26">
        <f>N23/1000000</f>
        <v>10.14619354</v>
      </c>
      <c r="AA3" s="27">
        <f>Q9</f>
        <v>28859.92198</v>
      </c>
      <c r="AB3" s="26">
        <f>S5/1000000</f>
        <v>23.39995527</v>
      </c>
      <c r="AC3" s="26">
        <f>Q5/1000000</f>
        <v>10.08657667</v>
      </c>
    </row>
    <row r="4" ht="15.75" customHeight="1">
      <c r="A4" s="1"/>
      <c r="B4" s="28" t="s">
        <v>18</v>
      </c>
      <c r="C4" s="29" t="s">
        <v>5</v>
      </c>
      <c r="D4" s="30" t="s">
        <v>19</v>
      </c>
      <c r="E4" s="1"/>
      <c r="F4" s="31" t="s">
        <v>20</v>
      </c>
      <c r="G4" s="32" t="s">
        <v>5</v>
      </c>
      <c r="H4" s="1"/>
      <c r="I4" s="1"/>
      <c r="J4" s="17"/>
      <c r="K4" s="3"/>
      <c r="L4" s="33"/>
      <c r="O4" s="34"/>
      <c r="P4" s="12"/>
      <c r="S4" s="22" t="s">
        <v>21</v>
      </c>
      <c r="T4" s="35" t="s">
        <v>22</v>
      </c>
      <c r="V4" s="3"/>
      <c r="W4" s="3"/>
      <c r="X4" s="3"/>
      <c r="Y4" s="3"/>
      <c r="Z4" s="5"/>
    </row>
    <row r="5" ht="15.75" customHeight="1">
      <c r="A5" s="1"/>
      <c r="B5" s="16" t="s">
        <v>23</v>
      </c>
      <c r="C5" s="36">
        <v>800.0</v>
      </c>
      <c r="D5" s="37" t="s">
        <v>24</v>
      </c>
      <c r="E5" s="1"/>
      <c r="F5" s="16" t="s">
        <v>25</v>
      </c>
      <c r="G5" s="38">
        <f>'Sys Volume &amp; Area'!D23</f>
        <v>810.811453</v>
      </c>
      <c r="H5" s="1"/>
      <c r="I5" s="1"/>
      <c r="J5" s="17"/>
      <c r="K5" s="3"/>
      <c r="L5" s="33"/>
      <c r="O5" s="34"/>
      <c r="P5" s="12"/>
      <c r="Q5" s="39">
        <f>O9</f>
        <v>10086576.67</v>
      </c>
      <c r="R5" s="39">
        <f>Q5*(1+C39)</f>
        <v>13253761.74</v>
      </c>
      <c r="S5" s="39">
        <f>R5+N23</f>
        <v>23399955.27</v>
      </c>
      <c r="T5" s="40">
        <f>R5+O23</f>
        <v>24348955.27</v>
      </c>
      <c r="V5" s="3"/>
      <c r="W5" s="3"/>
      <c r="X5" s="3"/>
      <c r="Y5" s="3"/>
      <c r="Z5" s="5"/>
    </row>
    <row r="6" ht="15.75" customHeight="1">
      <c r="A6" s="1"/>
      <c r="B6" s="16" t="s">
        <v>26</v>
      </c>
      <c r="C6" s="2">
        <v>330.0</v>
      </c>
      <c r="D6" s="41" t="s">
        <v>27</v>
      </c>
      <c r="E6" s="1"/>
      <c r="F6" s="42" t="s">
        <v>28</v>
      </c>
      <c r="G6" s="43">
        <f>'Sys Volume &amp; Area'!E23</f>
        <v>78.63447112</v>
      </c>
      <c r="H6" s="1"/>
      <c r="I6" s="1"/>
      <c r="J6" s="17"/>
      <c r="K6" s="3"/>
      <c r="L6" s="33"/>
      <c r="O6" s="44"/>
      <c r="P6" s="3"/>
      <c r="Q6" s="45"/>
      <c r="R6" s="45"/>
      <c r="S6" s="3"/>
      <c r="T6" s="3"/>
      <c r="U6" s="3"/>
      <c r="V6" s="3"/>
      <c r="W6" s="3"/>
      <c r="X6" s="3"/>
      <c r="Y6" s="3"/>
      <c r="Z6" s="5"/>
    </row>
    <row r="7" ht="15.75" customHeight="1">
      <c r="A7" s="1"/>
      <c r="B7" s="16" t="s">
        <v>29</v>
      </c>
      <c r="C7" s="2">
        <v>1.0</v>
      </c>
      <c r="D7" s="41" t="s">
        <v>30</v>
      </c>
      <c r="E7" s="1"/>
      <c r="F7" s="42" t="s">
        <v>31</v>
      </c>
      <c r="G7" s="46">
        <f>G6/2.5</f>
        <v>31.45378845</v>
      </c>
      <c r="H7" s="1"/>
      <c r="I7" s="1"/>
      <c r="J7" s="17"/>
      <c r="K7" s="3"/>
      <c r="L7" s="33"/>
      <c r="O7" s="44"/>
      <c r="P7" s="12"/>
      <c r="Q7" s="47" t="s">
        <v>32</v>
      </c>
      <c r="R7" s="23"/>
      <c r="S7" s="48" t="s">
        <v>33</v>
      </c>
      <c r="T7" s="8"/>
      <c r="V7" s="3"/>
      <c r="W7" s="3"/>
      <c r="X7" s="3"/>
      <c r="Y7" s="3"/>
      <c r="Z7" s="5"/>
    </row>
    <row r="8" ht="15.75" customHeight="1">
      <c r="A8" s="1"/>
      <c r="B8" s="49" t="s">
        <v>34</v>
      </c>
      <c r="C8" s="50">
        <v>0.12</v>
      </c>
      <c r="D8" s="51" t="s">
        <v>35</v>
      </c>
      <c r="E8" s="1"/>
      <c r="F8" s="16" t="s">
        <v>36</v>
      </c>
      <c r="G8" s="52">
        <f>(G5*1000*1000)/(G20*365)</f>
        <v>6.980649936</v>
      </c>
      <c r="H8" s="1"/>
      <c r="I8" s="1"/>
      <c r="J8" s="17"/>
      <c r="K8" s="3"/>
      <c r="L8" s="33"/>
      <c r="O8" s="44"/>
      <c r="P8" s="12"/>
      <c r="Q8" s="53" t="s">
        <v>21</v>
      </c>
      <c r="R8" s="54" t="s">
        <v>22</v>
      </c>
      <c r="S8" s="55" t="s">
        <v>21</v>
      </c>
      <c r="T8" s="56" t="s">
        <v>22</v>
      </c>
      <c r="V8" s="3"/>
      <c r="W8" s="3"/>
      <c r="X8" s="3"/>
      <c r="Y8" s="3"/>
      <c r="Z8" s="5"/>
    </row>
    <row r="9" ht="15.75" customHeight="1">
      <c r="A9" s="1"/>
      <c r="B9" s="16" t="s">
        <v>37</v>
      </c>
      <c r="C9" s="2">
        <v>10.0</v>
      </c>
      <c r="D9" s="41" t="s">
        <v>27</v>
      </c>
      <c r="E9" s="1"/>
      <c r="F9" s="42" t="s">
        <v>38</v>
      </c>
      <c r="G9" s="57">
        <f>$G$5*'Water &amp; Nutrient Calcs'!$H$11*'Water &amp; Nutrient Calcs'!$F$11/('Water &amp; Nutrient Calcs'!$C$11*G6)</f>
        <v>20.40251536</v>
      </c>
      <c r="H9" s="1"/>
      <c r="I9" s="1"/>
      <c r="J9" s="17"/>
      <c r="K9" s="3"/>
      <c r="L9" s="58" t="s">
        <v>39</v>
      </c>
      <c r="O9" s="59">
        <f>((H45*1.5)+O23)/5</f>
        <v>10086576.67</v>
      </c>
      <c r="P9" s="12"/>
      <c r="Q9" s="60">
        <f t="shared" ref="Q9:R9" si="1">S5/$G$5</f>
        <v>28859.92198</v>
      </c>
      <c r="R9" s="61">
        <f t="shared" si="1"/>
        <v>30030.35439</v>
      </c>
      <c r="S9" s="62">
        <f t="shared" ref="S9:T9" si="2">Q5/S5</f>
        <v>0.4310511088</v>
      </c>
      <c r="T9" s="63">
        <f t="shared" si="2"/>
        <v>0.5443256842</v>
      </c>
      <c r="V9" s="3"/>
      <c r="W9" s="3"/>
      <c r="X9" s="3"/>
      <c r="Y9" s="3"/>
      <c r="Z9" s="5"/>
    </row>
    <row r="10" ht="15.75" customHeight="1">
      <c r="A10" s="1"/>
      <c r="B10" s="16" t="s">
        <v>40</v>
      </c>
      <c r="C10" s="2">
        <f>(3.7/2)+0.75</f>
        <v>2.6</v>
      </c>
      <c r="D10" s="41" t="s">
        <v>41</v>
      </c>
      <c r="E10" s="1"/>
      <c r="F10" s="42" t="s">
        <v>42</v>
      </c>
      <c r="G10" s="57">
        <f>$G$5*'Water &amp; Nutrient Calcs'!$H$11*'Water &amp; Nutrient Calcs'!$F$11/('Water &amp; Nutrient Calcs'!$C$11*G7)</f>
        <v>51.00628839</v>
      </c>
      <c r="H10" s="1"/>
      <c r="I10" s="1"/>
      <c r="J10" s="17"/>
      <c r="K10" s="3"/>
      <c r="L10" s="58" t="s">
        <v>43</v>
      </c>
      <c r="O10" s="59">
        <f>G45+(2*N23)</f>
        <v>41266048.46</v>
      </c>
      <c r="P10" s="3"/>
      <c r="Q10" s="64" t="s">
        <v>44</v>
      </c>
      <c r="R10" s="7"/>
      <c r="S10" s="65">
        <v>5000.0</v>
      </c>
      <c r="T10" s="19"/>
      <c r="U10" s="3"/>
      <c r="V10" s="3"/>
      <c r="W10" s="3"/>
      <c r="X10" s="3"/>
      <c r="Y10" s="3"/>
      <c r="Z10" s="5"/>
    </row>
    <row r="11" ht="15.75" customHeight="1">
      <c r="A11" s="1"/>
      <c r="B11" s="66" t="s">
        <v>45</v>
      </c>
      <c r="C11" s="67">
        <f>3.7/2</f>
        <v>1.85</v>
      </c>
      <c r="D11" s="41" t="s">
        <v>46</v>
      </c>
      <c r="E11" s="1"/>
      <c r="F11" s="42" t="s">
        <v>47</v>
      </c>
      <c r="G11" s="43">
        <f>G9*G6</f>
        <v>1604.341005</v>
      </c>
      <c r="H11" s="1"/>
      <c r="I11" s="1"/>
      <c r="J11" s="17"/>
      <c r="K11" s="3"/>
      <c r="L11" s="68" t="s">
        <v>48</v>
      </c>
      <c r="M11" s="69"/>
      <c r="N11" s="69"/>
      <c r="O11" s="70">
        <f>H45+(2*O23)</f>
        <v>48415513.6</v>
      </c>
      <c r="P11" s="3"/>
      <c r="Q11" s="71" t="s">
        <v>49</v>
      </c>
      <c r="R11" s="69"/>
      <c r="S11" s="72">
        <f t="shared" ref="S11:T11" si="3">(Q9-$S10)/$S10</f>
        <v>4.771984396</v>
      </c>
      <c r="T11" s="73">
        <f t="shared" si="3"/>
        <v>5.006070878</v>
      </c>
      <c r="U11" s="74">
        <f>AVERAGE(S11:T11)</f>
        <v>4.889027637</v>
      </c>
      <c r="V11" s="3"/>
      <c r="W11" s="3"/>
      <c r="X11" s="3"/>
      <c r="Y11" s="3"/>
      <c r="Z11" s="5"/>
    </row>
    <row r="12" ht="15.75" customHeight="1">
      <c r="A12" s="1"/>
      <c r="B12" s="16" t="s">
        <v>50</v>
      </c>
      <c r="C12" s="75">
        <v>30.0</v>
      </c>
      <c r="D12" s="37" t="s">
        <v>51</v>
      </c>
      <c r="E12" s="1"/>
      <c r="F12" s="42" t="s">
        <v>52</v>
      </c>
      <c r="G12" s="76">
        <f>G11/G5</f>
        <v>1.978685672</v>
      </c>
      <c r="H12" s="1"/>
      <c r="I12" s="1"/>
      <c r="J12" s="17"/>
      <c r="K12" s="3"/>
      <c r="L12" s="3"/>
      <c r="M12" s="3"/>
      <c r="N12" s="3"/>
      <c r="O12" s="3"/>
      <c r="P12" s="3"/>
      <c r="Q12" s="39"/>
      <c r="R12" s="39"/>
      <c r="S12" s="45"/>
      <c r="T12" s="45"/>
      <c r="U12" s="77"/>
      <c r="V12" s="45"/>
      <c r="W12" s="45"/>
      <c r="X12" s="45"/>
      <c r="Y12" s="45"/>
      <c r="Z12" s="5"/>
    </row>
    <row r="13" ht="15.75" customHeight="1">
      <c r="A13" s="1"/>
      <c r="B13" s="16"/>
      <c r="C13" s="1"/>
      <c r="D13" s="17"/>
      <c r="E13" s="1"/>
      <c r="F13" s="16" t="s">
        <v>53</v>
      </c>
      <c r="G13" s="38">
        <f>'Sys Volume &amp; Area'!E17</f>
        <v>69</v>
      </c>
      <c r="H13" s="1"/>
      <c r="I13" s="1"/>
      <c r="J13" s="17"/>
      <c r="K13" s="3"/>
      <c r="L13" s="78" t="s">
        <v>54</v>
      </c>
      <c r="M13" s="79" t="s">
        <v>55</v>
      </c>
      <c r="N13" s="80" t="s">
        <v>56</v>
      </c>
      <c r="O13" s="8"/>
      <c r="P13" s="12"/>
      <c r="Q13" s="81" t="s">
        <v>57</v>
      </c>
      <c r="Y13" s="23"/>
      <c r="Z13" s="5"/>
    </row>
    <row r="14" ht="15.75" customHeight="1">
      <c r="A14" s="1"/>
      <c r="B14" s="28" t="s">
        <v>58</v>
      </c>
      <c r="C14" s="29" t="s">
        <v>5</v>
      </c>
      <c r="D14" s="30" t="s">
        <v>19</v>
      </c>
      <c r="E14" s="1" t="s">
        <v>59</v>
      </c>
      <c r="F14" s="31" t="s">
        <v>60</v>
      </c>
      <c r="G14" s="32" t="s">
        <v>5</v>
      </c>
      <c r="H14" s="32" t="s">
        <v>19</v>
      </c>
      <c r="I14" s="1"/>
      <c r="J14" s="17"/>
      <c r="K14" s="3"/>
      <c r="L14" s="82"/>
      <c r="N14" s="83" t="s">
        <v>21</v>
      </c>
      <c r="O14" s="84" t="s">
        <v>22</v>
      </c>
      <c r="P14" s="12"/>
      <c r="Q14" s="85" t="s">
        <v>61</v>
      </c>
      <c r="R14" s="86" t="s">
        <v>62</v>
      </c>
      <c r="S14" s="8"/>
      <c r="T14" s="87" t="s">
        <v>16</v>
      </c>
      <c r="U14" s="7"/>
      <c r="V14" s="88" t="s">
        <v>63</v>
      </c>
      <c r="W14" s="8"/>
      <c r="X14" s="87" t="s">
        <v>33</v>
      </c>
      <c r="Y14" s="8"/>
      <c r="Z14" s="5"/>
    </row>
    <row r="15" ht="15.75" customHeight="1">
      <c r="A15" s="1"/>
      <c r="B15" s="49" t="s">
        <v>64</v>
      </c>
      <c r="C15" s="89">
        <v>0.207</v>
      </c>
      <c r="D15" s="90" t="s">
        <v>65</v>
      </c>
      <c r="E15" s="1"/>
      <c r="F15" s="16" t="s">
        <v>66</v>
      </c>
      <c r="G15" s="67">
        <f>G16*C9</f>
        <v>201.1680889</v>
      </c>
      <c r="H15" s="1"/>
      <c r="I15" s="1"/>
      <c r="J15" s="17"/>
      <c r="K15" s="3"/>
      <c r="L15" s="91" t="s">
        <v>67</v>
      </c>
      <c r="M15" s="92">
        <v>100.0</v>
      </c>
      <c r="N15" s="27">
        <f t="shared" ref="N15:O15" si="4">$M15*$G$5</f>
        <v>81081.1453</v>
      </c>
      <c r="O15" s="44">
        <f t="shared" si="4"/>
        <v>81081.1453</v>
      </c>
      <c r="P15" s="12"/>
      <c r="Q15" s="93"/>
      <c r="R15" s="94" t="s">
        <v>21</v>
      </c>
      <c r="S15" s="95" t="s">
        <v>22</v>
      </c>
      <c r="T15" s="96" t="s">
        <v>21</v>
      </c>
      <c r="U15" s="97" t="s">
        <v>22</v>
      </c>
      <c r="V15" s="96" t="s">
        <v>21</v>
      </c>
      <c r="W15" s="97" t="s">
        <v>22</v>
      </c>
      <c r="X15" s="96" t="s">
        <v>21</v>
      </c>
      <c r="Y15" s="97" t="s">
        <v>22</v>
      </c>
      <c r="Z15" s="5"/>
    </row>
    <row r="16" ht="15.75" customHeight="1">
      <c r="A16" s="1"/>
      <c r="B16" s="49" t="s">
        <v>68</v>
      </c>
      <c r="C16" s="89">
        <v>0.362</v>
      </c>
      <c r="D16" s="90" t="s">
        <v>69</v>
      </c>
      <c r="E16" s="1"/>
      <c r="F16" s="16" t="s">
        <v>70</v>
      </c>
      <c r="G16" s="67">
        <f>sqrt((C7*4046.86)/C9)</f>
        <v>20.11680889</v>
      </c>
      <c r="H16" s="1"/>
      <c r="I16" s="1"/>
      <c r="J16" s="17"/>
      <c r="K16" s="3"/>
      <c r="L16" s="91" t="s">
        <v>71</v>
      </c>
      <c r="M16" s="92">
        <v>50.0</v>
      </c>
      <c r="N16" s="27">
        <f t="shared" ref="N16:O16" si="5">$M16*$G$5</f>
        <v>40540.57265</v>
      </c>
      <c r="O16" s="44">
        <f t="shared" si="5"/>
        <v>40540.57265</v>
      </c>
      <c r="P16" s="12"/>
      <c r="Q16" s="44">
        <v>2000.0</v>
      </c>
      <c r="R16" s="98">
        <f t="shared" ref="R16:S16" si="6">T16*(1-$C$39)</f>
        <v>-5847855.452</v>
      </c>
      <c r="S16" s="99">
        <f t="shared" si="6"/>
        <v>-6498869.452</v>
      </c>
      <c r="T16" s="27">
        <f t="shared" ref="T16:T44" si="10">V16-$N$23</f>
        <v>-8524570.63</v>
      </c>
      <c r="U16" s="44">
        <f t="shared" ref="U16:U44" si="11">W16-$O$23</f>
        <v>-9473570.63</v>
      </c>
      <c r="V16" s="100">
        <f t="shared" ref="V16:V44" si="12">Q16*$G$5</f>
        <v>1621622.906</v>
      </c>
      <c r="W16" s="44">
        <f t="shared" ref="W16:W44" si="13">V16</f>
        <v>1621622.906</v>
      </c>
      <c r="X16" s="101">
        <f t="shared" ref="X16:Y16" si="7">R16/V16</f>
        <v>-3.606174673</v>
      </c>
      <c r="Y16" s="102">
        <f t="shared" si="7"/>
        <v>-4.007632988</v>
      </c>
      <c r="Z16" s="5"/>
    </row>
    <row r="17" ht="15.75" customHeight="1">
      <c r="A17" s="1"/>
      <c r="B17" s="16"/>
      <c r="C17" s="1"/>
      <c r="D17" s="17"/>
      <c r="E17" s="1"/>
      <c r="F17" s="16" t="s">
        <v>72</v>
      </c>
      <c r="G17" s="67">
        <f>(G16*(G15-G16))+((pi()/4)*G16^2)</f>
        <v>3960.013641</v>
      </c>
      <c r="H17" s="103" t="s">
        <v>73</v>
      </c>
      <c r="I17" s="1"/>
      <c r="J17" s="17"/>
      <c r="K17" s="3"/>
      <c r="L17" s="91" t="s">
        <v>74</v>
      </c>
      <c r="M17" s="92">
        <v>100.0</v>
      </c>
      <c r="N17" s="27">
        <f t="shared" ref="N17:O17" si="8">$M17*$G$5</f>
        <v>81081.1453</v>
      </c>
      <c r="O17" s="44">
        <f t="shared" si="8"/>
        <v>81081.1453</v>
      </c>
      <c r="P17" s="12"/>
      <c r="Q17" s="44">
        <f t="shared" ref="Q17:Q20" si="16">Q16+2000</f>
        <v>4000</v>
      </c>
      <c r="R17" s="100">
        <f t="shared" ref="R17:S17" si="9">T17*(1-$C$39)</f>
        <v>-4735422.138</v>
      </c>
      <c r="S17" s="44">
        <f t="shared" si="9"/>
        <v>-5386436.138</v>
      </c>
      <c r="T17" s="27">
        <f t="shared" si="10"/>
        <v>-6902947.724</v>
      </c>
      <c r="U17" s="44">
        <f t="shared" si="11"/>
        <v>-7851947.724</v>
      </c>
      <c r="V17" s="100">
        <f t="shared" si="12"/>
        <v>3243245.812</v>
      </c>
      <c r="W17" s="44">
        <f t="shared" si="13"/>
        <v>3243245.812</v>
      </c>
      <c r="X17" s="101">
        <f t="shared" ref="X17:Y17" si="14">R17/V17</f>
        <v>-1.460087336</v>
      </c>
      <c r="Y17" s="102">
        <f t="shared" si="14"/>
        <v>-1.660816494</v>
      </c>
      <c r="Z17" s="5"/>
    </row>
    <row r="18" ht="15.75" customHeight="1">
      <c r="A18" s="1"/>
      <c r="B18" s="28" t="s">
        <v>75</v>
      </c>
      <c r="C18" s="104" t="s">
        <v>76</v>
      </c>
      <c r="D18" s="30" t="s">
        <v>19</v>
      </c>
      <c r="E18" s="1"/>
      <c r="F18" s="42" t="s">
        <v>77</v>
      </c>
      <c r="G18" s="57">
        <f>C8*G17</f>
        <v>475.2016369</v>
      </c>
      <c r="H18" s="103" t="s">
        <v>78</v>
      </c>
      <c r="I18" s="1"/>
      <c r="J18" s="17"/>
      <c r="K18" s="3"/>
      <c r="L18" s="105" t="s">
        <v>79</v>
      </c>
      <c r="M18" s="92">
        <v>50.0</v>
      </c>
      <c r="N18" s="27">
        <f t="shared" ref="N18:O18" si="15">$M18*$G$5</f>
        <v>40540.57265</v>
      </c>
      <c r="O18" s="44">
        <f t="shared" si="15"/>
        <v>40540.57265</v>
      </c>
      <c r="P18" s="12"/>
      <c r="Q18" s="44">
        <f t="shared" si="16"/>
        <v>6000</v>
      </c>
      <c r="R18" s="100">
        <f t="shared" ref="R18:S18" si="17">T18*(1-$C$39)</f>
        <v>-3622988.825</v>
      </c>
      <c r="S18" s="44">
        <f t="shared" si="17"/>
        <v>-4274002.825</v>
      </c>
      <c r="T18" s="27">
        <f t="shared" si="10"/>
        <v>-5281324.818</v>
      </c>
      <c r="U18" s="44">
        <f t="shared" si="11"/>
        <v>-6230324.818</v>
      </c>
      <c r="V18" s="100">
        <f t="shared" si="12"/>
        <v>4864868.718</v>
      </c>
      <c r="W18" s="44">
        <f t="shared" si="13"/>
        <v>4864868.718</v>
      </c>
      <c r="X18" s="101">
        <f t="shared" ref="X18:Y18" si="18">R18/V18</f>
        <v>-0.7447248909</v>
      </c>
      <c r="Y18" s="102">
        <f t="shared" si="18"/>
        <v>-0.8785443293</v>
      </c>
      <c r="Z18" s="5"/>
    </row>
    <row r="19" ht="15.75" customHeight="1">
      <c r="A19" s="1"/>
      <c r="B19" s="106" t="s">
        <v>80</v>
      </c>
      <c r="C19" s="107">
        <v>0.4024</v>
      </c>
      <c r="D19" s="37" t="s">
        <v>81</v>
      </c>
      <c r="E19" s="1"/>
      <c r="F19" s="42" t="s">
        <v>82</v>
      </c>
      <c r="G19" s="43">
        <f>G18*'Sys Volume &amp; Area'!E17</f>
        <v>32788.91295</v>
      </c>
      <c r="H19" s="108"/>
      <c r="I19" s="1"/>
      <c r="J19" s="17"/>
      <c r="K19" s="3"/>
      <c r="L19" s="109" t="s">
        <v>83</v>
      </c>
      <c r="M19" s="110">
        <f t="shared" ref="M19:O19" si="19">SUM(M15:M18)</f>
        <v>300</v>
      </c>
      <c r="N19" s="111">
        <f t="shared" si="19"/>
        <v>243243.4359</v>
      </c>
      <c r="O19" s="112">
        <f t="shared" si="19"/>
        <v>243243.4359</v>
      </c>
      <c r="P19" s="12"/>
      <c r="Q19" s="44">
        <f t="shared" si="16"/>
        <v>8000</v>
      </c>
      <c r="R19" s="100">
        <f t="shared" ref="R19:S19" si="20">T19*(1-$C$39)</f>
        <v>-2510555.511</v>
      </c>
      <c r="S19" s="44">
        <f t="shared" si="20"/>
        <v>-3161569.511</v>
      </c>
      <c r="T19" s="27">
        <f t="shared" si="10"/>
        <v>-3659701.912</v>
      </c>
      <c r="U19" s="44">
        <f t="shared" si="11"/>
        <v>-4608701.912</v>
      </c>
      <c r="V19" s="100">
        <f t="shared" si="12"/>
        <v>6486491.624</v>
      </c>
      <c r="W19" s="44">
        <f t="shared" si="13"/>
        <v>6486491.624</v>
      </c>
      <c r="X19" s="101">
        <f t="shared" ref="X19:Y19" si="21">R19/V19</f>
        <v>-0.3870436682</v>
      </c>
      <c r="Y19" s="102">
        <f t="shared" si="21"/>
        <v>-0.487408247</v>
      </c>
      <c r="Z19" s="5"/>
    </row>
    <row r="20" ht="15.75" customHeight="1">
      <c r="A20" s="1"/>
      <c r="B20" s="106" t="s">
        <v>84</v>
      </c>
      <c r="C20" s="113">
        <f>AVERAGE(37.96, 35.42, 41.31, 39.17, 34.88, 33.91, 38.79, 30.07, 31.63, 29.64, 20.36, 30.94)/1000</f>
        <v>0.03367333333</v>
      </c>
      <c r="D20" s="37" t="s">
        <v>85</v>
      </c>
      <c r="E20" s="1"/>
      <c r="F20" s="16" t="s">
        <v>86</v>
      </c>
      <c r="G20" s="92">
        <f>'Sys Volume &amp; Area'!F23</f>
        <v>318222.6958</v>
      </c>
      <c r="H20" s="103" t="s">
        <v>87</v>
      </c>
      <c r="I20" s="1"/>
      <c r="J20" s="17"/>
      <c r="K20" s="3"/>
      <c r="L20" s="3"/>
      <c r="M20" s="3"/>
      <c r="N20" s="3"/>
      <c r="O20" s="3"/>
      <c r="P20" s="12"/>
      <c r="Q20" s="44">
        <f t="shared" si="16"/>
        <v>10000</v>
      </c>
      <c r="R20" s="100">
        <f t="shared" ref="R20:S20" si="22">T20*(1-$C$39)</f>
        <v>-1398122.198</v>
      </c>
      <c r="S20" s="44">
        <f t="shared" si="22"/>
        <v>-2049136.198</v>
      </c>
      <c r="T20" s="27">
        <f t="shared" si="10"/>
        <v>-2038079.006</v>
      </c>
      <c r="U20" s="44">
        <f t="shared" si="11"/>
        <v>-2987079.006</v>
      </c>
      <c r="V20" s="100">
        <f t="shared" si="12"/>
        <v>8108114.53</v>
      </c>
      <c r="W20" s="44">
        <f t="shared" si="13"/>
        <v>8108114.53</v>
      </c>
      <c r="X20" s="101">
        <f t="shared" ref="X20:Y20" si="23">R20/V20</f>
        <v>-0.1724349345</v>
      </c>
      <c r="Y20" s="102">
        <f t="shared" si="23"/>
        <v>-0.2527265976</v>
      </c>
      <c r="Z20" s="5"/>
    </row>
    <row r="21" ht="15.75" customHeight="1">
      <c r="A21" s="1"/>
      <c r="B21" s="106" t="s">
        <v>88</v>
      </c>
      <c r="C21" s="107">
        <v>1.6</v>
      </c>
      <c r="D21" s="37" t="s">
        <v>89</v>
      </c>
      <c r="E21" s="1"/>
      <c r="F21" s="16" t="s">
        <v>90</v>
      </c>
      <c r="G21" s="114">
        <f>'Water &amp; Nutrient Calcs'!L5/G19</f>
        <v>0.08333333333</v>
      </c>
      <c r="H21" s="1"/>
      <c r="I21" s="115" t="s">
        <v>91</v>
      </c>
      <c r="J21" s="17"/>
      <c r="K21" s="3"/>
      <c r="L21" s="3"/>
      <c r="M21" s="3"/>
      <c r="N21" s="116" t="s">
        <v>92</v>
      </c>
      <c r="O21" s="8"/>
      <c r="P21" s="12"/>
      <c r="Q21" s="44">
        <f t="shared" ref="Q21:Q23" si="26">Q20+5000</f>
        <v>15000</v>
      </c>
      <c r="R21" s="100">
        <f t="shared" ref="R21:S21" si="24">T21*(1-$C$39)</f>
        <v>1382961.086</v>
      </c>
      <c r="S21" s="44">
        <f t="shared" si="24"/>
        <v>731947.0856</v>
      </c>
      <c r="T21" s="27">
        <f t="shared" si="10"/>
        <v>2015978.259</v>
      </c>
      <c r="U21" s="44">
        <f t="shared" si="11"/>
        <v>1066978.259</v>
      </c>
      <c r="V21" s="100">
        <f t="shared" si="12"/>
        <v>12162171.79</v>
      </c>
      <c r="W21" s="44">
        <f t="shared" si="13"/>
        <v>12162171.79</v>
      </c>
      <c r="X21" s="101">
        <f t="shared" ref="X21:Y21" si="25">R21/V21</f>
        <v>0.1137100436</v>
      </c>
      <c r="Y21" s="102">
        <f t="shared" si="25"/>
        <v>0.06018226826</v>
      </c>
      <c r="Z21" s="5"/>
    </row>
    <row r="22" ht="15.75" customHeight="1">
      <c r="A22" s="1"/>
      <c r="B22" s="106" t="s">
        <v>93</v>
      </c>
      <c r="C22" s="107">
        <v>375.0</v>
      </c>
      <c r="D22" s="41" t="s">
        <v>94</v>
      </c>
      <c r="E22" s="1"/>
      <c r="F22" s="42" t="s">
        <v>95</v>
      </c>
      <c r="G22" s="117">
        <f>SUM('Inputs Overview'!E65,'Inoculum Overview'!E54,'Biomass Overview'!E50,'Harvesting Overview'!E57,'Drying Overview'!E54)/1000</f>
        <v>1996.55156</v>
      </c>
      <c r="H22" s="118">
        <f>G22*C19*1000</f>
        <v>803412.3479</v>
      </c>
      <c r="I22" s="119">
        <f>G22/2146</f>
        <v>0.9303595342</v>
      </c>
      <c r="J22" s="17"/>
      <c r="K22" s="3"/>
      <c r="L22" s="3"/>
      <c r="M22" s="3"/>
      <c r="N22" s="120" t="s">
        <v>21</v>
      </c>
      <c r="O22" s="121" t="s">
        <v>22</v>
      </c>
      <c r="P22" s="12"/>
      <c r="Q22" s="44">
        <f t="shared" si="26"/>
        <v>20000</v>
      </c>
      <c r="R22" s="100">
        <f t="shared" ref="R22:S22" si="27">T22*(1-$C$39)</f>
        <v>4164044.369</v>
      </c>
      <c r="S22" s="44">
        <f t="shared" si="27"/>
        <v>3513030.369</v>
      </c>
      <c r="T22" s="27">
        <f t="shared" si="10"/>
        <v>6070035.524</v>
      </c>
      <c r="U22" s="44">
        <f t="shared" si="11"/>
        <v>5121035.524</v>
      </c>
      <c r="V22" s="100">
        <f t="shared" si="12"/>
        <v>16216229.06</v>
      </c>
      <c r="W22" s="44">
        <f t="shared" si="13"/>
        <v>16216229.06</v>
      </c>
      <c r="X22" s="101">
        <f t="shared" ref="X22:Y22" si="28">R22/V22</f>
        <v>0.2567825327</v>
      </c>
      <c r="Y22" s="102">
        <f t="shared" si="28"/>
        <v>0.2166367012</v>
      </c>
      <c r="Z22" s="5"/>
    </row>
    <row r="23" ht="15.75" customHeight="1">
      <c r="A23" s="1"/>
      <c r="B23" s="106" t="s">
        <v>96</v>
      </c>
      <c r="C23" s="107">
        <v>600.0</v>
      </c>
      <c r="D23" s="122" t="s">
        <v>97</v>
      </c>
      <c r="E23" s="1"/>
      <c r="F23" s="42" t="s">
        <v>98</v>
      </c>
      <c r="G23" s="117">
        <f>'Drying Overview'!E55</f>
        <v>469497.908</v>
      </c>
      <c r="H23" s="118">
        <f t="shared" ref="H23:H24" si="32">G23*C20</f>
        <v>15809.55956</v>
      </c>
      <c r="I23" s="1"/>
      <c r="J23" s="17"/>
      <c r="K23" s="3"/>
      <c r="L23" s="3"/>
      <c r="M23" s="3"/>
      <c r="N23" s="123">
        <f t="shared" ref="N23:O23" si="29">I45+N19</f>
        <v>10146193.54</v>
      </c>
      <c r="O23" s="40">
        <f t="shared" si="29"/>
        <v>11095193.54</v>
      </c>
      <c r="P23" s="12"/>
      <c r="Q23" s="44">
        <f t="shared" si="26"/>
        <v>25000</v>
      </c>
      <c r="R23" s="100">
        <f t="shared" ref="R23:S23" si="30">T23*(1-$C$39)</f>
        <v>6945127.653</v>
      </c>
      <c r="S23" s="44">
        <f t="shared" si="30"/>
        <v>6294113.653</v>
      </c>
      <c r="T23" s="27">
        <f t="shared" si="10"/>
        <v>10124092.79</v>
      </c>
      <c r="U23" s="44">
        <f t="shared" si="11"/>
        <v>9175092.788</v>
      </c>
      <c r="V23" s="100">
        <f t="shared" si="12"/>
        <v>20270286.32</v>
      </c>
      <c r="W23" s="44">
        <f t="shared" si="13"/>
        <v>20270286.32</v>
      </c>
      <c r="X23" s="101">
        <f t="shared" ref="X23:Y23" si="31">R23/V23</f>
        <v>0.3426260262</v>
      </c>
      <c r="Y23" s="102">
        <f t="shared" si="31"/>
        <v>0.310509361</v>
      </c>
      <c r="Z23" s="5"/>
    </row>
    <row r="24" ht="15.75" customHeight="1">
      <c r="A24" s="1"/>
      <c r="B24" s="106" t="s">
        <v>99</v>
      </c>
      <c r="C24" s="107">
        <v>600.0</v>
      </c>
      <c r="D24" s="122" t="s">
        <v>97</v>
      </c>
      <c r="E24" s="1"/>
      <c r="F24" s="42" t="s">
        <v>100</v>
      </c>
      <c r="G24" s="117">
        <f>SUM('Inputs Overview'!E66,'Inoculum Overview'!E55,'Biomass Overview'!E54,'Harvesting Overview'!E58)</f>
        <v>17940.65293</v>
      </c>
      <c r="H24" s="118">
        <f t="shared" si="32"/>
        <v>28705.04468</v>
      </c>
      <c r="I24" s="1"/>
      <c r="J24" s="17"/>
      <c r="K24" s="3"/>
      <c r="L24" s="3"/>
      <c r="M24" s="3"/>
      <c r="N24" s="3"/>
      <c r="O24" s="3"/>
      <c r="P24" s="12"/>
      <c r="Q24" s="124">
        <v>29000.0</v>
      </c>
      <c r="R24" s="100">
        <f t="shared" ref="R24:S24" si="33">T24*(1-$C$39)</f>
        <v>9169994.28</v>
      </c>
      <c r="S24" s="44">
        <f t="shared" si="33"/>
        <v>8518980.28</v>
      </c>
      <c r="T24" s="27">
        <f t="shared" si="10"/>
        <v>13367338.6</v>
      </c>
      <c r="U24" s="44">
        <f t="shared" si="11"/>
        <v>12418338.6</v>
      </c>
      <c r="V24" s="100">
        <f t="shared" si="12"/>
        <v>23513532.14</v>
      </c>
      <c r="W24" s="44">
        <f t="shared" si="13"/>
        <v>23513532.14</v>
      </c>
      <c r="X24" s="101">
        <f t="shared" ref="X24:Y24" si="34">R24/V24</f>
        <v>0.3899879536</v>
      </c>
      <c r="Y24" s="102">
        <f t="shared" si="34"/>
        <v>0.3623011732</v>
      </c>
      <c r="Z24" s="5"/>
    </row>
    <row r="25" ht="15.75" customHeight="1">
      <c r="A25" s="1"/>
      <c r="B25" s="16" t="s">
        <v>101</v>
      </c>
      <c r="C25" s="107">
        <f>C24</f>
        <v>600</v>
      </c>
      <c r="D25" s="41" t="s">
        <v>102</v>
      </c>
      <c r="E25" s="1"/>
      <c r="F25" s="125" t="s">
        <v>103</v>
      </c>
      <c r="G25" s="126">
        <f>G24*2.7/1000</f>
        <v>48.4397629</v>
      </c>
      <c r="H25" s="127"/>
      <c r="I25" s="1"/>
      <c r="J25" s="17"/>
      <c r="K25" s="3"/>
      <c r="L25" s="128" t="s">
        <v>104</v>
      </c>
      <c r="M25" s="7"/>
      <c r="N25" s="8"/>
      <c r="O25" s="3"/>
      <c r="P25" s="12"/>
      <c r="Q25" s="44">
        <f t="shared" ref="Q25:Q28" si="37">Q24+5000</f>
        <v>34000</v>
      </c>
      <c r="R25" s="100">
        <f t="shared" ref="R25:S25" si="35">T25*(1-$C$39)</f>
        <v>11951077.56</v>
      </c>
      <c r="S25" s="44">
        <f t="shared" si="35"/>
        <v>11300063.56</v>
      </c>
      <c r="T25" s="27">
        <f t="shared" si="10"/>
        <v>17421395.87</v>
      </c>
      <c r="U25" s="44">
        <f t="shared" si="11"/>
        <v>16472395.87</v>
      </c>
      <c r="V25" s="100">
        <f t="shared" si="12"/>
        <v>27567589.4</v>
      </c>
      <c r="W25" s="44">
        <f t="shared" si="13"/>
        <v>27567589.4</v>
      </c>
      <c r="X25" s="101">
        <f t="shared" ref="X25:Y25" si="36">R25/V25</f>
        <v>0.4335191369</v>
      </c>
      <c r="Y25" s="102">
        <f t="shared" si="36"/>
        <v>0.4099039419</v>
      </c>
      <c r="Z25" s="5"/>
    </row>
    <row r="26" ht="15.75" customHeight="1">
      <c r="A26" s="1"/>
      <c r="B26" s="106" t="s">
        <v>105</v>
      </c>
      <c r="C26" s="107">
        <f>average(20.62, 80)/3.78541/100</f>
        <v>0.1329050222</v>
      </c>
      <c r="D26" s="129"/>
      <c r="E26" s="1"/>
      <c r="F26" s="42" t="s">
        <v>106</v>
      </c>
      <c r="G26" s="117">
        <f>'Water &amp; Nutrient Calcs'!P11</f>
        <v>6952.144353</v>
      </c>
      <c r="H26" s="118">
        <f t="shared" ref="H26:H28" si="40">G26*C22</f>
        <v>2607054.132</v>
      </c>
      <c r="I26" s="1"/>
      <c r="J26" s="17"/>
      <c r="K26" s="3"/>
      <c r="L26" s="120" t="s">
        <v>107</v>
      </c>
      <c r="M26" s="130" t="s">
        <v>108</v>
      </c>
      <c r="N26" s="121" t="s">
        <v>109</v>
      </c>
      <c r="O26" s="3"/>
      <c r="P26" s="12"/>
      <c r="Q26" s="44">
        <f t="shared" si="37"/>
        <v>39000</v>
      </c>
      <c r="R26" s="100">
        <f t="shared" ref="R26:S26" si="38">T26*(1-$C$39)</f>
        <v>14732160.85</v>
      </c>
      <c r="S26" s="44">
        <f t="shared" si="38"/>
        <v>14081146.85</v>
      </c>
      <c r="T26" s="27">
        <f t="shared" si="10"/>
        <v>21475453.13</v>
      </c>
      <c r="U26" s="44">
        <f t="shared" si="11"/>
        <v>20526453.13</v>
      </c>
      <c r="V26" s="100">
        <f t="shared" si="12"/>
        <v>31621646.67</v>
      </c>
      <c r="W26" s="44">
        <f t="shared" si="13"/>
        <v>31621646.67</v>
      </c>
      <c r="X26" s="101">
        <f t="shared" ref="X26:Y26" si="39">R26/V26</f>
        <v>0.4658884783</v>
      </c>
      <c r="Y26" s="102">
        <f t="shared" si="39"/>
        <v>0.4453008724</v>
      </c>
      <c r="Z26" s="5"/>
    </row>
    <row r="27" ht="15.75" customHeight="1">
      <c r="A27" s="1"/>
      <c r="B27" s="16" t="s">
        <v>110</v>
      </c>
      <c r="C27" s="107">
        <v>36.5</v>
      </c>
      <c r="D27" s="41" t="s">
        <v>111</v>
      </c>
      <c r="E27" s="1"/>
      <c r="F27" s="42" t="s">
        <v>112</v>
      </c>
      <c r="G27" s="117">
        <f>'Water &amp; Nutrient Calcs'!P12</f>
        <v>126.416191</v>
      </c>
      <c r="H27" s="118">
        <f t="shared" si="40"/>
        <v>75849.71457</v>
      </c>
      <c r="I27" s="1"/>
      <c r="J27" s="17"/>
      <c r="K27" s="3"/>
      <c r="L27" s="91" t="s">
        <v>113</v>
      </c>
      <c r="M27" s="3">
        <v>1.0</v>
      </c>
      <c r="N27" s="12">
        <v>1.0</v>
      </c>
      <c r="O27" s="3"/>
      <c r="P27" s="12"/>
      <c r="Q27" s="44">
        <f t="shared" si="37"/>
        <v>44000</v>
      </c>
      <c r="R27" s="100">
        <f t="shared" ref="R27:S27" si="41">T27*(1-$C$39)</f>
        <v>17513244.13</v>
      </c>
      <c r="S27" s="44">
        <f t="shared" si="41"/>
        <v>16862230.13</v>
      </c>
      <c r="T27" s="27">
        <f t="shared" si="10"/>
        <v>25529510.39</v>
      </c>
      <c r="U27" s="44">
        <f t="shared" si="11"/>
        <v>24580510.39</v>
      </c>
      <c r="V27" s="100">
        <f t="shared" si="12"/>
        <v>35675703.93</v>
      </c>
      <c r="W27" s="44">
        <f t="shared" si="13"/>
        <v>35675703.93</v>
      </c>
      <c r="X27" s="101">
        <f t="shared" ref="X27:Y27" si="42">R27/V27</f>
        <v>0.4909011512</v>
      </c>
      <c r="Y27" s="102">
        <f t="shared" si="42"/>
        <v>0.472653046</v>
      </c>
      <c r="Z27" s="5"/>
    </row>
    <row r="28" ht="15.75" customHeight="1">
      <c r="A28" s="1"/>
      <c r="B28" s="16"/>
      <c r="C28" s="1"/>
      <c r="D28" s="17"/>
      <c r="E28" s="1"/>
      <c r="F28" s="42" t="s">
        <v>114</v>
      </c>
      <c r="G28" s="117">
        <f>'Water &amp; Nutrient Calcs'!P13</f>
        <v>9.126434421</v>
      </c>
      <c r="H28" s="118">
        <f t="shared" si="40"/>
        <v>5475.860653</v>
      </c>
      <c r="I28" s="1"/>
      <c r="J28" s="17"/>
      <c r="K28" s="3"/>
      <c r="L28" s="91" t="s">
        <v>115</v>
      </c>
      <c r="M28" s="3">
        <v>1.0</v>
      </c>
      <c r="N28" s="12">
        <v>1.0</v>
      </c>
      <c r="O28" s="3"/>
      <c r="P28" s="12"/>
      <c r="Q28" s="44">
        <f t="shared" si="37"/>
        <v>49000</v>
      </c>
      <c r="R28" s="100">
        <f t="shared" ref="R28:S28" si="43">T28*(1-$C$39)</f>
        <v>20294327.41</v>
      </c>
      <c r="S28" s="44">
        <f t="shared" si="43"/>
        <v>19643313.41</v>
      </c>
      <c r="T28" s="27">
        <f t="shared" si="10"/>
        <v>29583567.66</v>
      </c>
      <c r="U28" s="44">
        <f t="shared" si="11"/>
        <v>28634567.66</v>
      </c>
      <c r="V28" s="100">
        <f t="shared" si="12"/>
        <v>39729761.19</v>
      </c>
      <c r="W28" s="44">
        <f t="shared" si="13"/>
        <v>39729761.19</v>
      </c>
      <c r="X28" s="101">
        <f t="shared" ref="X28:Y28" si="44">R28/V28</f>
        <v>0.510809197</v>
      </c>
      <c r="Y28" s="102">
        <f t="shared" si="44"/>
        <v>0.4944231433</v>
      </c>
      <c r="Z28" s="5"/>
    </row>
    <row r="29" ht="15.75" customHeight="1">
      <c r="A29" s="1"/>
      <c r="B29" s="131" t="s">
        <v>116</v>
      </c>
      <c r="C29" s="132"/>
      <c r="D29" s="17"/>
      <c r="E29" s="1"/>
      <c r="F29" s="42" t="s">
        <v>117</v>
      </c>
      <c r="G29" s="117">
        <f>'Water &amp; Nutrient Calcs'!N5*C6</f>
        <v>1573638.299</v>
      </c>
      <c r="H29" s="118">
        <f>G29*C26</f>
        <v>209144.433</v>
      </c>
      <c r="I29" s="1"/>
      <c r="J29" s="17"/>
      <c r="K29" s="3"/>
      <c r="L29" s="91" t="s">
        <v>118</v>
      </c>
      <c r="M29" s="3">
        <v>1.0</v>
      </c>
      <c r="N29" s="12">
        <v>1.0</v>
      </c>
      <c r="O29" s="3"/>
      <c r="P29" s="12"/>
      <c r="Q29" s="44">
        <f t="shared" ref="Q29:Q33" si="47">Q28+10000</f>
        <v>59000</v>
      </c>
      <c r="R29" s="100">
        <f t="shared" ref="R29:S29" si="45">T29*(1-$C$39)</f>
        <v>25856493.98</v>
      </c>
      <c r="S29" s="44">
        <f t="shared" si="45"/>
        <v>25205479.98</v>
      </c>
      <c r="T29" s="27">
        <f t="shared" si="10"/>
        <v>37691682.19</v>
      </c>
      <c r="U29" s="44">
        <f t="shared" si="11"/>
        <v>36742682.19</v>
      </c>
      <c r="V29" s="100">
        <f t="shared" si="12"/>
        <v>47837875.72</v>
      </c>
      <c r="W29" s="44">
        <f t="shared" si="13"/>
        <v>47837875.72</v>
      </c>
      <c r="X29" s="101">
        <f t="shared" ref="X29:Y29" si="46">R29/V29</f>
        <v>0.5405025535</v>
      </c>
      <c r="Y29" s="102">
        <f t="shared" si="46"/>
        <v>0.526893797</v>
      </c>
      <c r="Z29" s="5"/>
    </row>
    <row r="30" ht="15.75" customHeight="1">
      <c r="A30" s="1"/>
      <c r="B30" s="28" t="s">
        <v>119</v>
      </c>
      <c r="C30" s="29" t="s">
        <v>120</v>
      </c>
      <c r="D30" s="17"/>
      <c r="E30" s="1"/>
      <c r="F30" s="133" t="s">
        <v>121</v>
      </c>
      <c r="G30" s="134">
        <f>SUM('Inputs Overview'!L43,'Inoculum Overview'!L44,'Biomass Overview'!L44,'Harvesting Overview'!L44,'Drying Overview'!L44)</f>
        <v>5</v>
      </c>
      <c r="H30" s="135">
        <f>SUM('Inputs Overview'!N43,'Inoculum Overview'!N44,'Biomass Overview'!N44,'Harvesting Overview'!N44,'Drying Overview'!N44)</f>
        <v>1095000</v>
      </c>
      <c r="I30" s="1"/>
      <c r="J30" s="17"/>
      <c r="K30" s="3"/>
      <c r="L30" s="91" t="s">
        <v>122</v>
      </c>
      <c r="M30" s="3">
        <v>1.0</v>
      </c>
      <c r="N30" s="12">
        <v>1.0</v>
      </c>
      <c r="O30" s="3"/>
      <c r="P30" s="12"/>
      <c r="Q30" s="44">
        <f t="shared" si="47"/>
        <v>69000</v>
      </c>
      <c r="R30" s="100">
        <f t="shared" ref="R30:S30" si="48">T30*(1-$C$39)</f>
        <v>31418660.55</v>
      </c>
      <c r="S30" s="44">
        <f t="shared" si="48"/>
        <v>30767646.55</v>
      </c>
      <c r="T30" s="27">
        <f t="shared" si="10"/>
        <v>45799796.72</v>
      </c>
      <c r="U30" s="44">
        <f t="shared" si="11"/>
        <v>44850796.72</v>
      </c>
      <c r="V30" s="100">
        <f t="shared" si="12"/>
        <v>55945990.25</v>
      </c>
      <c r="W30" s="44">
        <f t="shared" si="13"/>
        <v>55945990.25</v>
      </c>
      <c r="X30" s="101">
        <f t="shared" ref="X30:Y30" si="49">R30/V30</f>
        <v>0.5615891399</v>
      </c>
      <c r="Y30" s="102">
        <f t="shared" si="49"/>
        <v>0.549952667</v>
      </c>
      <c r="Z30" s="5"/>
    </row>
    <row r="31" ht="15.75" customHeight="1">
      <c r="A31" s="1"/>
      <c r="B31" s="49" t="s">
        <v>123</v>
      </c>
      <c r="C31" s="136">
        <v>0.54</v>
      </c>
      <c r="D31" s="137" t="s">
        <v>124</v>
      </c>
      <c r="E31" s="1"/>
      <c r="F31" s="133" t="s">
        <v>125</v>
      </c>
      <c r="G31" s="134">
        <f>SUM('Inputs Overview'!L44,'Inoculum Overview'!L45,'Biomass Overview'!L45,'Harvesting Overview'!L45,'Drying Overview'!L45)</f>
        <v>7</v>
      </c>
      <c r="H31" s="135">
        <f>SUM('Inputs Overview'!N44,'Inoculum Overview'!N45,'Biomass Overview'!N45,'Harvesting Overview'!N45,'Drying Overview'!N45)</f>
        <v>1277500</v>
      </c>
      <c r="I31" s="1"/>
      <c r="J31" s="17"/>
      <c r="K31" s="3"/>
      <c r="L31" s="91" t="s">
        <v>126</v>
      </c>
      <c r="M31" s="3">
        <v>1.0</v>
      </c>
      <c r="N31" s="12">
        <v>1.0</v>
      </c>
      <c r="O31" s="3"/>
      <c r="P31" s="12"/>
      <c r="Q31" s="44">
        <f t="shared" si="47"/>
        <v>79000</v>
      </c>
      <c r="R31" s="100">
        <f t="shared" ref="R31:S31" si="50">T31*(1-$C$39)</f>
        <v>36980827.12</v>
      </c>
      <c r="S31" s="44">
        <f t="shared" si="50"/>
        <v>36329813.12</v>
      </c>
      <c r="T31" s="27">
        <f t="shared" si="10"/>
        <v>53907911.25</v>
      </c>
      <c r="U31" s="44">
        <f t="shared" si="11"/>
        <v>52958911.25</v>
      </c>
      <c r="V31" s="100">
        <f t="shared" si="12"/>
        <v>64054104.78</v>
      </c>
      <c r="W31" s="44">
        <f t="shared" si="13"/>
        <v>64054104.78</v>
      </c>
      <c r="X31" s="101">
        <f t="shared" ref="X31:Y31" si="51">R31/V31</f>
        <v>0.5773373501</v>
      </c>
      <c r="Y31" s="102">
        <f t="shared" si="51"/>
        <v>0.5671738484</v>
      </c>
      <c r="Z31" s="5"/>
    </row>
    <row r="32" ht="15.75" customHeight="1">
      <c r="A32" s="1"/>
      <c r="B32" s="49" t="s">
        <v>127</v>
      </c>
      <c r="C32" s="136">
        <v>0.018</v>
      </c>
      <c r="D32" s="137" t="s">
        <v>124</v>
      </c>
      <c r="E32" s="1"/>
      <c r="F32" s="133" t="s">
        <v>128</v>
      </c>
      <c r="G32" s="134">
        <f>SUM('Inputs Overview'!L45,'Inoculum Overview'!L46,'Biomass Overview'!L46,'Harvesting Overview'!L46,'Drying Overview'!L46)</f>
        <v>5</v>
      </c>
      <c r="H32" s="135">
        <f>SUM('Inputs Overview'!N45,'Inoculum Overview'!N46,'Biomass Overview'!N46,'Harvesting Overview'!N46,'Drying Overview'!N46)</f>
        <v>730000</v>
      </c>
      <c r="I32" s="1"/>
      <c r="J32" s="17"/>
      <c r="K32" s="3"/>
      <c r="L32" s="138" t="s">
        <v>129</v>
      </c>
      <c r="M32" s="139">
        <v>1.0</v>
      </c>
      <c r="N32" s="140">
        <v>1.0</v>
      </c>
      <c r="O32" s="3"/>
      <c r="P32" s="12"/>
      <c r="Q32" s="44">
        <f t="shared" si="47"/>
        <v>89000</v>
      </c>
      <c r="R32" s="100">
        <f t="shared" ref="R32:S32" si="52">T32*(1-$C$39)</f>
        <v>42542993.68</v>
      </c>
      <c r="S32" s="44">
        <f t="shared" si="52"/>
        <v>41891979.68</v>
      </c>
      <c r="T32" s="27">
        <f t="shared" si="10"/>
        <v>62016025.78</v>
      </c>
      <c r="U32" s="44">
        <f t="shared" si="11"/>
        <v>61067025.78</v>
      </c>
      <c r="V32" s="100">
        <f t="shared" si="12"/>
        <v>72162219.31</v>
      </c>
      <c r="W32" s="44">
        <f t="shared" si="13"/>
        <v>72162219.31</v>
      </c>
      <c r="X32" s="101">
        <f t="shared" ref="X32:Y32" si="53">R32/V32</f>
        <v>0.5895466366</v>
      </c>
      <c r="Y32" s="102">
        <f t="shared" si="53"/>
        <v>0.5805251014</v>
      </c>
      <c r="Z32" s="5"/>
    </row>
    <row r="33" ht="15.75" customHeight="1">
      <c r="A33" s="1"/>
      <c r="B33" s="49" t="s">
        <v>130</v>
      </c>
      <c r="C33" s="136">
        <v>0.0022</v>
      </c>
      <c r="D33" s="137" t="s">
        <v>124</v>
      </c>
      <c r="E33" s="1"/>
      <c r="F33" s="133" t="s">
        <v>131</v>
      </c>
      <c r="G33" s="134">
        <f>SUM('Inputs Overview'!L46,'Inoculum Overview'!L47,'Biomass Overview'!L47,'Harvesting Overview'!L47,'Drying Overview'!L47)</f>
        <v>5</v>
      </c>
      <c r="H33" s="135">
        <f>SUM('Inputs Overview'!N46,'Inoculum Overview'!N47,'Biomass Overview'!N47,'Harvesting Overview'!N47,'Drying Overview'!N47)</f>
        <v>365000</v>
      </c>
      <c r="I33" s="1"/>
      <c r="J33" s="17"/>
      <c r="K33" s="3"/>
      <c r="L33" s="141" t="s">
        <v>132</v>
      </c>
      <c r="M33" s="45">
        <v>1.0</v>
      </c>
      <c r="N33" s="142">
        <v>1.0</v>
      </c>
      <c r="O33" s="3"/>
      <c r="P33" s="12"/>
      <c r="Q33" s="44">
        <f t="shared" si="47"/>
        <v>99000</v>
      </c>
      <c r="R33" s="100">
        <f t="shared" ref="R33:S33" si="54">T33*(1-$C$39)</f>
        <v>48105160.25</v>
      </c>
      <c r="S33" s="44">
        <f t="shared" si="54"/>
        <v>47454146.25</v>
      </c>
      <c r="T33" s="27">
        <f t="shared" si="10"/>
        <v>70124140.31</v>
      </c>
      <c r="U33" s="44">
        <f t="shared" si="11"/>
        <v>69175140.31</v>
      </c>
      <c r="V33" s="100">
        <f t="shared" si="12"/>
        <v>80270333.84</v>
      </c>
      <c r="W33" s="44">
        <f t="shared" si="13"/>
        <v>80270333.84</v>
      </c>
      <c r="X33" s="101">
        <f t="shared" ref="X33:Y33" si="55">R33/V33</f>
        <v>0.5992894006</v>
      </c>
      <c r="Y33" s="102">
        <f t="shared" si="55"/>
        <v>0.5911791316</v>
      </c>
      <c r="Z33" s="5"/>
    </row>
    <row r="34" ht="15.75" customHeight="1">
      <c r="A34" s="1"/>
      <c r="B34" s="49" t="s">
        <v>133</v>
      </c>
      <c r="C34" s="136">
        <f>C33*(C33/C32)</f>
        <v>0.0002688888889</v>
      </c>
      <c r="D34" s="137" t="s">
        <v>134</v>
      </c>
      <c r="E34" s="1"/>
      <c r="F34" s="133" t="s">
        <v>135</v>
      </c>
      <c r="G34" s="134">
        <f>SUM('Inputs Overview'!L47,'Inoculum Overview'!L48,'Biomass Overview'!L48,'Harvesting Overview'!L48,'Drying Overview'!L48)</f>
        <v>14</v>
      </c>
      <c r="H34" s="135">
        <f>SUM('Inputs Overview'!N47,'Inoculum Overview'!N48,'Biomass Overview'!N48,'Harvesting Overview'!N48,'Drying Overview'!N48)</f>
        <v>1022000</v>
      </c>
      <c r="I34" s="1"/>
      <c r="J34" s="17"/>
      <c r="K34" s="3"/>
      <c r="O34" s="3"/>
      <c r="P34" s="12"/>
      <c r="Q34" s="44">
        <f t="shared" ref="Q34:Q38" si="58">Q33+20000</f>
        <v>119000</v>
      </c>
      <c r="R34" s="100">
        <f t="shared" ref="R34:S34" si="56">T34*(1-$C$39)</f>
        <v>59229493.39</v>
      </c>
      <c r="S34" s="44">
        <f t="shared" si="56"/>
        <v>58578479.39</v>
      </c>
      <c r="T34" s="27">
        <f t="shared" si="10"/>
        <v>86340369.37</v>
      </c>
      <c r="U34" s="44">
        <f t="shared" si="11"/>
        <v>85391369.37</v>
      </c>
      <c r="V34" s="100">
        <f t="shared" si="12"/>
        <v>96486562.9</v>
      </c>
      <c r="W34" s="44">
        <f t="shared" si="13"/>
        <v>96486562.9</v>
      </c>
      <c r="X34" s="101">
        <f t="shared" ref="X34:Y34" si="57">R34/V34</f>
        <v>0.6138626105</v>
      </c>
      <c r="Y34" s="102">
        <f t="shared" si="57"/>
        <v>0.607115412</v>
      </c>
      <c r="Z34" s="5"/>
    </row>
    <row r="35" ht="15.75" customHeight="1">
      <c r="A35" s="1"/>
      <c r="B35" s="16"/>
      <c r="C35" s="1"/>
      <c r="D35" s="17"/>
      <c r="E35" s="1"/>
      <c r="F35" s="133" t="s">
        <v>136</v>
      </c>
      <c r="G35" s="134">
        <f>SUM('Inputs Overview'!L49,'Inoculum Overview'!L50,'Biomass Overview'!L50,'Harvesting Overview'!L50,'Drying Overview'!L50)</f>
        <v>28</v>
      </c>
      <c r="H35" s="135">
        <f>SUM('Inputs Overview'!N49,'Inoculum Overview'!N50,'Biomass Overview'!N50,'Harvesting Overview'!N50,'Drying Overview'!N50)</f>
        <v>2044000</v>
      </c>
      <c r="I35" s="1"/>
      <c r="J35" s="17"/>
      <c r="K35" s="3"/>
      <c r="L35" s="3"/>
      <c r="M35" s="3"/>
      <c r="N35" s="3"/>
      <c r="O35" s="3"/>
      <c r="P35" s="12"/>
      <c r="Q35" s="44">
        <f t="shared" si="58"/>
        <v>139000</v>
      </c>
      <c r="R35" s="100">
        <f t="shared" ref="R35:S35" si="59">T35*(1-$C$39)</f>
        <v>70353826.52</v>
      </c>
      <c r="S35" s="44">
        <f t="shared" si="59"/>
        <v>69702812.52</v>
      </c>
      <c r="T35" s="27">
        <f t="shared" si="10"/>
        <v>102556598.4</v>
      </c>
      <c r="U35" s="44">
        <f t="shared" si="11"/>
        <v>101607598.4</v>
      </c>
      <c r="V35" s="100">
        <f t="shared" si="12"/>
        <v>112702792</v>
      </c>
      <c r="W35" s="44">
        <f t="shared" si="13"/>
        <v>112702792</v>
      </c>
      <c r="X35" s="101">
        <f t="shared" ref="X35:Y35" si="60">R35/V35</f>
        <v>0.624242091</v>
      </c>
      <c r="Y35" s="102">
        <f t="shared" si="60"/>
        <v>0.6184657124</v>
      </c>
      <c r="Z35" s="5"/>
    </row>
    <row r="36" ht="15.75" customHeight="1">
      <c r="A36" s="1"/>
      <c r="B36" s="28" t="s">
        <v>137</v>
      </c>
      <c r="C36" s="29" t="s">
        <v>5</v>
      </c>
      <c r="D36" s="30" t="s">
        <v>19</v>
      </c>
      <c r="E36" s="1"/>
      <c r="F36" s="16"/>
      <c r="G36" s="1"/>
      <c r="H36" s="1"/>
      <c r="I36" s="1"/>
      <c r="J36" s="17"/>
      <c r="K36" s="3"/>
      <c r="L36" s="3"/>
      <c r="M36" s="3"/>
      <c r="N36" s="3"/>
      <c r="O36" s="3"/>
      <c r="P36" s="12"/>
      <c r="Q36" s="44">
        <f t="shared" si="58"/>
        <v>159000</v>
      </c>
      <c r="R36" s="100">
        <f t="shared" ref="R36:S36" si="61">T36*(1-$C$39)</f>
        <v>81478159.65</v>
      </c>
      <c r="S36" s="44">
        <f t="shared" si="61"/>
        <v>80827145.65</v>
      </c>
      <c r="T36" s="27">
        <f t="shared" si="10"/>
        <v>118772827.5</v>
      </c>
      <c r="U36" s="44">
        <f t="shared" si="11"/>
        <v>117823827.5</v>
      </c>
      <c r="V36" s="100">
        <f t="shared" si="12"/>
        <v>128919021</v>
      </c>
      <c r="W36" s="44">
        <f t="shared" si="13"/>
        <v>128919021</v>
      </c>
      <c r="X36" s="101">
        <f t="shared" ref="X36:Y36" si="62">R36/V36</f>
        <v>0.6320103815</v>
      </c>
      <c r="Y36" s="102">
        <f t="shared" si="62"/>
        <v>0.6269605913</v>
      </c>
      <c r="Z36" s="5"/>
    </row>
    <row r="37" ht="15.75" customHeight="1">
      <c r="A37" s="1"/>
      <c r="B37" s="106" t="s">
        <v>138</v>
      </c>
      <c r="C37" s="143">
        <v>0.25</v>
      </c>
      <c r="D37" s="37" t="s">
        <v>139</v>
      </c>
      <c r="E37" s="1"/>
      <c r="F37" s="31" t="s">
        <v>140</v>
      </c>
      <c r="J37" s="23"/>
      <c r="K37" s="3"/>
      <c r="L37" s="3"/>
      <c r="M37" s="3"/>
      <c r="N37" s="3"/>
      <c r="O37" s="3"/>
      <c r="P37" s="12"/>
      <c r="Q37" s="44">
        <f t="shared" si="58"/>
        <v>179000</v>
      </c>
      <c r="R37" s="100">
        <f t="shared" ref="R37:S37" si="63">T37*(1-$C$39)</f>
        <v>92602492.79</v>
      </c>
      <c r="S37" s="44">
        <f t="shared" si="63"/>
        <v>91951478.79</v>
      </c>
      <c r="T37" s="27">
        <f t="shared" si="10"/>
        <v>134989056.5</v>
      </c>
      <c r="U37" s="44">
        <f t="shared" si="11"/>
        <v>134040056.5</v>
      </c>
      <c r="V37" s="100">
        <f t="shared" si="12"/>
        <v>145135250.1</v>
      </c>
      <c r="W37" s="44">
        <f t="shared" si="13"/>
        <v>145135250.1</v>
      </c>
      <c r="X37" s="101">
        <f t="shared" ref="X37:Y37" si="64">R37/V37</f>
        <v>0.6380427411</v>
      </c>
      <c r="Y37" s="102">
        <f t="shared" si="64"/>
        <v>0.6335571733</v>
      </c>
      <c r="Z37" s="5"/>
    </row>
    <row r="38" ht="15.75" customHeight="1">
      <c r="A38" s="1"/>
      <c r="B38" s="106" t="s">
        <v>141</v>
      </c>
      <c r="C38" s="143">
        <v>0.064</v>
      </c>
      <c r="D38" s="37" t="s">
        <v>142</v>
      </c>
      <c r="E38" s="1"/>
      <c r="F38" s="144" t="s">
        <v>107</v>
      </c>
      <c r="G38" s="145" t="s">
        <v>143</v>
      </c>
      <c r="I38" s="146" t="s">
        <v>144</v>
      </c>
      <c r="J38" s="23"/>
      <c r="K38" s="3"/>
      <c r="L38" s="3"/>
      <c r="M38" s="3"/>
      <c r="N38" s="3"/>
      <c r="O38" s="3"/>
      <c r="P38" s="12"/>
      <c r="Q38" s="44">
        <f t="shared" si="58"/>
        <v>199000</v>
      </c>
      <c r="R38" s="100">
        <f t="shared" ref="R38:S38" si="65">T38*(1-$C$39)</f>
        <v>103726825.9</v>
      </c>
      <c r="S38" s="44">
        <f t="shared" si="65"/>
        <v>103075811.9</v>
      </c>
      <c r="T38" s="27">
        <f t="shared" si="10"/>
        <v>151205285.6</v>
      </c>
      <c r="U38" s="44">
        <f t="shared" si="11"/>
        <v>150256285.6</v>
      </c>
      <c r="V38" s="100">
        <f t="shared" si="12"/>
        <v>161351479.1</v>
      </c>
      <c r="W38" s="44">
        <f t="shared" si="13"/>
        <v>161351479.1</v>
      </c>
      <c r="X38" s="101">
        <f t="shared" ref="X38:Y38" si="66">R38/V38</f>
        <v>0.6428625661</v>
      </c>
      <c r="Y38" s="102">
        <f t="shared" si="66"/>
        <v>0.6388278092</v>
      </c>
      <c r="Z38" s="5"/>
    </row>
    <row r="39" ht="15.75" customHeight="1">
      <c r="A39" s="1"/>
      <c r="B39" s="147" t="s">
        <v>83</v>
      </c>
      <c r="C39" s="148">
        <f>SUM(C37:C38)</f>
        <v>0.314</v>
      </c>
      <c r="D39" s="149"/>
      <c r="E39" s="1"/>
      <c r="F39" s="82"/>
      <c r="G39" s="150" t="s">
        <v>21</v>
      </c>
      <c r="H39" s="150" t="s">
        <v>22</v>
      </c>
      <c r="I39" s="150" t="s">
        <v>21</v>
      </c>
      <c r="J39" s="151" t="s">
        <v>22</v>
      </c>
      <c r="K39" s="3"/>
      <c r="L39" s="3"/>
      <c r="M39" s="3"/>
      <c r="N39" s="3"/>
      <c r="O39" s="3"/>
      <c r="P39" s="12"/>
      <c r="Q39" s="44">
        <f t="shared" ref="Q39:Q44" si="69">Q38+50000</f>
        <v>249000</v>
      </c>
      <c r="R39" s="100">
        <f t="shared" ref="R39:S39" si="67">T39*(1-$C$39)</f>
        <v>131537658.8</v>
      </c>
      <c r="S39" s="44">
        <f t="shared" si="67"/>
        <v>130886644.8</v>
      </c>
      <c r="T39" s="27">
        <f t="shared" si="10"/>
        <v>191745858.3</v>
      </c>
      <c r="U39" s="44">
        <f t="shared" si="11"/>
        <v>190796858.3</v>
      </c>
      <c r="V39" s="100">
        <f t="shared" si="12"/>
        <v>201892051.8</v>
      </c>
      <c r="W39" s="44">
        <f t="shared" si="13"/>
        <v>201892051.8</v>
      </c>
      <c r="X39" s="101">
        <f t="shared" ref="X39:Y39" si="68">R39/V39</f>
        <v>0.6515247014</v>
      </c>
      <c r="Y39" s="102">
        <f t="shared" si="68"/>
        <v>0.6483001366</v>
      </c>
      <c r="Z39" s="5"/>
    </row>
    <row r="40" ht="15.75" customHeight="1">
      <c r="A40" s="1"/>
      <c r="B40" s="1"/>
      <c r="C40" s="1"/>
      <c r="D40" s="1"/>
      <c r="E40" s="1"/>
      <c r="F40" s="16" t="s">
        <v>113</v>
      </c>
      <c r="G40" s="152">
        <f>'Sections Overview'!D5*M27</f>
        <v>7982976.295</v>
      </c>
      <c r="H40" s="152">
        <f>'Sections Overview'!E5*M27</f>
        <v>12385704.72</v>
      </c>
      <c r="I40" s="152">
        <f>'Sections Overview'!D9*N27</f>
        <v>3914942.966</v>
      </c>
      <c r="J40" s="153">
        <f>'Sections Overview'!E9*N27</f>
        <v>4133942.966</v>
      </c>
      <c r="K40" s="3"/>
      <c r="L40" s="154">
        <f t="shared" ref="L40:L45" si="72">AVERAGE(G40:H40)</f>
        <v>10184340.51</v>
      </c>
      <c r="M40" s="155">
        <f t="shared" ref="M40:M45" si="73">L40/1000000</f>
        <v>10.18434051</v>
      </c>
      <c r="N40" s="154">
        <f t="shared" ref="N40:N45" si="74">AVERAGE(I40:J40)</f>
        <v>4024442.966</v>
      </c>
      <c r="O40" s="155">
        <f t="shared" ref="O40:O45" si="75">N40/1000000</f>
        <v>4.024442966</v>
      </c>
      <c r="P40" s="12"/>
      <c r="Q40" s="44">
        <f t="shared" si="69"/>
        <v>299000</v>
      </c>
      <c r="R40" s="100">
        <f t="shared" ref="R40:S40" si="70">T40*(1-$C$39)</f>
        <v>159348491.6</v>
      </c>
      <c r="S40" s="44">
        <f t="shared" si="70"/>
        <v>158697477.6</v>
      </c>
      <c r="T40" s="27">
        <f t="shared" si="10"/>
        <v>232286430.9</v>
      </c>
      <c r="U40" s="44">
        <f t="shared" si="11"/>
        <v>231337430.9</v>
      </c>
      <c r="V40" s="100">
        <f t="shared" si="12"/>
        <v>242432624.4</v>
      </c>
      <c r="W40" s="44">
        <f t="shared" si="13"/>
        <v>242432624.4</v>
      </c>
      <c r="X40" s="101">
        <f t="shared" ref="X40:Y40" si="71">R40/V40</f>
        <v>0.6572898015</v>
      </c>
      <c r="Y40" s="102">
        <f t="shared" si="71"/>
        <v>0.6546044616</v>
      </c>
      <c r="Z40" s="5"/>
    </row>
    <row r="41" ht="15.75" customHeight="1">
      <c r="A41" s="1"/>
      <c r="B41" s="1"/>
      <c r="C41" s="1"/>
      <c r="D41" s="1"/>
      <c r="E41" s="1"/>
      <c r="F41" s="16" t="s">
        <v>115</v>
      </c>
      <c r="G41" s="152">
        <f>'Sections Overview'!F5*M28</f>
        <v>8922336.574</v>
      </c>
      <c r="H41" s="152">
        <f>'Sections Overview'!G5*M28</f>
        <v>9188356.99</v>
      </c>
      <c r="I41" s="152">
        <f>'Sections Overview'!F9*N28</f>
        <v>3488359.773</v>
      </c>
      <c r="J41" s="153">
        <f>'Sections Overview'!G9*N28</f>
        <v>4072359.773</v>
      </c>
      <c r="K41" s="3"/>
      <c r="L41" s="154">
        <f t="shared" si="72"/>
        <v>9055346.782</v>
      </c>
      <c r="M41" s="155">
        <f t="shared" si="73"/>
        <v>9.055346782</v>
      </c>
      <c r="N41" s="154">
        <f t="shared" si="74"/>
        <v>3780359.773</v>
      </c>
      <c r="O41" s="155">
        <f t="shared" si="75"/>
        <v>3.780359773</v>
      </c>
      <c r="P41" s="12"/>
      <c r="Q41" s="44">
        <f t="shared" si="69"/>
        <v>349000</v>
      </c>
      <c r="R41" s="100">
        <f t="shared" ref="R41:S41" si="76">T41*(1-$C$39)</f>
        <v>187159324.4</v>
      </c>
      <c r="S41" s="44">
        <f t="shared" si="76"/>
        <v>186508310.4</v>
      </c>
      <c r="T41" s="27">
        <f t="shared" si="10"/>
        <v>272827003.5</v>
      </c>
      <c r="U41" s="44">
        <f t="shared" si="11"/>
        <v>271878003.5</v>
      </c>
      <c r="V41" s="100">
        <f t="shared" si="12"/>
        <v>282973197.1</v>
      </c>
      <c r="W41" s="44">
        <f t="shared" si="13"/>
        <v>282973197.1</v>
      </c>
      <c r="X41" s="101">
        <f t="shared" ref="X41:Y41" si="77">R41/V41</f>
        <v>0.6614030105</v>
      </c>
      <c r="Y41" s="102">
        <f t="shared" si="77"/>
        <v>0.6591023898</v>
      </c>
      <c r="Z41" s="5"/>
    </row>
    <row r="42" ht="15.75" customHeight="1">
      <c r="A42" s="1"/>
      <c r="B42" s="1"/>
      <c r="C42" s="1"/>
      <c r="D42" s="1"/>
      <c r="E42" s="1"/>
      <c r="F42" s="16" t="s">
        <v>118</v>
      </c>
      <c r="G42" s="152">
        <f>'Sections Overview'!H5*M29</f>
        <v>632835.1619</v>
      </c>
      <c r="H42" s="152">
        <f>'Sections Overview'!I5*M29</f>
        <v>634285.3724</v>
      </c>
      <c r="I42" s="152">
        <f>'Sections Overview'!H9*N29</f>
        <v>907762.8445</v>
      </c>
      <c r="J42" s="153">
        <f>'Sections Overview'!I9*N29</f>
        <v>980762.8445</v>
      </c>
      <c r="K42" s="3"/>
      <c r="L42" s="154">
        <f t="shared" si="72"/>
        <v>633560.2671</v>
      </c>
      <c r="M42" s="155">
        <f t="shared" si="73"/>
        <v>0.6335602671</v>
      </c>
      <c r="N42" s="154">
        <f t="shared" si="74"/>
        <v>944262.8445</v>
      </c>
      <c r="O42" s="155">
        <f t="shared" si="75"/>
        <v>0.9442628445</v>
      </c>
      <c r="P42" s="12"/>
      <c r="Q42" s="44">
        <f t="shared" si="69"/>
        <v>399000</v>
      </c>
      <c r="R42" s="100">
        <f t="shared" ref="R42:S42" si="78">T42*(1-$C$39)</f>
        <v>214970157.3</v>
      </c>
      <c r="S42" s="44">
        <f t="shared" si="78"/>
        <v>214319143.3</v>
      </c>
      <c r="T42" s="27">
        <f t="shared" si="10"/>
        <v>313367576.2</v>
      </c>
      <c r="U42" s="44">
        <f t="shared" si="11"/>
        <v>312418576.2</v>
      </c>
      <c r="V42" s="100">
        <f t="shared" si="12"/>
        <v>323513769.7</v>
      </c>
      <c r="W42" s="44">
        <f t="shared" si="13"/>
        <v>323513769.7</v>
      </c>
      <c r="X42" s="101">
        <f t="shared" ref="X42:Y42" si="79">R42/V42</f>
        <v>0.66448534</v>
      </c>
      <c r="Y42" s="102">
        <f t="shared" si="79"/>
        <v>0.6624730176</v>
      </c>
      <c r="Z42" s="5"/>
    </row>
    <row r="43" ht="15.75" customHeight="1">
      <c r="A43" s="1"/>
      <c r="B43" s="1"/>
      <c r="C43" s="1"/>
      <c r="D43" s="1"/>
      <c r="E43" s="1"/>
      <c r="F43" s="16" t="s">
        <v>122</v>
      </c>
      <c r="G43" s="152">
        <f>'Sections Overview'!J5*M30*M33</f>
        <v>1919592.769</v>
      </c>
      <c r="H43" s="152">
        <f>'Sections Overview'!K5*M30*M33</f>
        <v>2284559.61</v>
      </c>
      <c r="I43" s="152">
        <f>'Sections Overview'!J9*N30*N33</f>
        <v>850191.4238</v>
      </c>
      <c r="J43" s="153">
        <f>'Sections Overview'!K9*N30*N33</f>
        <v>850191.4238</v>
      </c>
      <c r="K43" s="3"/>
      <c r="L43" s="154">
        <f t="shared" si="72"/>
        <v>2102076.19</v>
      </c>
      <c r="M43" s="155">
        <f t="shared" si="73"/>
        <v>2.10207619</v>
      </c>
      <c r="N43" s="154">
        <f t="shared" si="74"/>
        <v>850191.4238</v>
      </c>
      <c r="O43" s="155">
        <f t="shared" si="75"/>
        <v>0.8501914238</v>
      </c>
      <c r="P43" s="12"/>
      <c r="Q43" s="44">
        <f t="shared" si="69"/>
        <v>449000</v>
      </c>
      <c r="R43" s="100">
        <f t="shared" ref="R43:S43" si="80">T43*(1-$C$39)</f>
        <v>242780990.1</v>
      </c>
      <c r="S43" s="44">
        <f t="shared" si="80"/>
        <v>242129976.1</v>
      </c>
      <c r="T43" s="27">
        <f t="shared" si="10"/>
        <v>353908148.8</v>
      </c>
      <c r="U43" s="44">
        <f t="shared" si="11"/>
        <v>352959148.8</v>
      </c>
      <c r="V43" s="100">
        <f t="shared" si="12"/>
        <v>364054342.4</v>
      </c>
      <c r="W43" s="44">
        <f t="shared" si="13"/>
        <v>364054342.4</v>
      </c>
      <c r="X43" s="101">
        <f t="shared" ref="X43:Y43" si="81">R43/V43</f>
        <v>0.6668811819</v>
      </c>
      <c r="Y43" s="102">
        <f t="shared" si="81"/>
        <v>0.6650929488</v>
      </c>
      <c r="Z43" s="5"/>
    </row>
    <row r="44" ht="15.75" customHeight="1">
      <c r="A44" s="1"/>
      <c r="B44" s="1"/>
      <c r="C44" s="1"/>
      <c r="D44" s="1"/>
      <c r="E44" s="1"/>
      <c r="F44" s="16" t="s">
        <v>126</v>
      </c>
      <c r="G44" s="152">
        <f>'Sections Overview'!L5*M31*M33</f>
        <v>1515920.586</v>
      </c>
      <c r="H44" s="152">
        <f>'Sections Overview'!M5*M31*M33</f>
        <v>1732219.838</v>
      </c>
      <c r="I44" s="152">
        <f>'Sections Overview'!L9*N31*N33</f>
        <v>741693.0928</v>
      </c>
      <c r="J44" s="153">
        <f>'Sections Overview'!M9*N31/N33</f>
        <v>814693.0928</v>
      </c>
      <c r="K44" s="3"/>
      <c r="L44" s="154">
        <f t="shared" si="72"/>
        <v>1624070.212</v>
      </c>
      <c r="M44" s="155">
        <f t="shared" si="73"/>
        <v>1.624070212</v>
      </c>
      <c r="N44" s="154">
        <f t="shared" si="74"/>
        <v>778193.0928</v>
      </c>
      <c r="O44" s="155">
        <f t="shared" si="75"/>
        <v>0.7781930928</v>
      </c>
      <c r="P44" s="12"/>
      <c r="Q44" s="40">
        <f t="shared" si="69"/>
        <v>499000</v>
      </c>
      <c r="R44" s="123">
        <f t="shared" ref="R44:S44" si="82">T44*(1-$C$39)</f>
        <v>270591822.9</v>
      </c>
      <c r="S44" s="40">
        <f t="shared" si="82"/>
        <v>269940808.9</v>
      </c>
      <c r="T44" s="39">
        <f t="shared" si="10"/>
        <v>394448721.5</v>
      </c>
      <c r="U44" s="40">
        <f t="shared" si="11"/>
        <v>393499721.5</v>
      </c>
      <c r="V44" s="123">
        <f t="shared" si="12"/>
        <v>404594915</v>
      </c>
      <c r="W44" s="40">
        <f t="shared" si="13"/>
        <v>404594915</v>
      </c>
      <c r="X44" s="77">
        <f t="shared" ref="X44:Y44" si="83">R44/V44</f>
        <v>0.6687968951</v>
      </c>
      <c r="Y44" s="156">
        <f t="shared" si="83"/>
        <v>0.6671878437</v>
      </c>
      <c r="Z44" s="5"/>
    </row>
    <row r="45" ht="15.75" customHeight="1">
      <c r="A45" s="1"/>
      <c r="B45" s="1"/>
      <c r="C45" s="1"/>
      <c r="D45" s="1"/>
      <c r="E45" s="1"/>
      <c r="F45" s="157" t="s">
        <v>129</v>
      </c>
      <c r="G45" s="158">
        <f>sum(G40:G44)*M32</f>
        <v>20973661.39</v>
      </c>
      <c r="H45" s="158">
        <f t="shared" ref="H45:I45" si="84">sum(H40:H44)*M32</f>
        <v>26225126.53</v>
      </c>
      <c r="I45" s="158">
        <f t="shared" si="84"/>
        <v>9902950.1</v>
      </c>
      <c r="J45" s="159">
        <f>sum(J40:J44)*N32</f>
        <v>10851950.1</v>
      </c>
      <c r="K45" s="3"/>
      <c r="L45" s="154">
        <f t="shared" si="72"/>
        <v>23599393.96</v>
      </c>
      <c r="M45" s="155">
        <f t="shared" si="73"/>
        <v>23.59939396</v>
      </c>
      <c r="N45" s="154">
        <f t="shared" si="74"/>
        <v>10377450.1</v>
      </c>
      <c r="O45" s="155">
        <f t="shared" si="75"/>
        <v>10.3774501</v>
      </c>
      <c r="P45" s="3"/>
      <c r="Z45" s="5"/>
    </row>
    <row r="46" ht="15.75" customHeight="1">
      <c r="A46" s="1"/>
      <c r="B46" s="1"/>
      <c r="C46" s="1"/>
      <c r="D46" s="1"/>
      <c r="E46" s="1"/>
      <c r="F46" s="16"/>
      <c r="G46" s="1"/>
      <c r="H46" s="1"/>
      <c r="I46" s="1"/>
      <c r="J46" s="17"/>
      <c r="K46" s="3"/>
      <c r="L46" s="160"/>
      <c r="M46" s="3"/>
      <c r="N46" s="3"/>
      <c r="O46" s="3"/>
      <c r="P46" s="3"/>
      <c r="Z46" s="5"/>
    </row>
    <row r="47" ht="15.75" customHeight="1">
      <c r="A47" s="1"/>
      <c r="B47" s="1"/>
      <c r="C47" s="1"/>
      <c r="D47" s="1"/>
      <c r="E47" s="1"/>
      <c r="F47" s="161" t="s">
        <v>145</v>
      </c>
      <c r="G47" s="162"/>
      <c r="H47" s="162"/>
      <c r="I47" s="162"/>
      <c r="J47" s="163"/>
      <c r="K47" s="3"/>
      <c r="L47" s="3"/>
      <c r="M47" s="3"/>
      <c r="N47" s="3"/>
      <c r="O47" s="3"/>
      <c r="P47" s="3"/>
      <c r="Z47" s="5"/>
    </row>
    <row r="48" ht="15.75" customHeight="1">
      <c r="A48" s="1"/>
      <c r="B48" s="1"/>
      <c r="C48" s="1"/>
      <c r="D48" s="1"/>
      <c r="E48" s="1"/>
      <c r="F48" s="164" t="s">
        <v>146</v>
      </c>
      <c r="G48" s="165" t="s">
        <v>147</v>
      </c>
      <c r="I48" s="166" t="s">
        <v>148</v>
      </c>
      <c r="J48" s="23"/>
      <c r="K48" s="3"/>
      <c r="L48" s="3"/>
      <c r="M48" s="3"/>
      <c r="N48" s="3"/>
      <c r="O48" s="3"/>
      <c r="P48" s="3"/>
      <c r="Z48" s="5"/>
    </row>
    <row r="49" ht="15.75" customHeight="1">
      <c r="A49" s="1"/>
      <c r="B49" s="167" t="s">
        <v>149</v>
      </c>
      <c r="C49" s="168">
        <v>0.70827</v>
      </c>
      <c r="D49" s="1"/>
      <c r="E49" s="1"/>
      <c r="F49" s="82"/>
      <c r="G49" s="169" t="s">
        <v>21</v>
      </c>
      <c r="H49" s="169" t="s">
        <v>22</v>
      </c>
      <c r="I49" s="169" t="s">
        <v>21</v>
      </c>
      <c r="J49" s="170" t="s">
        <v>22</v>
      </c>
      <c r="K49" s="3"/>
      <c r="L49" s="3"/>
      <c r="M49" s="3"/>
      <c r="N49" s="3"/>
      <c r="O49" s="3"/>
      <c r="P49" s="3"/>
      <c r="Z49" s="5"/>
    </row>
    <row r="50" ht="15.75" customHeight="1">
      <c r="A50" s="1"/>
      <c r="B50" s="1"/>
      <c r="C50" s="1"/>
      <c r="D50" s="1"/>
      <c r="E50" s="1"/>
      <c r="F50" s="171">
        <f>Q5/G5</f>
        <v>12440.10137</v>
      </c>
      <c r="G50" s="60">
        <f t="shared" ref="G50:H50" si="85">G45/($G5*$C$12)</f>
        <v>862.2498408</v>
      </c>
      <c r="H50" s="60">
        <f t="shared" si="85"/>
        <v>1078.143237</v>
      </c>
      <c r="I50" s="60">
        <f t="shared" ref="I50:J50" si="86">I45/$G5</f>
        <v>12213.62878</v>
      </c>
      <c r="J50" s="61">
        <f t="shared" si="86"/>
        <v>13384.06119</v>
      </c>
      <c r="K50" s="3"/>
      <c r="L50" s="3"/>
      <c r="M50" s="3"/>
      <c r="N50" s="3"/>
      <c r="O50" s="3"/>
      <c r="P50" s="3"/>
      <c r="Z50" s="5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3"/>
      <c r="M51" s="3"/>
      <c r="N51" s="3"/>
      <c r="O51" s="3"/>
      <c r="P51" s="3"/>
      <c r="Z51" s="5"/>
    </row>
    <row r="52" ht="15.75" customHeight="1">
      <c r="A52" s="1"/>
      <c r="B52" s="1"/>
      <c r="C52" s="1"/>
      <c r="D52" s="1"/>
      <c r="E52" s="1"/>
      <c r="F52" s="172"/>
      <c r="G52" s="172"/>
      <c r="H52" s="172"/>
      <c r="I52" s="172"/>
      <c r="J52" s="172"/>
      <c r="K52" s="3"/>
      <c r="L52" s="3"/>
      <c r="M52" s="3"/>
      <c r="N52" s="3"/>
      <c r="O52" s="3"/>
      <c r="P52" s="3"/>
      <c r="Z52" s="5"/>
    </row>
    <row r="53" ht="15.75" customHeight="1">
      <c r="A53" s="1"/>
      <c r="B53" s="1"/>
      <c r="C53" s="1"/>
      <c r="D53" s="1"/>
      <c r="E53" s="1"/>
      <c r="F53" s="173" t="s">
        <v>150</v>
      </c>
      <c r="J53" s="23"/>
      <c r="K53" s="3"/>
      <c r="L53" s="3"/>
      <c r="M53" s="3"/>
      <c r="N53" s="3"/>
      <c r="O53" s="3"/>
      <c r="P53" s="3"/>
      <c r="Z53" s="5"/>
    </row>
    <row r="54" ht="15.75" customHeight="1">
      <c r="A54" s="1"/>
      <c r="B54" s="1"/>
      <c r="C54" s="1"/>
      <c r="D54" s="1"/>
      <c r="E54" s="1"/>
      <c r="F54" s="174" t="s">
        <v>107</v>
      </c>
      <c r="G54" s="175" t="s">
        <v>151</v>
      </c>
      <c r="I54" s="176" t="s">
        <v>152</v>
      </c>
      <c r="J54" s="23"/>
      <c r="K54" s="3"/>
      <c r="L54" s="3"/>
      <c r="M54" s="3"/>
      <c r="N54" s="3"/>
      <c r="O54" s="3"/>
      <c r="P54" s="3"/>
      <c r="Z54" s="5"/>
    </row>
    <row r="55" ht="15.75" customHeight="1">
      <c r="A55" s="1"/>
      <c r="B55" s="1"/>
      <c r="C55" s="1"/>
      <c r="D55" s="1"/>
      <c r="E55" s="1"/>
      <c r="F55" s="82"/>
      <c r="G55" s="177" t="s">
        <v>21</v>
      </c>
      <c r="H55" s="177" t="s">
        <v>22</v>
      </c>
      <c r="I55" s="177" t="s">
        <v>21</v>
      </c>
      <c r="J55" s="178" t="s">
        <v>22</v>
      </c>
      <c r="K55" s="3"/>
      <c r="L55" s="3"/>
      <c r="M55" s="3"/>
      <c r="N55" s="3"/>
      <c r="O55" s="3"/>
      <c r="P55" s="3"/>
      <c r="Z55" s="5"/>
    </row>
    <row r="56" ht="15.75" customHeight="1">
      <c r="A56" s="1"/>
      <c r="B56" s="1"/>
      <c r="C56" s="1"/>
      <c r="D56" s="1"/>
      <c r="E56" s="1"/>
      <c r="F56" s="91" t="s">
        <v>113</v>
      </c>
      <c r="G56" s="27">
        <f t="shared" ref="G56:H56" si="87">G40/($G$5*$C$12)</f>
        <v>328.1887655</v>
      </c>
      <c r="H56" s="27">
        <f t="shared" si="87"/>
        <v>509.1896796</v>
      </c>
      <c r="I56" s="27">
        <f t="shared" ref="I56:J56" si="88">I40/$G$5</f>
        <v>4828.425834</v>
      </c>
      <c r="J56" s="44">
        <f t="shared" si="88"/>
        <v>5098.52562</v>
      </c>
      <c r="K56" s="3"/>
      <c r="L56" s="3"/>
      <c r="M56" s="3"/>
      <c r="N56" s="3"/>
      <c r="O56" s="3"/>
      <c r="P56" s="3"/>
      <c r="Z56" s="5"/>
    </row>
    <row r="57" ht="15.75" customHeight="1">
      <c r="A57" s="1"/>
      <c r="B57" s="1"/>
      <c r="C57" s="1"/>
      <c r="D57" s="1"/>
      <c r="E57" s="1"/>
      <c r="F57" s="91" t="s">
        <v>115</v>
      </c>
      <c r="G57" s="27">
        <f t="shared" ref="G57:H57" si="89">G41/($G$5*$C$12)</f>
        <v>366.8068798</v>
      </c>
      <c r="H57" s="27">
        <f t="shared" si="89"/>
        <v>377.743266</v>
      </c>
      <c r="I57" s="27">
        <f t="shared" ref="I57:J57" si="90">I41/$G$5</f>
        <v>4302.306979</v>
      </c>
      <c r="J57" s="44">
        <f t="shared" si="90"/>
        <v>5022.573075</v>
      </c>
      <c r="K57" s="3"/>
      <c r="L57" s="3"/>
      <c r="M57" s="3"/>
      <c r="N57" s="3"/>
      <c r="O57" s="3"/>
      <c r="P57" s="3"/>
      <c r="Z57" s="5"/>
    </row>
    <row r="58" ht="15.75" customHeight="1">
      <c r="A58" s="1"/>
      <c r="B58" s="1"/>
      <c r="C58" s="2"/>
      <c r="D58" s="1"/>
      <c r="E58" s="1"/>
      <c r="F58" s="91" t="s">
        <v>118</v>
      </c>
      <c r="G58" s="27">
        <f t="shared" ref="G58:H58" si="91">G42/($G$5*$C$12)</f>
        <v>26.01653605</v>
      </c>
      <c r="H58" s="27">
        <f t="shared" si="91"/>
        <v>26.07615577</v>
      </c>
      <c r="I58" s="27">
        <f t="shared" ref="I58:J58" si="92">I42/$G$5</f>
        <v>1119.573288</v>
      </c>
      <c r="J58" s="44">
        <f t="shared" si="92"/>
        <v>1209.60655</v>
      </c>
      <c r="K58" s="3"/>
      <c r="L58" s="3"/>
      <c r="M58" s="3"/>
      <c r="N58" s="3"/>
      <c r="O58" s="3"/>
      <c r="P58" s="3"/>
      <c r="Z58" s="5"/>
    </row>
    <row r="59" ht="15.75" customHeight="1">
      <c r="A59" s="1"/>
      <c r="B59" s="1"/>
      <c r="C59" s="2"/>
      <c r="D59" s="1"/>
      <c r="E59" s="1"/>
      <c r="F59" s="91" t="s">
        <v>122</v>
      </c>
      <c r="G59" s="27">
        <f t="shared" ref="G59:H59" si="93">G43/($G$5*$C$12)</f>
        <v>78.91652913</v>
      </c>
      <c r="H59" s="27">
        <f t="shared" si="93"/>
        <v>93.92070958</v>
      </c>
      <c r="I59" s="27">
        <f t="shared" ref="I59:J59" si="94">I43/$G$5</f>
        <v>1048.568592</v>
      </c>
      <c r="J59" s="44">
        <f t="shared" si="94"/>
        <v>1048.568592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5"/>
    </row>
    <row r="60" ht="15.75" customHeight="1">
      <c r="A60" s="1"/>
      <c r="B60" s="1"/>
      <c r="C60" s="2"/>
      <c r="D60" s="1"/>
      <c r="E60" s="1"/>
      <c r="F60" s="91" t="s">
        <v>126</v>
      </c>
      <c r="G60" s="27">
        <f t="shared" ref="G60:H60" si="95">G44/($G$5*$C$12)</f>
        <v>62.3211303</v>
      </c>
      <c r="H60" s="27">
        <f t="shared" si="95"/>
        <v>71.21342581</v>
      </c>
      <c r="I60" s="27">
        <f t="shared" ref="I60:J60" si="96">I44/$G$5</f>
        <v>914.75409</v>
      </c>
      <c r="J60" s="44">
        <f t="shared" si="96"/>
        <v>1004.787352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5"/>
    </row>
    <row r="61" ht="15.75" customHeight="1">
      <c r="A61" s="1"/>
      <c r="B61" s="1"/>
      <c r="C61" s="2"/>
      <c r="D61" s="1"/>
      <c r="E61" s="1"/>
      <c r="F61" s="179" t="s">
        <v>129</v>
      </c>
      <c r="G61" s="180">
        <f t="shared" ref="G61:J61" si="97">SUM(G56:G60)</f>
        <v>862.2498408</v>
      </c>
      <c r="H61" s="180">
        <f t="shared" si="97"/>
        <v>1078.143237</v>
      </c>
      <c r="I61" s="180">
        <f t="shared" si="97"/>
        <v>12213.62878</v>
      </c>
      <c r="J61" s="181">
        <f t="shared" si="97"/>
        <v>13384.06119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5"/>
    </row>
    <row r="62" ht="15.75" customHeight="1">
      <c r="A62" s="1"/>
      <c r="B62" s="1"/>
      <c r="C62" s="2"/>
      <c r="D62" s="1"/>
      <c r="E62" s="1"/>
      <c r="F62" s="91"/>
      <c r="G62" s="3"/>
      <c r="H62" s="3"/>
      <c r="I62" s="3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5"/>
    </row>
    <row r="63" ht="15.75" customHeight="1">
      <c r="A63" s="1"/>
      <c r="B63" s="1"/>
      <c r="C63" s="1"/>
      <c r="D63" s="1"/>
      <c r="E63" s="1"/>
      <c r="F63" s="173" t="s">
        <v>153</v>
      </c>
      <c r="J63" s="2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5"/>
    </row>
    <row r="64" ht="15.75" customHeight="1">
      <c r="A64" s="1"/>
      <c r="B64" s="1"/>
      <c r="C64" s="1"/>
      <c r="D64" s="1"/>
      <c r="E64" s="1"/>
      <c r="F64" s="174" t="s">
        <v>107</v>
      </c>
      <c r="G64" s="175" t="s">
        <v>151</v>
      </c>
      <c r="I64" s="176" t="s">
        <v>152</v>
      </c>
      <c r="J64" s="2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5"/>
    </row>
    <row r="65" ht="15.75" customHeight="1">
      <c r="A65" s="1"/>
      <c r="B65" s="1"/>
      <c r="C65" s="2"/>
      <c r="D65" s="1"/>
      <c r="E65" s="1"/>
      <c r="F65" s="82"/>
      <c r="G65" s="177" t="s">
        <v>21</v>
      </c>
      <c r="H65" s="177" t="s">
        <v>22</v>
      </c>
      <c r="I65" s="177" t="s">
        <v>21</v>
      </c>
      <c r="J65" s="178" t="s">
        <v>22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5"/>
    </row>
    <row r="66" ht="15.75" customHeight="1">
      <c r="A66" s="1"/>
      <c r="B66" s="1"/>
      <c r="C66" s="2"/>
      <c r="D66" s="1"/>
      <c r="E66" s="1"/>
      <c r="F66" s="91" t="s">
        <v>113</v>
      </c>
      <c r="G66" s="101">
        <f t="shared" ref="G66:G70" si="98">G56/$Q$9</f>
        <v>0.01137178284</v>
      </c>
      <c r="H66" s="101">
        <f t="shared" ref="H66:H70" si="99">H56/$R$9</f>
        <v>0.01695583319</v>
      </c>
      <c r="I66" s="182">
        <f t="shared" ref="I66:I70" si="100">I56/$Q$9</f>
        <v>0.1673055747</v>
      </c>
      <c r="J66" s="102">
        <f t="shared" ref="J66:J70" si="101">J56/$R$9</f>
        <v>0.1697790693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5"/>
    </row>
    <row r="67" ht="15.75" customHeight="1">
      <c r="A67" s="1"/>
      <c r="B67" s="1"/>
      <c r="C67" s="2"/>
      <c r="D67" s="1"/>
      <c r="E67" s="1"/>
      <c r="F67" s="91" t="s">
        <v>115</v>
      </c>
      <c r="G67" s="101">
        <f t="shared" si="98"/>
        <v>0.01270990545</v>
      </c>
      <c r="H67" s="101">
        <f t="shared" si="99"/>
        <v>0.01257871489</v>
      </c>
      <c r="I67" s="182">
        <f t="shared" si="100"/>
        <v>0.1490754889</v>
      </c>
      <c r="J67" s="102">
        <f t="shared" si="101"/>
        <v>0.1672498769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5"/>
    </row>
    <row r="68" ht="15.75" customHeight="1">
      <c r="A68" s="1"/>
      <c r="B68" s="1"/>
      <c r="C68" s="2"/>
      <c r="D68" s="1"/>
      <c r="E68" s="1"/>
      <c r="F68" s="91" t="s">
        <v>118</v>
      </c>
      <c r="G68" s="101">
        <f t="shared" si="98"/>
        <v>0.0009014763126</v>
      </c>
      <c r="H68" s="101">
        <f t="shared" si="99"/>
        <v>0.0008683266083</v>
      </c>
      <c r="I68" s="182">
        <f t="shared" si="100"/>
        <v>0.0387933581</v>
      </c>
      <c r="J68" s="102">
        <f t="shared" si="101"/>
        <v>0.04027946306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5"/>
    </row>
    <row r="69" ht="15.75" customHeight="1">
      <c r="A69" s="1"/>
      <c r="B69" s="1"/>
      <c r="C69" s="2"/>
      <c r="D69" s="1"/>
      <c r="E69" s="1"/>
      <c r="F69" s="91" t="s">
        <v>122</v>
      </c>
      <c r="G69" s="101">
        <f t="shared" si="98"/>
        <v>0.002734467861</v>
      </c>
      <c r="H69" s="101">
        <f t="shared" si="99"/>
        <v>0.003127525848</v>
      </c>
      <c r="I69" s="182">
        <f t="shared" si="100"/>
        <v>0.03633303627</v>
      </c>
      <c r="J69" s="102">
        <f t="shared" si="101"/>
        <v>0.03491695698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5"/>
    </row>
    <row r="70" ht="15.75" customHeight="1">
      <c r="A70" s="1"/>
      <c r="B70" s="1"/>
      <c r="C70" s="2"/>
      <c r="D70" s="1"/>
      <c r="E70" s="1"/>
      <c r="F70" s="91" t="s">
        <v>126</v>
      </c>
      <c r="G70" s="101">
        <f t="shared" si="98"/>
        <v>0.002159435162</v>
      </c>
      <c r="H70" s="101">
        <f t="shared" si="99"/>
        <v>0.002371381466</v>
      </c>
      <c r="I70" s="182">
        <f t="shared" si="100"/>
        <v>0.0316963466</v>
      </c>
      <c r="J70" s="102">
        <f t="shared" si="101"/>
        <v>0.03345905743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5"/>
    </row>
    <row r="71" ht="15.75" customHeight="1">
      <c r="A71" s="1"/>
      <c r="B71" s="1"/>
      <c r="C71" s="2"/>
      <c r="D71" s="1"/>
      <c r="E71" s="1"/>
      <c r="F71" s="179" t="s">
        <v>129</v>
      </c>
      <c r="G71" s="183">
        <f t="shared" ref="G71:J71" si="102">SUM(G66:G70)</f>
        <v>0.02987706763</v>
      </c>
      <c r="H71" s="183">
        <f t="shared" si="102"/>
        <v>0.035901782</v>
      </c>
      <c r="I71" s="183">
        <f t="shared" si="102"/>
        <v>0.4232038046</v>
      </c>
      <c r="J71" s="184">
        <f t="shared" si="102"/>
        <v>0.4456844237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5"/>
    </row>
    <row r="72" ht="15.75" customHeight="1">
      <c r="A72" s="1"/>
      <c r="B72" s="1"/>
      <c r="C72" s="2"/>
      <c r="D72" s="1"/>
      <c r="E72" s="1"/>
      <c r="F72" s="91"/>
      <c r="G72" s="3"/>
      <c r="H72" s="3"/>
      <c r="I72" s="3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5"/>
    </row>
    <row r="73" ht="15.75" customHeight="1">
      <c r="A73" s="1"/>
      <c r="B73" s="1"/>
      <c r="C73" s="2"/>
      <c r="D73" s="1"/>
      <c r="E73" s="1"/>
      <c r="F73" s="173" t="s">
        <v>150</v>
      </c>
      <c r="J73" s="2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5"/>
    </row>
    <row r="74" ht="15.75" customHeight="1">
      <c r="A74" s="1"/>
      <c r="B74" s="1"/>
      <c r="C74" s="2"/>
      <c r="D74" s="1"/>
      <c r="E74" s="1"/>
      <c r="F74" s="174" t="s">
        <v>154</v>
      </c>
      <c r="G74" s="185" t="s">
        <v>21</v>
      </c>
      <c r="I74" s="185" t="s">
        <v>22</v>
      </c>
      <c r="J74" s="2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5"/>
    </row>
    <row r="75" ht="15.75" customHeight="1">
      <c r="A75" s="1"/>
      <c r="B75" s="1"/>
      <c r="C75" s="2"/>
      <c r="D75" s="1"/>
      <c r="E75" s="1"/>
      <c r="F75" s="179" t="s">
        <v>155</v>
      </c>
      <c r="G75" s="180">
        <f>SUM(G76:H78)</f>
        <v>13375.87862</v>
      </c>
      <c r="I75" s="180">
        <f>SUM(I76:J78)</f>
        <v>14762.20443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5"/>
    </row>
    <row r="76" ht="15.75" customHeight="1">
      <c r="A76" s="1"/>
      <c r="B76" s="1"/>
      <c r="C76" s="2"/>
      <c r="D76" s="1"/>
      <c r="E76" s="1"/>
      <c r="F76" s="91" t="s">
        <v>156</v>
      </c>
      <c r="G76" s="27">
        <f>G61</f>
        <v>862.2498408</v>
      </c>
      <c r="I76" s="27">
        <f>H61</f>
        <v>1078.143237</v>
      </c>
      <c r="J76" s="2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5"/>
    </row>
    <row r="77" ht="15.75" customHeight="1">
      <c r="A77" s="1"/>
      <c r="B77" s="1"/>
      <c r="C77" s="2"/>
      <c r="D77" s="1"/>
      <c r="E77" s="1"/>
      <c r="F77" s="91" t="s">
        <v>157</v>
      </c>
      <c r="G77" s="27">
        <f>I61</f>
        <v>12213.62878</v>
      </c>
      <c r="I77" s="27">
        <f>J61</f>
        <v>13384.06119</v>
      </c>
      <c r="J77" s="2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5"/>
    </row>
    <row r="78" ht="15.75" customHeight="1">
      <c r="A78" s="1"/>
      <c r="B78" s="1"/>
      <c r="C78" s="2"/>
      <c r="D78" s="1"/>
      <c r="E78" s="1"/>
      <c r="F78" s="91" t="s">
        <v>158</v>
      </c>
      <c r="G78" s="27">
        <f>N19/G5</f>
        <v>300</v>
      </c>
      <c r="I78" s="27">
        <f>O19/G5</f>
        <v>300</v>
      </c>
      <c r="J78" s="2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5"/>
    </row>
    <row r="79" ht="15.75" customHeight="1">
      <c r="A79" s="1"/>
      <c r="B79" s="1"/>
      <c r="C79" s="2"/>
      <c r="D79" s="1"/>
      <c r="E79" s="1"/>
      <c r="F79" s="179" t="s">
        <v>159</v>
      </c>
      <c r="G79" s="180" t="str">
        <f>O8/O3/G5</f>
        <v>#DIV/0!</v>
      </c>
      <c r="I79" s="180">
        <f>O7/G5</f>
        <v>0</v>
      </c>
      <c r="J79" s="2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5"/>
    </row>
    <row r="80" ht="15.75" customHeight="1">
      <c r="A80" s="1"/>
      <c r="B80" s="1"/>
      <c r="C80" s="2"/>
      <c r="D80" s="1"/>
      <c r="E80" s="1"/>
      <c r="F80" s="91"/>
      <c r="G80" s="3"/>
      <c r="H80" s="3"/>
      <c r="I80" s="3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5"/>
    </row>
    <row r="81" ht="15.75" customHeight="1">
      <c r="A81" s="1"/>
      <c r="B81" s="1"/>
      <c r="C81" s="2"/>
      <c r="D81" s="1"/>
      <c r="E81" s="1"/>
      <c r="F81" s="173" t="s">
        <v>153</v>
      </c>
      <c r="J81" s="2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5"/>
    </row>
    <row r="82" ht="15.75" customHeight="1">
      <c r="A82" s="1"/>
      <c r="B82" s="1"/>
      <c r="C82" s="2"/>
      <c r="D82" s="1"/>
      <c r="E82" s="1"/>
      <c r="F82" s="174" t="s">
        <v>154</v>
      </c>
      <c r="G82" s="185" t="s">
        <v>21</v>
      </c>
      <c r="I82" s="185" t="s">
        <v>22</v>
      </c>
      <c r="J82" s="2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5"/>
    </row>
    <row r="83" ht="15.75" customHeight="1">
      <c r="A83" s="1"/>
      <c r="B83" s="1"/>
      <c r="C83" s="2"/>
      <c r="D83" s="1"/>
      <c r="E83" s="1"/>
      <c r="F83" s="179" t="s">
        <v>155</v>
      </c>
      <c r="G83" s="183">
        <f t="shared" ref="G83:G87" si="103">G75/$Q$9</f>
        <v>0.4634759107</v>
      </c>
      <c r="I83" s="183">
        <f t="shared" ref="I83:I87" si="104">I75/$R$9</f>
        <v>0.4915760978</v>
      </c>
      <c r="J83" s="2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5"/>
    </row>
    <row r="84" ht="15.75" customHeight="1">
      <c r="A84" s="1"/>
      <c r="B84" s="1"/>
      <c r="C84" s="2"/>
      <c r="D84" s="1"/>
      <c r="E84" s="1"/>
      <c r="F84" s="91" t="s">
        <v>156</v>
      </c>
      <c r="G84" s="101">
        <f t="shared" si="103"/>
        <v>0.02987706763</v>
      </c>
      <c r="I84" s="101">
        <f t="shared" si="104"/>
        <v>0.035901782</v>
      </c>
      <c r="J84" s="2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5"/>
    </row>
    <row r="85" ht="15.75" customHeight="1">
      <c r="A85" s="1"/>
      <c r="B85" s="1"/>
      <c r="C85" s="2"/>
      <c r="D85" s="1"/>
      <c r="E85" s="1"/>
      <c r="F85" s="91" t="s">
        <v>157</v>
      </c>
      <c r="G85" s="101">
        <f t="shared" si="103"/>
        <v>0.4232038046</v>
      </c>
      <c r="I85" s="101">
        <f t="shared" si="104"/>
        <v>0.4456844237</v>
      </c>
      <c r="J85" s="2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5"/>
    </row>
    <row r="86" ht="15.75" customHeight="1">
      <c r="A86" s="1"/>
      <c r="B86" s="1"/>
      <c r="C86" s="2"/>
      <c r="D86" s="1"/>
      <c r="E86" s="1"/>
      <c r="F86" s="91" t="s">
        <v>158</v>
      </c>
      <c r="G86" s="101">
        <f t="shared" si="103"/>
        <v>0.0103950385</v>
      </c>
      <c r="I86" s="101">
        <f t="shared" si="104"/>
        <v>0.009989892098</v>
      </c>
      <c r="J86" s="2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5"/>
    </row>
    <row r="87" ht="15.75" customHeight="1">
      <c r="A87" s="1"/>
      <c r="B87" s="1"/>
      <c r="C87" s="2"/>
      <c r="D87" s="1"/>
      <c r="E87" s="1"/>
      <c r="F87" s="186" t="s">
        <v>159</v>
      </c>
      <c r="G87" s="187" t="str">
        <f t="shared" si="103"/>
        <v>#DIV/0!</v>
      </c>
      <c r="H87" s="69"/>
      <c r="I87" s="187">
        <f t="shared" si="104"/>
        <v>0</v>
      </c>
      <c r="J87" s="188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5"/>
    </row>
    <row r="88" ht="15.7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5"/>
    </row>
    <row r="89" ht="15.7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5"/>
      <c r="AU89" s="189" t="s">
        <v>160</v>
      </c>
      <c r="AV89" s="189">
        <v>10.0</v>
      </c>
    </row>
    <row r="90" ht="15.7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190" t="s">
        <v>161</v>
      </c>
      <c r="X90" s="7"/>
      <c r="Y90" s="7"/>
      <c r="Z90" s="7"/>
      <c r="AA90" s="7"/>
      <c r="AB90" s="7"/>
      <c r="AC90" s="7"/>
      <c r="AD90" s="8"/>
      <c r="AE90" s="191" t="s">
        <v>162</v>
      </c>
      <c r="AF90" s="7"/>
      <c r="AG90" s="7"/>
      <c r="AH90" s="7"/>
      <c r="AI90" s="7"/>
      <c r="AJ90" s="7"/>
      <c r="AK90" s="7"/>
      <c r="AL90" s="8"/>
      <c r="AM90" s="191" t="s">
        <v>163</v>
      </c>
      <c r="AN90" s="7"/>
      <c r="AO90" s="7"/>
      <c r="AP90" s="7"/>
      <c r="AQ90" s="7"/>
      <c r="AR90" s="7"/>
      <c r="AS90" s="7"/>
      <c r="AT90" s="8"/>
      <c r="AU90" s="191" t="s">
        <v>164</v>
      </c>
      <c r="AV90" s="7"/>
      <c r="AW90" s="7"/>
      <c r="AX90" s="7"/>
      <c r="AY90" s="7"/>
      <c r="AZ90" s="7"/>
      <c r="BA90" s="7"/>
      <c r="BB90" s="8"/>
      <c r="BC90" s="191" t="s">
        <v>165</v>
      </c>
      <c r="BD90" s="7"/>
      <c r="BE90" s="7"/>
      <c r="BF90" s="7"/>
      <c r="BG90" s="7"/>
      <c r="BH90" s="7"/>
      <c r="BI90" s="7"/>
      <c r="BJ90" s="8"/>
      <c r="BK90" s="192"/>
    </row>
    <row r="91" ht="15.7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193">
        <v>0.0</v>
      </c>
      <c r="X91" s="193">
        <f t="shared" ref="X91:AD91" si="105">W91+1</f>
        <v>1</v>
      </c>
      <c r="Y91" s="193">
        <f t="shared" si="105"/>
        <v>2</v>
      </c>
      <c r="Z91" s="194">
        <f t="shared" si="105"/>
        <v>3</v>
      </c>
      <c r="AA91" s="194">
        <f t="shared" si="105"/>
        <v>4</v>
      </c>
      <c r="AB91" s="194">
        <f t="shared" si="105"/>
        <v>5</v>
      </c>
      <c r="AC91" s="194">
        <f t="shared" si="105"/>
        <v>6</v>
      </c>
      <c r="AD91" s="195">
        <f t="shared" si="105"/>
        <v>7</v>
      </c>
      <c r="AE91" s="194">
        <v>0.0</v>
      </c>
      <c r="AF91" s="194">
        <f t="shared" ref="AF91:AL91" si="106">AE91+1</f>
        <v>1</v>
      </c>
      <c r="AG91" s="194">
        <f t="shared" si="106"/>
        <v>2</v>
      </c>
      <c r="AH91" s="194">
        <f t="shared" si="106"/>
        <v>3</v>
      </c>
      <c r="AI91" s="194">
        <f t="shared" si="106"/>
        <v>4</v>
      </c>
      <c r="AJ91" s="194">
        <f t="shared" si="106"/>
        <v>5</v>
      </c>
      <c r="AK91" s="194">
        <f t="shared" si="106"/>
        <v>6</v>
      </c>
      <c r="AL91" s="195">
        <f t="shared" si="106"/>
        <v>7</v>
      </c>
      <c r="AM91" s="194">
        <v>0.0</v>
      </c>
      <c r="AN91" s="194">
        <f t="shared" ref="AN91:AT91" si="107">AM91+1</f>
        <v>1</v>
      </c>
      <c r="AO91" s="194">
        <f t="shared" si="107"/>
        <v>2</v>
      </c>
      <c r="AP91" s="194">
        <f t="shared" si="107"/>
        <v>3</v>
      </c>
      <c r="AQ91" s="194">
        <f t="shared" si="107"/>
        <v>4</v>
      </c>
      <c r="AR91" s="194">
        <f t="shared" si="107"/>
        <v>5</v>
      </c>
      <c r="AS91" s="194">
        <f t="shared" si="107"/>
        <v>6</v>
      </c>
      <c r="AT91" s="195">
        <f t="shared" si="107"/>
        <v>7</v>
      </c>
      <c r="AU91" s="194">
        <v>0.0</v>
      </c>
      <c r="AV91" s="194">
        <f t="shared" ref="AV91:BB91" si="108">AU91+1</f>
        <v>1</v>
      </c>
      <c r="AW91" s="194">
        <f t="shared" si="108"/>
        <v>2</v>
      </c>
      <c r="AX91" s="194">
        <f t="shared" si="108"/>
        <v>3</v>
      </c>
      <c r="AY91" s="194">
        <f t="shared" si="108"/>
        <v>4</v>
      </c>
      <c r="AZ91" s="194">
        <f t="shared" si="108"/>
        <v>5</v>
      </c>
      <c r="BA91" s="194">
        <f t="shared" si="108"/>
        <v>6</v>
      </c>
      <c r="BB91" s="195">
        <f t="shared" si="108"/>
        <v>7</v>
      </c>
      <c r="BC91" s="194">
        <v>0.0</v>
      </c>
      <c r="BD91" s="194">
        <f t="shared" ref="BD91:BJ91" si="109">BC91+1</f>
        <v>1</v>
      </c>
      <c r="BE91" s="194">
        <f t="shared" si="109"/>
        <v>2</v>
      </c>
      <c r="BF91" s="194">
        <f t="shared" si="109"/>
        <v>3</v>
      </c>
      <c r="BG91" s="194">
        <f t="shared" si="109"/>
        <v>4</v>
      </c>
      <c r="BH91" s="194">
        <f t="shared" si="109"/>
        <v>5</v>
      </c>
      <c r="BI91" s="194">
        <f t="shared" si="109"/>
        <v>6</v>
      </c>
      <c r="BJ91" s="195">
        <f t="shared" si="109"/>
        <v>7</v>
      </c>
      <c r="BK91" s="196"/>
    </row>
    <row r="92" ht="15.7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27">
        <f t="shared" ref="W92:AD92" si="110">$O79*$G$5*W$91</f>
        <v>0</v>
      </c>
      <c r="X92" s="27">
        <f t="shared" si="110"/>
        <v>0</v>
      </c>
      <c r="Y92" s="27">
        <f t="shared" si="110"/>
        <v>0</v>
      </c>
      <c r="Z92" s="197">
        <f t="shared" si="110"/>
        <v>0</v>
      </c>
      <c r="AA92" s="198">
        <f t="shared" si="110"/>
        <v>0</v>
      </c>
      <c r="AB92" s="198">
        <f t="shared" si="110"/>
        <v>0</v>
      </c>
      <c r="AC92" s="198">
        <f t="shared" si="110"/>
        <v>0</v>
      </c>
      <c r="AD92" s="198">
        <f t="shared" si="110"/>
        <v>0</v>
      </c>
      <c r="AE92" s="198" t="str">
        <f t="shared" ref="AE92:AL92" si="111">$I$38*AE$91</f>
        <v>#VALUE!</v>
      </c>
      <c r="AF92" s="198" t="str">
        <f t="shared" si="111"/>
        <v>#VALUE!</v>
      </c>
      <c r="AG92" s="198" t="str">
        <f t="shared" si="111"/>
        <v>#VALUE!</v>
      </c>
      <c r="AH92" s="198" t="str">
        <f t="shared" si="111"/>
        <v>#VALUE!</v>
      </c>
      <c r="AI92" s="198" t="str">
        <f t="shared" si="111"/>
        <v>#VALUE!</v>
      </c>
      <c r="AJ92" s="198" t="str">
        <f t="shared" si="111"/>
        <v>#VALUE!</v>
      </c>
      <c r="AK92" s="198" t="str">
        <f t="shared" si="111"/>
        <v>#VALUE!</v>
      </c>
      <c r="AL92" s="198" t="str">
        <f t="shared" si="111"/>
        <v>#VALUE!</v>
      </c>
      <c r="AM92" s="198" t="str">
        <f t="shared" ref="AM92:AT92" si="112">W92-AE92</f>
        <v>#VALUE!</v>
      </c>
      <c r="AN92" s="198" t="str">
        <f t="shared" si="112"/>
        <v>#VALUE!</v>
      </c>
      <c r="AO92" s="198" t="str">
        <f t="shared" si="112"/>
        <v>#VALUE!</v>
      </c>
      <c r="AP92" s="198" t="str">
        <f t="shared" si="112"/>
        <v>#VALUE!</v>
      </c>
      <c r="AQ92" s="198" t="str">
        <f t="shared" si="112"/>
        <v>#VALUE!</v>
      </c>
      <c r="AR92" s="198" t="str">
        <f t="shared" si="112"/>
        <v>#VALUE!</v>
      </c>
      <c r="AS92" s="198" t="str">
        <f t="shared" si="112"/>
        <v>#VALUE!</v>
      </c>
      <c r="AT92" s="198" t="str">
        <f t="shared" si="112"/>
        <v>#VALUE!</v>
      </c>
      <c r="AU92" s="198" t="str">
        <f t="shared" ref="AU92:BB92" si="113">($M$10*$AV$89)-(#REF!*AU$91)</f>
        <v>#REF!</v>
      </c>
      <c r="AV92" s="198" t="str">
        <f t="shared" si="113"/>
        <v>#REF!</v>
      </c>
      <c r="AW92" s="198" t="str">
        <f t="shared" si="113"/>
        <v>#REF!</v>
      </c>
      <c r="AX92" s="198" t="str">
        <f t="shared" si="113"/>
        <v>#REF!</v>
      </c>
      <c r="AY92" s="198" t="str">
        <f t="shared" si="113"/>
        <v>#REF!</v>
      </c>
      <c r="AZ92" s="198" t="str">
        <f t="shared" si="113"/>
        <v>#REF!</v>
      </c>
      <c r="BA92" s="198" t="str">
        <f t="shared" si="113"/>
        <v>#REF!</v>
      </c>
      <c r="BB92" s="198" t="str">
        <f t="shared" si="113"/>
        <v>#REF!</v>
      </c>
      <c r="BC92" s="198" t="str">
        <f t="shared" ref="BC92:BJ92" si="114">IF(AM92-AU92&lt;0, "No", "Yes")</f>
        <v>#VALUE!</v>
      </c>
      <c r="BD92" s="198" t="str">
        <f t="shared" si="114"/>
        <v>#VALUE!</v>
      </c>
      <c r="BE92" s="198" t="str">
        <f t="shared" si="114"/>
        <v>#VALUE!</v>
      </c>
      <c r="BF92" s="198" t="str">
        <f t="shared" si="114"/>
        <v>#VALUE!</v>
      </c>
      <c r="BG92" s="198" t="str">
        <f t="shared" si="114"/>
        <v>#VALUE!</v>
      </c>
      <c r="BH92" s="198" t="str">
        <f t="shared" si="114"/>
        <v>#VALUE!</v>
      </c>
      <c r="BI92" s="198" t="str">
        <f t="shared" si="114"/>
        <v>#VALUE!</v>
      </c>
      <c r="BJ92" s="198" t="str">
        <f t="shared" si="114"/>
        <v>#VALUE!</v>
      </c>
      <c r="BK92" s="198"/>
    </row>
    <row r="93" ht="15.7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27">
        <f t="shared" ref="W93:AD93" si="115">$O80*$G$5*W$91</f>
        <v>0</v>
      </c>
      <c r="X93" s="27">
        <f t="shared" si="115"/>
        <v>0</v>
      </c>
      <c r="Y93" s="27">
        <f t="shared" si="115"/>
        <v>0</v>
      </c>
      <c r="Z93" s="197">
        <f t="shared" si="115"/>
        <v>0</v>
      </c>
      <c r="AA93" s="198">
        <f t="shared" si="115"/>
        <v>0</v>
      </c>
      <c r="AB93" s="198">
        <f t="shared" si="115"/>
        <v>0</v>
      </c>
      <c r="AC93" s="198">
        <f t="shared" si="115"/>
        <v>0</v>
      </c>
      <c r="AD93" s="198">
        <f t="shared" si="115"/>
        <v>0</v>
      </c>
      <c r="AE93" s="198" t="str">
        <f t="shared" ref="AE93:AL93" si="116">$I$38*AE$91</f>
        <v>#VALUE!</v>
      </c>
      <c r="AF93" s="198" t="str">
        <f t="shared" si="116"/>
        <v>#VALUE!</v>
      </c>
      <c r="AG93" s="198" t="str">
        <f t="shared" si="116"/>
        <v>#VALUE!</v>
      </c>
      <c r="AH93" s="198" t="str">
        <f t="shared" si="116"/>
        <v>#VALUE!</v>
      </c>
      <c r="AI93" s="198" t="str">
        <f t="shared" si="116"/>
        <v>#VALUE!</v>
      </c>
      <c r="AJ93" s="198" t="str">
        <f t="shared" si="116"/>
        <v>#VALUE!</v>
      </c>
      <c r="AK93" s="198" t="str">
        <f t="shared" si="116"/>
        <v>#VALUE!</v>
      </c>
      <c r="AL93" s="198" t="str">
        <f t="shared" si="116"/>
        <v>#VALUE!</v>
      </c>
      <c r="AM93" s="198" t="str">
        <f t="shared" ref="AM93:AT93" si="117">W93-AE93</f>
        <v>#VALUE!</v>
      </c>
      <c r="AN93" s="198" t="str">
        <f t="shared" si="117"/>
        <v>#VALUE!</v>
      </c>
      <c r="AO93" s="198" t="str">
        <f t="shared" si="117"/>
        <v>#VALUE!</v>
      </c>
      <c r="AP93" s="198" t="str">
        <f t="shared" si="117"/>
        <v>#VALUE!</v>
      </c>
      <c r="AQ93" s="198" t="str">
        <f t="shared" si="117"/>
        <v>#VALUE!</v>
      </c>
      <c r="AR93" s="198" t="str">
        <f t="shared" si="117"/>
        <v>#VALUE!</v>
      </c>
      <c r="AS93" s="198" t="str">
        <f t="shared" si="117"/>
        <v>#VALUE!</v>
      </c>
      <c r="AT93" s="198" t="str">
        <f t="shared" si="117"/>
        <v>#VALUE!</v>
      </c>
      <c r="AU93" s="198" t="str">
        <f t="shared" ref="AU93:BB93" si="118">($M$10*$AV$89)-(#REF!*AU$91)</f>
        <v>#REF!</v>
      </c>
      <c r="AV93" s="198" t="str">
        <f t="shared" si="118"/>
        <v>#REF!</v>
      </c>
      <c r="AW93" s="198" t="str">
        <f t="shared" si="118"/>
        <v>#REF!</v>
      </c>
      <c r="AX93" s="198" t="str">
        <f t="shared" si="118"/>
        <v>#REF!</v>
      </c>
      <c r="AY93" s="198" t="str">
        <f t="shared" si="118"/>
        <v>#REF!</v>
      </c>
      <c r="AZ93" s="198" t="str">
        <f t="shared" si="118"/>
        <v>#REF!</v>
      </c>
      <c r="BA93" s="198" t="str">
        <f t="shared" si="118"/>
        <v>#REF!</v>
      </c>
      <c r="BB93" s="198" t="str">
        <f t="shared" si="118"/>
        <v>#REF!</v>
      </c>
      <c r="BC93" s="198" t="str">
        <f t="shared" ref="BC93:BJ93" si="119">IF(AM93-AU93&lt;0, "No", "Yes")</f>
        <v>#VALUE!</v>
      </c>
      <c r="BD93" s="198" t="str">
        <f t="shared" si="119"/>
        <v>#VALUE!</v>
      </c>
      <c r="BE93" s="198" t="str">
        <f t="shared" si="119"/>
        <v>#VALUE!</v>
      </c>
      <c r="BF93" s="198" t="str">
        <f t="shared" si="119"/>
        <v>#VALUE!</v>
      </c>
      <c r="BG93" s="198" t="str">
        <f t="shared" si="119"/>
        <v>#VALUE!</v>
      </c>
      <c r="BH93" s="198" t="str">
        <f t="shared" si="119"/>
        <v>#VALUE!</v>
      </c>
      <c r="BI93" s="198" t="str">
        <f t="shared" si="119"/>
        <v>#VALUE!</v>
      </c>
      <c r="BJ93" s="198" t="str">
        <f t="shared" si="119"/>
        <v>#VALUE!</v>
      </c>
      <c r="BK93" s="198"/>
    </row>
    <row r="94" ht="15.7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27">
        <f t="shared" ref="W94:AD94" si="120">$O81*$G$5*W$91</f>
        <v>0</v>
      </c>
      <c r="X94" s="27">
        <f t="shared" si="120"/>
        <v>0</v>
      </c>
      <c r="Y94" s="27">
        <f t="shared" si="120"/>
        <v>0</v>
      </c>
      <c r="Z94" s="197">
        <f t="shared" si="120"/>
        <v>0</v>
      </c>
      <c r="AA94" s="198">
        <f t="shared" si="120"/>
        <v>0</v>
      </c>
      <c r="AB94" s="198">
        <f t="shared" si="120"/>
        <v>0</v>
      </c>
      <c r="AC94" s="198">
        <f t="shared" si="120"/>
        <v>0</v>
      </c>
      <c r="AD94" s="198">
        <f t="shared" si="120"/>
        <v>0</v>
      </c>
      <c r="AE94" s="198" t="str">
        <f t="shared" ref="AE94:AL94" si="121">$I$38*AE$91</f>
        <v>#VALUE!</v>
      </c>
      <c r="AF94" s="198" t="str">
        <f t="shared" si="121"/>
        <v>#VALUE!</v>
      </c>
      <c r="AG94" s="198" t="str">
        <f t="shared" si="121"/>
        <v>#VALUE!</v>
      </c>
      <c r="AH94" s="198" t="str">
        <f t="shared" si="121"/>
        <v>#VALUE!</v>
      </c>
      <c r="AI94" s="198" t="str">
        <f t="shared" si="121"/>
        <v>#VALUE!</v>
      </c>
      <c r="AJ94" s="198" t="str">
        <f t="shared" si="121"/>
        <v>#VALUE!</v>
      </c>
      <c r="AK94" s="198" t="str">
        <f t="shared" si="121"/>
        <v>#VALUE!</v>
      </c>
      <c r="AL94" s="198" t="str">
        <f t="shared" si="121"/>
        <v>#VALUE!</v>
      </c>
      <c r="AM94" s="198" t="str">
        <f t="shared" ref="AM94:AT94" si="122">W94-AE94</f>
        <v>#VALUE!</v>
      </c>
      <c r="AN94" s="198" t="str">
        <f t="shared" si="122"/>
        <v>#VALUE!</v>
      </c>
      <c r="AO94" s="198" t="str">
        <f t="shared" si="122"/>
        <v>#VALUE!</v>
      </c>
      <c r="AP94" s="198" t="str">
        <f t="shared" si="122"/>
        <v>#VALUE!</v>
      </c>
      <c r="AQ94" s="198" t="str">
        <f t="shared" si="122"/>
        <v>#VALUE!</v>
      </c>
      <c r="AR94" s="198" t="str">
        <f t="shared" si="122"/>
        <v>#VALUE!</v>
      </c>
      <c r="AS94" s="198" t="str">
        <f t="shared" si="122"/>
        <v>#VALUE!</v>
      </c>
      <c r="AT94" s="198" t="str">
        <f t="shared" si="122"/>
        <v>#VALUE!</v>
      </c>
      <c r="AU94" s="198" t="str">
        <f t="shared" ref="AU94:BB94" si="123">($M$10*$AV$89)-(#REF!*AU$91)</f>
        <v>#REF!</v>
      </c>
      <c r="AV94" s="198" t="str">
        <f t="shared" si="123"/>
        <v>#REF!</v>
      </c>
      <c r="AW94" s="198" t="str">
        <f t="shared" si="123"/>
        <v>#REF!</v>
      </c>
      <c r="AX94" s="198" t="str">
        <f t="shared" si="123"/>
        <v>#REF!</v>
      </c>
      <c r="AY94" s="198" t="str">
        <f t="shared" si="123"/>
        <v>#REF!</v>
      </c>
      <c r="AZ94" s="198" t="str">
        <f t="shared" si="123"/>
        <v>#REF!</v>
      </c>
      <c r="BA94" s="198" t="str">
        <f t="shared" si="123"/>
        <v>#REF!</v>
      </c>
      <c r="BB94" s="198" t="str">
        <f t="shared" si="123"/>
        <v>#REF!</v>
      </c>
      <c r="BC94" s="198" t="str">
        <f t="shared" ref="BC94:BJ94" si="124">IF(AM94-AU94&lt;0, "No", "Yes")</f>
        <v>#VALUE!</v>
      </c>
      <c r="BD94" s="198" t="str">
        <f t="shared" si="124"/>
        <v>#VALUE!</v>
      </c>
      <c r="BE94" s="198" t="str">
        <f t="shared" si="124"/>
        <v>#VALUE!</v>
      </c>
      <c r="BF94" s="198" t="str">
        <f t="shared" si="124"/>
        <v>#VALUE!</v>
      </c>
      <c r="BG94" s="198" t="str">
        <f t="shared" si="124"/>
        <v>#VALUE!</v>
      </c>
      <c r="BH94" s="198" t="str">
        <f t="shared" si="124"/>
        <v>#VALUE!</v>
      </c>
      <c r="BI94" s="198" t="str">
        <f t="shared" si="124"/>
        <v>#VALUE!</v>
      </c>
      <c r="BJ94" s="198" t="str">
        <f t="shared" si="124"/>
        <v>#VALUE!</v>
      </c>
      <c r="BK94" s="198"/>
    </row>
    <row r="95" ht="15.7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27">
        <f t="shared" ref="W95:AD95" si="125">$O82*$G$5*W$91</f>
        <v>0</v>
      </c>
      <c r="X95" s="27">
        <f t="shared" si="125"/>
        <v>0</v>
      </c>
      <c r="Y95" s="27">
        <f t="shared" si="125"/>
        <v>0</v>
      </c>
      <c r="Z95" s="197">
        <f t="shared" si="125"/>
        <v>0</v>
      </c>
      <c r="AA95" s="198">
        <f t="shared" si="125"/>
        <v>0</v>
      </c>
      <c r="AB95" s="198">
        <f t="shared" si="125"/>
        <v>0</v>
      </c>
      <c r="AC95" s="198">
        <f t="shared" si="125"/>
        <v>0</v>
      </c>
      <c r="AD95" s="198">
        <f t="shared" si="125"/>
        <v>0</v>
      </c>
      <c r="AE95" s="198" t="str">
        <f t="shared" ref="AE95:AL95" si="126">$I$38*AE$91</f>
        <v>#VALUE!</v>
      </c>
      <c r="AF95" s="198" t="str">
        <f t="shared" si="126"/>
        <v>#VALUE!</v>
      </c>
      <c r="AG95" s="198" t="str">
        <f t="shared" si="126"/>
        <v>#VALUE!</v>
      </c>
      <c r="AH95" s="198" t="str">
        <f t="shared" si="126"/>
        <v>#VALUE!</v>
      </c>
      <c r="AI95" s="198" t="str">
        <f t="shared" si="126"/>
        <v>#VALUE!</v>
      </c>
      <c r="AJ95" s="198" t="str">
        <f t="shared" si="126"/>
        <v>#VALUE!</v>
      </c>
      <c r="AK95" s="198" t="str">
        <f t="shared" si="126"/>
        <v>#VALUE!</v>
      </c>
      <c r="AL95" s="198" t="str">
        <f t="shared" si="126"/>
        <v>#VALUE!</v>
      </c>
      <c r="AM95" s="198" t="str">
        <f t="shared" ref="AM95:AT95" si="127">W95-AE95</f>
        <v>#VALUE!</v>
      </c>
      <c r="AN95" s="198" t="str">
        <f t="shared" si="127"/>
        <v>#VALUE!</v>
      </c>
      <c r="AO95" s="198" t="str">
        <f t="shared" si="127"/>
        <v>#VALUE!</v>
      </c>
      <c r="AP95" s="198" t="str">
        <f t="shared" si="127"/>
        <v>#VALUE!</v>
      </c>
      <c r="AQ95" s="198" t="str">
        <f t="shared" si="127"/>
        <v>#VALUE!</v>
      </c>
      <c r="AR95" s="198" t="str">
        <f t="shared" si="127"/>
        <v>#VALUE!</v>
      </c>
      <c r="AS95" s="198" t="str">
        <f t="shared" si="127"/>
        <v>#VALUE!</v>
      </c>
      <c r="AT95" s="198" t="str">
        <f t="shared" si="127"/>
        <v>#VALUE!</v>
      </c>
      <c r="AU95" s="198" t="str">
        <f t="shared" ref="AU95:BB95" si="128">($M$10*$AV$89)-(#REF!*AU$91)</f>
        <v>#REF!</v>
      </c>
      <c r="AV95" s="198" t="str">
        <f t="shared" si="128"/>
        <v>#REF!</v>
      </c>
      <c r="AW95" s="198" t="str">
        <f t="shared" si="128"/>
        <v>#REF!</v>
      </c>
      <c r="AX95" s="198" t="str">
        <f t="shared" si="128"/>
        <v>#REF!</v>
      </c>
      <c r="AY95" s="198" t="str">
        <f t="shared" si="128"/>
        <v>#REF!</v>
      </c>
      <c r="AZ95" s="198" t="str">
        <f t="shared" si="128"/>
        <v>#REF!</v>
      </c>
      <c r="BA95" s="198" t="str">
        <f t="shared" si="128"/>
        <v>#REF!</v>
      </c>
      <c r="BB95" s="198" t="str">
        <f t="shared" si="128"/>
        <v>#REF!</v>
      </c>
      <c r="BC95" s="198" t="str">
        <f t="shared" ref="BC95:BJ95" si="129">IF(AM95-AU95&lt;0, "No", "Yes")</f>
        <v>#VALUE!</v>
      </c>
      <c r="BD95" s="198" t="str">
        <f t="shared" si="129"/>
        <v>#VALUE!</v>
      </c>
      <c r="BE95" s="198" t="str">
        <f t="shared" si="129"/>
        <v>#VALUE!</v>
      </c>
      <c r="BF95" s="198" t="str">
        <f t="shared" si="129"/>
        <v>#VALUE!</v>
      </c>
      <c r="BG95" s="198" t="str">
        <f t="shared" si="129"/>
        <v>#VALUE!</v>
      </c>
      <c r="BH95" s="198" t="str">
        <f t="shared" si="129"/>
        <v>#VALUE!</v>
      </c>
      <c r="BI95" s="198" t="str">
        <f t="shared" si="129"/>
        <v>#VALUE!</v>
      </c>
      <c r="BJ95" s="198" t="str">
        <f t="shared" si="129"/>
        <v>#VALUE!</v>
      </c>
      <c r="BK95" s="198"/>
    </row>
    <row r="96" ht="15.7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27">
        <f t="shared" ref="W96:AD96" si="130">$O83*$G$5*W$91</f>
        <v>0</v>
      </c>
      <c r="X96" s="27">
        <f t="shared" si="130"/>
        <v>0</v>
      </c>
      <c r="Y96" s="27">
        <f t="shared" si="130"/>
        <v>0</v>
      </c>
      <c r="Z96" s="197">
        <f t="shared" si="130"/>
        <v>0</v>
      </c>
      <c r="AA96" s="198">
        <f t="shared" si="130"/>
        <v>0</v>
      </c>
      <c r="AB96" s="198">
        <f t="shared" si="130"/>
        <v>0</v>
      </c>
      <c r="AC96" s="198">
        <f t="shared" si="130"/>
        <v>0</v>
      </c>
      <c r="AD96" s="198">
        <f t="shared" si="130"/>
        <v>0</v>
      </c>
      <c r="AE96" s="198" t="str">
        <f t="shared" ref="AE96:AL96" si="131">$I$38*AE$91</f>
        <v>#VALUE!</v>
      </c>
      <c r="AF96" s="198" t="str">
        <f t="shared" si="131"/>
        <v>#VALUE!</v>
      </c>
      <c r="AG96" s="198" t="str">
        <f t="shared" si="131"/>
        <v>#VALUE!</v>
      </c>
      <c r="AH96" s="198" t="str">
        <f t="shared" si="131"/>
        <v>#VALUE!</v>
      </c>
      <c r="AI96" s="198" t="str">
        <f t="shared" si="131"/>
        <v>#VALUE!</v>
      </c>
      <c r="AJ96" s="198" t="str">
        <f t="shared" si="131"/>
        <v>#VALUE!</v>
      </c>
      <c r="AK96" s="198" t="str">
        <f t="shared" si="131"/>
        <v>#VALUE!</v>
      </c>
      <c r="AL96" s="198" t="str">
        <f t="shared" si="131"/>
        <v>#VALUE!</v>
      </c>
      <c r="AM96" s="198" t="str">
        <f t="shared" ref="AM96:AT96" si="132">W96-AE96</f>
        <v>#VALUE!</v>
      </c>
      <c r="AN96" s="198" t="str">
        <f t="shared" si="132"/>
        <v>#VALUE!</v>
      </c>
      <c r="AO96" s="198" t="str">
        <f t="shared" si="132"/>
        <v>#VALUE!</v>
      </c>
      <c r="AP96" s="198" t="str">
        <f t="shared" si="132"/>
        <v>#VALUE!</v>
      </c>
      <c r="AQ96" s="198" t="str">
        <f t="shared" si="132"/>
        <v>#VALUE!</v>
      </c>
      <c r="AR96" s="198" t="str">
        <f t="shared" si="132"/>
        <v>#VALUE!</v>
      </c>
      <c r="AS96" s="198" t="str">
        <f t="shared" si="132"/>
        <v>#VALUE!</v>
      </c>
      <c r="AT96" s="198" t="str">
        <f t="shared" si="132"/>
        <v>#VALUE!</v>
      </c>
      <c r="AU96" s="198" t="str">
        <f t="shared" ref="AU96:BB96" si="133">($M$10*$AV$89)-(#REF!*AU$91)</f>
        <v>#REF!</v>
      </c>
      <c r="AV96" s="198" t="str">
        <f t="shared" si="133"/>
        <v>#REF!</v>
      </c>
      <c r="AW96" s="198" t="str">
        <f t="shared" si="133"/>
        <v>#REF!</v>
      </c>
      <c r="AX96" s="198" t="str">
        <f t="shared" si="133"/>
        <v>#REF!</v>
      </c>
      <c r="AY96" s="198" t="str">
        <f t="shared" si="133"/>
        <v>#REF!</v>
      </c>
      <c r="AZ96" s="198" t="str">
        <f t="shared" si="133"/>
        <v>#REF!</v>
      </c>
      <c r="BA96" s="198" t="str">
        <f t="shared" si="133"/>
        <v>#REF!</v>
      </c>
      <c r="BB96" s="198" t="str">
        <f t="shared" si="133"/>
        <v>#REF!</v>
      </c>
      <c r="BC96" s="198" t="str">
        <f t="shared" ref="BC96:BJ96" si="134">IF(AM96-AU96&lt;0, "No", "Yes")</f>
        <v>#VALUE!</v>
      </c>
      <c r="BD96" s="198" t="str">
        <f t="shared" si="134"/>
        <v>#VALUE!</v>
      </c>
      <c r="BE96" s="198" t="str">
        <f t="shared" si="134"/>
        <v>#VALUE!</v>
      </c>
      <c r="BF96" s="198" t="str">
        <f t="shared" si="134"/>
        <v>#VALUE!</v>
      </c>
      <c r="BG96" s="198" t="str">
        <f t="shared" si="134"/>
        <v>#VALUE!</v>
      </c>
      <c r="BH96" s="198" t="str">
        <f t="shared" si="134"/>
        <v>#VALUE!</v>
      </c>
      <c r="BI96" s="198" t="str">
        <f t="shared" si="134"/>
        <v>#VALUE!</v>
      </c>
      <c r="BJ96" s="198" t="str">
        <f t="shared" si="134"/>
        <v>#VALUE!</v>
      </c>
      <c r="BK96" s="198"/>
    </row>
    <row r="97" ht="15.7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27">
        <f t="shared" ref="W97:AD97" si="135">$O84*$G$5*W$91</f>
        <v>0</v>
      </c>
      <c r="X97" s="27">
        <f t="shared" si="135"/>
        <v>0</v>
      </c>
      <c r="Y97" s="27">
        <f t="shared" si="135"/>
        <v>0</v>
      </c>
      <c r="Z97" s="197">
        <f t="shared" si="135"/>
        <v>0</v>
      </c>
      <c r="AA97" s="198">
        <f t="shared" si="135"/>
        <v>0</v>
      </c>
      <c r="AB97" s="198">
        <f t="shared" si="135"/>
        <v>0</v>
      </c>
      <c r="AC97" s="198">
        <f t="shared" si="135"/>
        <v>0</v>
      </c>
      <c r="AD97" s="198">
        <f t="shared" si="135"/>
        <v>0</v>
      </c>
      <c r="AE97" s="198" t="str">
        <f t="shared" ref="AE97:AL97" si="136">$I$38*AE$91</f>
        <v>#VALUE!</v>
      </c>
      <c r="AF97" s="198" t="str">
        <f t="shared" si="136"/>
        <v>#VALUE!</v>
      </c>
      <c r="AG97" s="198" t="str">
        <f t="shared" si="136"/>
        <v>#VALUE!</v>
      </c>
      <c r="AH97" s="198" t="str">
        <f t="shared" si="136"/>
        <v>#VALUE!</v>
      </c>
      <c r="AI97" s="198" t="str">
        <f t="shared" si="136"/>
        <v>#VALUE!</v>
      </c>
      <c r="AJ97" s="198" t="str">
        <f t="shared" si="136"/>
        <v>#VALUE!</v>
      </c>
      <c r="AK97" s="198" t="str">
        <f t="shared" si="136"/>
        <v>#VALUE!</v>
      </c>
      <c r="AL97" s="198" t="str">
        <f t="shared" si="136"/>
        <v>#VALUE!</v>
      </c>
      <c r="AM97" s="198" t="str">
        <f t="shared" ref="AM97:AT97" si="137">W97-AE97</f>
        <v>#VALUE!</v>
      </c>
      <c r="AN97" s="198" t="str">
        <f t="shared" si="137"/>
        <v>#VALUE!</v>
      </c>
      <c r="AO97" s="198" t="str">
        <f t="shared" si="137"/>
        <v>#VALUE!</v>
      </c>
      <c r="AP97" s="198" t="str">
        <f t="shared" si="137"/>
        <v>#VALUE!</v>
      </c>
      <c r="AQ97" s="198" t="str">
        <f t="shared" si="137"/>
        <v>#VALUE!</v>
      </c>
      <c r="AR97" s="198" t="str">
        <f t="shared" si="137"/>
        <v>#VALUE!</v>
      </c>
      <c r="AS97" s="198" t="str">
        <f t="shared" si="137"/>
        <v>#VALUE!</v>
      </c>
      <c r="AT97" s="198" t="str">
        <f t="shared" si="137"/>
        <v>#VALUE!</v>
      </c>
      <c r="AU97" s="198" t="str">
        <f t="shared" ref="AU97:BB97" si="138">($M$10*$AV$89)-(#REF!*AU$91)</f>
        <v>#REF!</v>
      </c>
      <c r="AV97" s="198" t="str">
        <f t="shared" si="138"/>
        <v>#REF!</v>
      </c>
      <c r="AW97" s="198" t="str">
        <f t="shared" si="138"/>
        <v>#REF!</v>
      </c>
      <c r="AX97" s="198" t="str">
        <f t="shared" si="138"/>
        <v>#REF!</v>
      </c>
      <c r="AY97" s="198" t="str">
        <f t="shared" si="138"/>
        <v>#REF!</v>
      </c>
      <c r="AZ97" s="198" t="str">
        <f t="shared" si="138"/>
        <v>#REF!</v>
      </c>
      <c r="BA97" s="198" t="str">
        <f t="shared" si="138"/>
        <v>#REF!</v>
      </c>
      <c r="BB97" s="198" t="str">
        <f t="shared" si="138"/>
        <v>#REF!</v>
      </c>
      <c r="BC97" s="198" t="str">
        <f t="shared" ref="BC97:BJ97" si="139">IF(AM97-AU97&lt;0, "No", "Yes")</f>
        <v>#VALUE!</v>
      </c>
      <c r="BD97" s="198" t="str">
        <f t="shared" si="139"/>
        <v>#VALUE!</v>
      </c>
      <c r="BE97" s="198" t="str">
        <f t="shared" si="139"/>
        <v>#VALUE!</v>
      </c>
      <c r="BF97" s="198" t="str">
        <f t="shared" si="139"/>
        <v>#VALUE!</v>
      </c>
      <c r="BG97" s="198" t="str">
        <f t="shared" si="139"/>
        <v>#VALUE!</v>
      </c>
      <c r="BH97" s="198" t="str">
        <f t="shared" si="139"/>
        <v>#VALUE!</v>
      </c>
      <c r="BI97" s="198" t="str">
        <f t="shared" si="139"/>
        <v>#VALUE!</v>
      </c>
      <c r="BJ97" s="198" t="str">
        <f t="shared" si="139"/>
        <v>#VALUE!</v>
      </c>
      <c r="BK97" s="198"/>
    </row>
    <row r="98" ht="15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27">
        <f t="shared" ref="W98:AD98" si="140">$O85*$G$5*W$91</f>
        <v>0</v>
      </c>
      <c r="X98" s="27">
        <f t="shared" si="140"/>
        <v>0</v>
      </c>
      <c r="Y98" s="27">
        <f t="shared" si="140"/>
        <v>0</v>
      </c>
      <c r="Z98" s="197">
        <f t="shared" si="140"/>
        <v>0</v>
      </c>
      <c r="AA98" s="198">
        <f t="shared" si="140"/>
        <v>0</v>
      </c>
      <c r="AB98" s="198">
        <f t="shared" si="140"/>
        <v>0</v>
      </c>
      <c r="AC98" s="198">
        <f t="shared" si="140"/>
        <v>0</v>
      </c>
      <c r="AD98" s="198">
        <f t="shared" si="140"/>
        <v>0</v>
      </c>
      <c r="AE98" s="198" t="str">
        <f t="shared" ref="AE98:AL98" si="141">$I$38*AE$91</f>
        <v>#VALUE!</v>
      </c>
      <c r="AF98" s="198" t="str">
        <f t="shared" si="141"/>
        <v>#VALUE!</v>
      </c>
      <c r="AG98" s="198" t="str">
        <f t="shared" si="141"/>
        <v>#VALUE!</v>
      </c>
      <c r="AH98" s="198" t="str">
        <f t="shared" si="141"/>
        <v>#VALUE!</v>
      </c>
      <c r="AI98" s="198" t="str">
        <f t="shared" si="141"/>
        <v>#VALUE!</v>
      </c>
      <c r="AJ98" s="198" t="str">
        <f t="shared" si="141"/>
        <v>#VALUE!</v>
      </c>
      <c r="AK98" s="198" t="str">
        <f t="shared" si="141"/>
        <v>#VALUE!</v>
      </c>
      <c r="AL98" s="198" t="str">
        <f t="shared" si="141"/>
        <v>#VALUE!</v>
      </c>
      <c r="AM98" s="198" t="str">
        <f t="shared" ref="AM98:AT98" si="142">W98-AE98</f>
        <v>#VALUE!</v>
      </c>
      <c r="AN98" s="198" t="str">
        <f t="shared" si="142"/>
        <v>#VALUE!</v>
      </c>
      <c r="AO98" s="198" t="str">
        <f t="shared" si="142"/>
        <v>#VALUE!</v>
      </c>
      <c r="AP98" s="198" t="str">
        <f t="shared" si="142"/>
        <v>#VALUE!</v>
      </c>
      <c r="AQ98" s="198" t="str">
        <f t="shared" si="142"/>
        <v>#VALUE!</v>
      </c>
      <c r="AR98" s="198" t="str">
        <f t="shared" si="142"/>
        <v>#VALUE!</v>
      </c>
      <c r="AS98" s="198" t="str">
        <f t="shared" si="142"/>
        <v>#VALUE!</v>
      </c>
      <c r="AT98" s="198" t="str">
        <f t="shared" si="142"/>
        <v>#VALUE!</v>
      </c>
      <c r="AU98" s="198" t="str">
        <f t="shared" ref="AU98:BB98" si="143">($M$10*$AV$89)-(#REF!*AU$91)</f>
        <v>#REF!</v>
      </c>
      <c r="AV98" s="198" t="str">
        <f t="shared" si="143"/>
        <v>#REF!</v>
      </c>
      <c r="AW98" s="198" t="str">
        <f t="shared" si="143"/>
        <v>#REF!</v>
      </c>
      <c r="AX98" s="198" t="str">
        <f t="shared" si="143"/>
        <v>#REF!</v>
      </c>
      <c r="AY98" s="198" t="str">
        <f t="shared" si="143"/>
        <v>#REF!</v>
      </c>
      <c r="AZ98" s="198" t="str">
        <f t="shared" si="143"/>
        <v>#REF!</v>
      </c>
      <c r="BA98" s="198" t="str">
        <f t="shared" si="143"/>
        <v>#REF!</v>
      </c>
      <c r="BB98" s="198" t="str">
        <f t="shared" si="143"/>
        <v>#REF!</v>
      </c>
      <c r="BC98" s="198" t="str">
        <f t="shared" ref="BC98:BJ98" si="144">IF(AM98-AU98&lt;0, "No", "Yes")</f>
        <v>#VALUE!</v>
      </c>
      <c r="BD98" s="198" t="str">
        <f t="shared" si="144"/>
        <v>#VALUE!</v>
      </c>
      <c r="BE98" s="198" t="str">
        <f t="shared" si="144"/>
        <v>#VALUE!</v>
      </c>
      <c r="BF98" s="198" t="str">
        <f t="shared" si="144"/>
        <v>#VALUE!</v>
      </c>
      <c r="BG98" s="198" t="str">
        <f t="shared" si="144"/>
        <v>#VALUE!</v>
      </c>
      <c r="BH98" s="198" t="str">
        <f t="shared" si="144"/>
        <v>#VALUE!</v>
      </c>
      <c r="BI98" s="198" t="str">
        <f t="shared" si="144"/>
        <v>#VALUE!</v>
      </c>
      <c r="BJ98" s="198" t="str">
        <f t="shared" si="144"/>
        <v>#VALUE!</v>
      </c>
      <c r="BK98" s="198"/>
    </row>
    <row r="99" ht="15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27">
        <f t="shared" ref="W99:AD99" si="145">$O86*$G$5*W$91</f>
        <v>0</v>
      </c>
      <c r="X99" s="27">
        <f t="shared" si="145"/>
        <v>0</v>
      </c>
      <c r="Y99" s="27">
        <f t="shared" si="145"/>
        <v>0</v>
      </c>
      <c r="Z99" s="197">
        <f t="shared" si="145"/>
        <v>0</v>
      </c>
      <c r="AA99" s="198">
        <f t="shared" si="145"/>
        <v>0</v>
      </c>
      <c r="AB99" s="198">
        <f t="shared" si="145"/>
        <v>0</v>
      </c>
      <c r="AC99" s="198">
        <f t="shared" si="145"/>
        <v>0</v>
      </c>
      <c r="AD99" s="198">
        <f t="shared" si="145"/>
        <v>0</v>
      </c>
      <c r="AE99" s="198" t="str">
        <f t="shared" ref="AE99:AL99" si="146">$I$38*AE$91</f>
        <v>#VALUE!</v>
      </c>
      <c r="AF99" s="198" t="str">
        <f t="shared" si="146"/>
        <v>#VALUE!</v>
      </c>
      <c r="AG99" s="198" t="str">
        <f t="shared" si="146"/>
        <v>#VALUE!</v>
      </c>
      <c r="AH99" s="198" t="str">
        <f t="shared" si="146"/>
        <v>#VALUE!</v>
      </c>
      <c r="AI99" s="198" t="str">
        <f t="shared" si="146"/>
        <v>#VALUE!</v>
      </c>
      <c r="AJ99" s="198" t="str">
        <f t="shared" si="146"/>
        <v>#VALUE!</v>
      </c>
      <c r="AK99" s="198" t="str">
        <f t="shared" si="146"/>
        <v>#VALUE!</v>
      </c>
      <c r="AL99" s="198" t="str">
        <f t="shared" si="146"/>
        <v>#VALUE!</v>
      </c>
      <c r="AM99" s="198" t="str">
        <f t="shared" ref="AM99:AT99" si="147">W99-AE99</f>
        <v>#VALUE!</v>
      </c>
      <c r="AN99" s="198" t="str">
        <f t="shared" si="147"/>
        <v>#VALUE!</v>
      </c>
      <c r="AO99" s="198" t="str">
        <f t="shared" si="147"/>
        <v>#VALUE!</v>
      </c>
      <c r="AP99" s="198" t="str">
        <f t="shared" si="147"/>
        <v>#VALUE!</v>
      </c>
      <c r="AQ99" s="198" t="str">
        <f t="shared" si="147"/>
        <v>#VALUE!</v>
      </c>
      <c r="AR99" s="198" t="str">
        <f t="shared" si="147"/>
        <v>#VALUE!</v>
      </c>
      <c r="AS99" s="198" t="str">
        <f t="shared" si="147"/>
        <v>#VALUE!</v>
      </c>
      <c r="AT99" s="198" t="str">
        <f t="shared" si="147"/>
        <v>#VALUE!</v>
      </c>
      <c r="AU99" s="198" t="str">
        <f t="shared" ref="AU99:BB99" si="148">($M$10*$AV$89)-(#REF!*AU$91)</f>
        <v>#REF!</v>
      </c>
      <c r="AV99" s="198" t="str">
        <f t="shared" si="148"/>
        <v>#REF!</v>
      </c>
      <c r="AW99" s="198" t="str">
        <f t="shared" si="148"/>
        <v>#REF!</v>
      </c>
      <c r="AX99" s="198" t="str">
        <f t="shared" si="148"/>
        <v>#REF!</v>
      </c>
      <c r="AY99" s="198" t="str">
        <f t="shared" si="148"/>
        <v>#REF!</v>
      </c>
      <c r="AZ99" s="198" t="str">
        <f t="shared" si="148"/>
        <v>#REF!</v>
      </c>
      <c r="BA99" s="198" t="str">
        <f t="shared" si="148"/>
        <v>#REF!</v>
      </c>
      <c r="BB99" s="198" t="str">
        <f t="shared" si="148"/>
        <v>#REF!</v>
      </c>
      <c r="BC99" s="198" t="str">
        <f t="shared" ref="BC99:BJ99" si="149">IF(AM99-AU99&lt;0, "No", "Yes")</f>
        <v>#VALUE!</v>
      </c>
      <c r="BD99" s="198" t="str">
        <f t="shared" si="149"/>
        <v>#VALUE!</v>
      </c>
      <c r="BE99" s="198" t="str">
        <f t="shared" si="149"/>
        <v>#VALUE!</v>
      </c>
      <c r="BF99" s="198" t="str">
        <f t="shared" si="149"/>
        <v>#VALUE!</v>
      </c>
      <c r="BG99" s="198" t="str">
        <f t="shared" si="149"/>
        <v>#VALUE!</v>
      </c>
      <c r="BH99" s="198" t="str">
        <f t="shared" si="149"/>
        <v>#VALUE!</v>
      </c>
      <c r="BI99" s="198" t="str">
        <f t="shared" si="149"/>
        <v>#VALUE!</v>
      </c>
      <c r="BJ99" s="198" t="str">
        <f t="shared" si="149"/>
        <v>#VALUE!</v>
      </c>
      <c r="BK99" s="198"/>
    </row>
    <row r="100" ht="15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27">
        <f t="shared" ref="W100:AD100" si="150">$O87*$G$5*W$91</f>
        <v>0</v>
      </c>
      <c r="X100" s="27">
        <f t="shared" si="150"/>
        <v>0</v>
      </c>
      <c r="Y100" s="27">
        <f t="shared" si="150"/>
        <v>0</v>
      </c>
      <c r="Z100" s="197">
        <f t="shared" si="150"/>
        <v>0</v>
      </c>
      <c r="AA100" s="198">
        <f t="shared" si="150"/>
        <v>0</v>
      </c>
      <c r="AB100" s="198">
        <f t="shared" si="150"/>
        <v>0</v>
      </c>
      <c r="AC100" s="198">
        <f t="shared" si="150"/>
        <v>0</v>
      </c>
      <c r="AD100" s="198">
        <f t="shared" si="150"/>
        <v>0</v>
      </c>
      <c r="AE100" s="198" t="str">
        <f t="shared" ref="AE100:AL100" si="151">$I$38*AE$91</f>
        <v>#VALUE!</v>
      </c>
      <c r="AF100" s="198" t="str">
        <f t="shared" si="151"/>
        <v>#VALUE!</v>
      </c>
      <c r="AG100" s="198" t="str">
        <f t="shared" si="151"/>
        <v>#VALUE!</v>
      </c>
      <c r="AH100" s="198" t="str">
        <f t="shared" si="151"/>
        <v>#VALUE!</v>
      </c>
      <c r="AI100" s="198" t="str">
        <f t="shared" si="151"/>
        <v>#VALUE!</v>
      </c>
      <c r="AJ100" s="198" t="str">
        <f t="shared" si="151"/>
        <v>#VALUE!</v>
      </c>
      <c r="AK100" s="198" t="str">
        <f t="shared" si="151"/>
        <v>#VALUE!</v>
      </c>
      <c r="AL100" s="198" t="str">
        <f t="shared" si="151"/>
        <v>#VALUE!</v>
      </c>
      <c r="AM100" s="198" t="str">
        <f t="shared" ref="AM100:AT100" si="152">W100-AE100</f>
        <v>#VALUE!</v>
      </c>
      <c r="AN100" s="198" t="str">
        <f t="shared" si="152"/>
        <v>#VALUE!</v>
      </c>
      <c r="AO100" s="198" t="str">
        <f t="shared" si="152"/>
        <v>#VALUE!</v>
      </c>
      <c r="AP100" s="198" t="str">
        <f t="shared" si="152"/>
        <v>#VALUE!</v>
      </c>
      <c r="AQ100" s="198" t="str">
        <f t="shared" si="152"/>
        <v>#VALUE!</v>
      </c>
      <c r="AR100" s="198" t="str">
        <f t="shared" si="152"/>
        <v>#VALUE!</v>
      </c>
      <c r="AS100" s="198" t="str">
        <f t="shared" si="152"/>
        <v>#VALUE!</v>
      </c>
      <c r="AT100" s="198" t="str">
        <f t="shared" si="152"/>
        <v>#VALUE!</v>
      </c>
      <c r="AU100" s="198" t="str">
        <f t="shared" ref="AU100:BB100" si="153">($M$10*$AV$89)-(#REF!*AU$91)</f>
        <v>#REF!</v>
      </c>
      <c r="AV100" s="198" t="str">
        <f t="shared" si="153"/>
        <v>#REF!</v>
      </c>
      <c r="AW100" s="198" t="str">
        <f t="shared" si="153"/>
        <v>#REF!</v>
      </c>
      <c r="AX100" s="198" t="str">
        <f t="shared" si="153"/>
        <v>#REF!</v>
      </c>
      <c r="AY100" s="198" t="str">
        <f t="shared" si="153"/>
        <v>#REF!</v>
      </c>
      <c r="AZ100" s="198" t="str">
        <f t="shared" si="153"/>
        <v>#REF!</v>
      </c>
      <c r="BA100" s="198" t="str">
        <f t="shared" si="153"/>
        <v>#REF!</v>
      </c>
      <c r="BB100" s="198" t="str">
        <f t="shared" si="153"/>
        <v>#REF!</v>
      </c>
      <c r="BC100" s="198" t="str">
        <f t="shared" ref="BC100:BJ100" si="154">IF(AM100-AU100&lt;0, "No", "Yes")</f>
        <v>#VALUE!</v>
      </c>
      <c r="BD100" s="198" t="str">
        <f t="shared" si="154"/>
        <v>#VALUE!</v>
      </c>
      <c r="BE100" s="198" t="str">
        <f t="shared" si="154"/>
        <v>#VALUE!</v>
      </c>
      <c r="BF100" s="198" t="str">
        <f t="shared" si="154"/>
        <v>#VALUE!</v>
      </c>
      <c r="BG100" s="198" t="str">
        <f t="shared" si="154"/>
        <v>#VALUE!</v>
      </c>
      <c r="BH100" s="198" t="str">
        <f t="shared" si="154"/>
        <v>#VALUE!</v>
      </c>
      <c r="BI100" s="198" t="str">
        <f t="shared" si="154"/>
        <v>#VALUE!</v>
      </c>
      <c r="BJ100" s="198" t="str">
        <f t="shared" si="154"/>
        <v>#VALUE!</v>
      </c>
      <c r="BK100" s="198"/>
    </row>
    <row r="101" ht="15.7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27">
        <f t="shared" ref="W101:AD101" si="155">$O88*$G$5*W$91</f>
        <v>0</v>
      </c>
      <c r="X101" s="27">
        <f t="shared" si="155"/>
        <v>0</v>
      </c>
      <c r="Y101" s="27">
        <f t="shared" si="155"/>
        <v>0</v>
      </c>
      <c r="Z101" s="197">
        <f t="shared" si="155"/>
        <v>0</v>
      </c>
      <c r="AA101" s="198">
        <f t="shared" si="155"/>
        <v>0</v>
      </c>
      <c r="AB101" s="198">
        <f t="shared" si="155"/>
        <v>0</v>
      </c>
      <c r="AC101" s="198">
        <f t="shared" si="155"/>
        <v>0</v>
      </c>
      <c r="AD101" s="198">
        <f t="shared" si="155"/>
        <v>0</v>
      </c>
      <c r="AE101" s="198" t="str">
        <f t="shared" ref="AE101:AL101" si="156">$I$38*AE$91</f>
        <v>#VALUE!</v>
      </c>
      <c r="AF101" s="198" t="str">
        <f t="shared" si="156"/>
        <v>#VALUE!</v>
      </c>
      <c r="AG101" s="198" t="str">
        <f t="shared" si="156"/>
        <v>#VALUE!</v>
      </c>
      <c r="AH101" s="198" t="str">
        <f t="shared" si="156"/>
        <v>#VALUE!</v>
      </c>
      <c r="AI101" s="198" t="str">
        <f t="shared" si="156"/>
        <v>#VALUE!</v>
      </c>
      <c r="AJ101" s="198" t="str">
        <f t="shared" si="156"/>
        <v>#VALUE!</v>
      </c>
      <c r="AK101" s="198" t="str">
        <f t="shared" si="156"/>
        <v>#VALUE!</v>
      </c>
      <c r="AL101" s="198" t="str">
        <f t="shared" si="156"/>
        <v>#VALUE!</v>
      </c>
      <c r="AM101" s="198" t="str">
        <f t="shared" ref="AM101:AT101" si="157">W101-AE101</f>
        <v>#VALUE!</v>
      </c>
      <c r="AN101" s="198" t="str">
        <f t="shared" si="157"/>
        <v>#VALUE!</v>
      </c>
      <c r="AO101" s="198" t="str">
        <f t="shared" si="157"/>
        <v>#VALUE!</v>
      </c>
      <c r="AP101" s="198" t="str">
        <f t="shared" si="157"/>
        <v>#VALUE!</v>
      </c>
      <c r="AQ101" s="198" t="str">
        <f t="shared" si="157"/>
        <v>#VALUE!</v>
      </c>
      <c r="AR101" s="198" t="str">
        <f t="shared" si="157"/>
        <v>#VALUE!</v>
      </c>
      <c r="AS101" s="198" t="str">
        <f t="shared" si="157"/>
        <v>#VALUE!</v>
      </c>
      <c r="AT101" s="198" t="str">
        <f t="shared" si="157"/>
        <v>#VALUE!</v>
      </c>
      <c r="AU101" s="198" t="str">
        <f t="shared" ref="AU101:BB101" si="158">($M$10*$AV$89)-(#REF!*AU$91)</f>
        <v>#REF!</v>
      </c>
      <c r="AV101" s="198" t="str">
        <f t="shared" si="158"/>
        <v>#REF!</v>
      </c>
      <c r="AW101" s="198" t="str">
        <f t="shared" si="158"/>
        <v>#REF!</v>
      </c>
      <c r="AX101" s="198" t="str">
        <f t="shared" si="158"/>
        <v>#REF!</v>
      </c>
      <c r="AY101" s="198" t="str">
        <f t="shared" si="158"/>
        <v>#REF!</v>
      </c>
      <c r="AZ101" s="198" t="str">
        <f t="shared" si="158"/>
        <v>#REF!</v>
      </c>
      <c r="BA101" s="198" t="str">
        <f t="shared" si="158"/>
        <v>#REF!</v>
      </c>
      <c r="BB101" s="198" t="str">
        <f t="shared" si="158"/>
        <v>#REF!</v>
      </c>
      <c r="BC101" s="198" t="str">
        <f t="shared" ref="BC101:BJ101" si="159">IF(AM101-AU101&lt;0, "No", "Yes")</f>
        <v>#VALUE!</v>
      </c>
      <c r="BD101" s="198" t="str">
        <f t="shared" si="159"/>
        <v>#VALUE!</v>
      </c>
      <c r="BE101" s="198" t="str">
        <f t="shared" si="159"/>
        <v>#VALUE!</v>
      </c>
      <c r="BF101" s="198" t="str">
        <f t="shared" si="159"/>
        <v>#VALUE!</v>
      </c>
      <c r="BG101" s="198" t="str">
        <f t="shared" si="159"/>
        <v>#VALUE!</v>
      </c>
      <c r="BH101" s="198" t="str">
        <f t="shared" si="159"/>
        <v>#VALUE!</v>
      </c>
      <c r="BI101" s="198" t="str">
        <f t="shared" si="159"/>
        <v>#VALUE!</v>
      </c>
      <c r="BJ101" s="198" t="str">
        <f t="shared" si="159"/>
        <v>#VALUE!</v>
      </c>
      <c r="BK101" s="198"/>
    </row>
    <row r="102" ht="15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27">
        <f t="shared" ref="W102:AD102" si="160">$O89*$G$5*W$91</f>
        <v>0</v>
      </c>
      <c r="X102" s="27">
        <f t="shared" si="160"/>
        <v>0</v>
      </c>
      <c r="Y102" s="27">
        <f t="shared" si="160"/>
        <v>0</v>
      </c>
      <c r="Z102" s="197">
        <f t="shared" si="160"/>
        <v>0</v>
      </c>
      <c r="AA102" s="198">
        <f t="shared" si="160"/>
        <v>0</v>
      </c>
      <c r="AB102" s="198">
        <f t="shared" si="160"/>
        <v>0</v>
      </c>
      <c r="AC102" s="198">
        <f t="shared" si="160"/>
        <v>0</v>
      </c>
      <c r="AD102" s="198">
        <f t="shared" si="160"/>
        <v>0</v>
      </c>
      <c r="AE102" s="198" t="str">
        <f t="shared" ref="AE102:AL102" si="161">$I$38*AE$91</f>
        <v>#VALUE!</v>
      </c>
      <c r="AF102" s="198" t="str">
        <f t="shared" si="161"/>
        <v>#VALUE!</v>
      </c>
      <c r="AG102" s="198" t="str">
        <f t="shared" si="161"/>
        <v>#VALUE!</v>
      </c>
      <c r="AH102" s="198" t="str">
        <f t="shared" si="161"/>
        <v>#VALUE!</v>
      </c>
      <c r="AI102" s="198" t="str">
        <f t="shared" si="161"/>
        <v>#VALUE!</v>
      </c>
      <c r="AJ102" s="198" t="str">
        <f t="shared" si="161"/>
        <v>#VALUE!</v>
      </c>
      <c r="AK102" s="198" t="str">
        <f t="shared" si="161"/>
        <v>#VALUE!</v>
      </c>
      <c r="AL102" s="198" t="str">
        <f t="shared" si="161"/>
        <v>#VALUE!</v>
      </c>
      <c r="AM102" s="198" t="str">
        <f t="shared" ref="AM102:AT102" si="162">W102-AE102</f>
        <v>#VALUE!</v>
      </c>
      <c r="AN102" s="198" t="str">
        <f t="shared" si="162"/>
        <v>#VALUE!</v>
      </c>
      <c r="AO102" s="198" t="str">
        <f t="shared" si="162"/>
        <v>#VALUE!</v>
      </c>
      <c r="AP102" s="198" t="str">
        <f t="shared" si="162"/>
        <v>#VALUE!</v>
      </c>
      <c r="AQ102" s="198" t="str">
        <f t="shared" si="162"/>
        <v>#VALUE!</v>
      </c>
      <c r="AR102" s="198" t="str">
        <f t="shared" si="162"/>
        <v>#VALUE!</v>
      </c>
      <c r="AS102" s="198" t="str">
        <f t="shared" si="162"/>
        <v>#VALUE!</v>
      </c>
      <c r="AT102" s="198" t="str">
        <f t="shared" si="162"/>
        <v>#VALUE!</v>
      </c>
      <c r="AU102" s="198" t="str">
        <f t="shared" ref="AU102:BB102" si="163">($M$10*$AV$89)-(#REF!*AU$91)</f>
        <v>#REF!</v>
      </c>
      <c r="AV102" s="198" t="str">
        <f t="shared" si="163"/>
        <v>#REF!</v>
      </c>
      <c r="AW102" s="198" t="str">
        <f t="shared" si="163"/>
        <v>#REF!</v>
      </c>
      <c r="AX102" s="198" t="str">
        <f t="shared" si="163"/>
        <v>#REF!</v>
      </c>
      <c r="AY102" s="198" t="str">
        <f t="shared" si="163"/>
        <v>#REF!</v>
      </c>
      <c r="AZ102" s="198" t="str">
        <f t="shared" si="163"/>
        <v>#REF!</v>
      </c>
      <c r="BA102" s="198" t="str">
        <f t="shared" si="163"/>
        <v>#REF!</v>
      </c>
      <c r="BB102" s="198" t="str">
        <f t="shared" si="163"/>
        <v>#REF!</v>
      </c>
      <c r="BC102" s="198" t="str">
        <f t="shared" ref="BC102:BJ102" si="164">IF(AM102-AU102&lt;0, "No", "Yes")</f>
        <v>#VALUE!</v>
      </c>
      <c r="BD102" s="198" t="str">
        <f t="shared" si="164"/>
        <v>#VALUE!</v>
      </c>
      <c r="BE102" s="198" t="str">
        <f t="shared" si="164"/>
        <v>#VALUE!</v>
      </c>
      <c r="BF102" s="198" t="str">
        <f t="shared" si="164"/>
        <v>#VALUE!</v>
      </c>
      <c r="BG102" s="198" t="str">
        <f t="shared" si="164"/>
        <v>#VALUE!</v>
      </c>
      <c r="BH102" s="198" t="str">
        <f t="shared" si="164"/>
        <v>#VALUE!</v>
      </c>
      <c r="BI102" s="198" t="str">
        <f t="shared" si="164"/>
        <v>#VALUE!</v>
      </c>
      <c r="BJ102" s="198" t="str">
        <f t="shared" si="164"/>
        <v>#VALUE!</v>
      </c>
      <c r="BK102" s="198"/>
    </row>
    <row r="103" ht="15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27">
        <f t="shared" ref="W103:AD103" si="165">$O90*$G$5*W$91</f>
        <v>0</v>
      </c>
      <c r="X103" s="27">
        <f t="shared" si="165"/>
        <v>0</v>
      </c>
      <c r="Y103" s="27">
        <f t="shared" si="165"/>
        <v>0</v>
      </c>
      <c r="Z103" s="197">
        <f t="shared" si="165"/>
        <v>0</v>
      </c>
      <c r="AA103" s="198">
        <f t="shared" si="165"/>
        <v>0</v>
      </c>
      <c r="AB103" s="198">
        <f t="shared" si="165"/>
        <v>0</v>
      </c>
      <c r="AC103" s="198">
        <f t="shared" si="165"/>
        <v>0</v>
      </c>
      <c r="AD103" s="198">
        <f t="shared" si="165"/>
        <v>0</v>
      </c>
      <c r="AE103" s="198" t="str">
        <f t="shared" ref="AE103:AL103" si="166">$I$38*AE$91</f>
        <v>#VALUE!</v>
      </c>
      <c r="AF103" s="198" t="str">
        <f t="shared" si="166"/>
        <v>#VALUE!</v>
      </c>
      <c r="AG103" s="198" t="str">
        <f t="shared" si="166"/>
        <v>#VALUE!</v>
      </c>
      <c r="AH103" s="198" t="str">
        <f t="shared" si="166"/>
        <v>#VALUE!</v>
      </c>
      <c r="AI103" s="198" t="str">
        <f t="shared" si="166"/>
        <v>#VALUE!</v>
      </c>
      <c r="AJ103" s="198" t="str">
        <f t="shared" si="166"/>
        <v>#VALUE!</v>
      </c>
      <c r="AK103" s="198" t="str">
        <f t="shared" si="166"/>
        <v>#VALUE!</v>
      </c>
      <c r="AL103" s="198" t="str">
        <f t="shared" si="166"/>
        <v>#VALUE!</v>
      </c>
      <c r="AM103" s="198" t="str">
        <f t="shared" ref="AM103:AT103" si="167">W103-AE103</f>
        <v>#VALUE!</v>
      </c>
      <c r="AN103" s="198" t="str">
        <f t="shared" si="167"/>
        <v>#VALUE!</v>
      </c>
      <c r="AO103" s="198" t="str">
        <f t="shared" si="167"/>
        <v>#VALUE!</v>
      </c>
      <c r="AP103" s="198" t="str">
        <f t="shared" si="167"/>
        <v>#VALUE!</v>
      </c>
      <c r="AQ103" s="198" t="str">
        <f t="shared" si="167"/>
        <v>#VALUE!</v>
      </c>
      <c r="AR103" s="198" t="str">
        <f t="shared" si="167"/>
        <v>#VALUE!</v>
      </c>
      <c r="AS103" s="198" t="str">
        <f t="shared" si="167"/>
        <v>#VALUE!</v>
      </c>
      <c r="AT103" s="198" t="str">
        <f t="shared" si="167"/>
        <v>#VALUE!</v>
      </c>
      <c r="AU103" s="198" t="str">
        <f t="shared" ref="AU103:BB103" si="168">($M$10*$AV$89)-(#REF!*AU$91)</f>
        <v>#REF!</v>
      </c>
      <c r="AV103" s="198" t="str">
        <f t="shared" si="168"/>
        <v>#REF!</v>
      </c>
      <c r="AW103" s="198" t="str">
        <f t="shared" si="168"/>
        <v>#REF!</v>
      </c>
      <c r="AX103" s="198" t="str">
        <f t="shared" si="168"/>
        <v>#REF!</v>
      </c>
      <c r="AY103" s="198" t="str">
        <f t="shared" si="168"/>
        <v>#REF!</v>
      </c>
      <c r="AZ103" s="198" t="str">
        <f t="shared" si="168"/>
        <v>#REF!</v>
      </c>
      <c r="BA103" s="198" t="str">
        <f t="shared" si="168"/>
        <v>#REF!</v>
      </c>
      <c r="BB103" s="198" t="str">
        <f t="shared" si="168"/>
        <v>#REF!</v>
      </c>
      <c r="BC103" s="198" t="str">
        <f t="shared" ref="BC103:BJ103" si="169">IF(AM103-AU103&lt;0, "No", "Yes")</f>
        <v>#VALUE!</v>
      </c>
      <c r="BD103" s="198" t="str">
        <f t="shared" si="169"/>
        <v>#VALUE!</v>
      </c>
      <c r="BE103" s="198" t="str">
        <f t="shared" si="169"/>
        <v>#VALUE!</v>
      </c>
      <c r="BF103" s="198" t="str">
        <f t="shared" si="169"/>
        <v>#VALUE!</v>
      </c>
      <c r="BG103" s="198" t="str">
        <f t="shared" si="169"/>
        <v>#VALUE!</v>
      </c>
      <c r="BH103" s="198" t="str">
        <f t="shared" si="169"/>
        <v>#VALUE!</v>
      </c>
      <c r="BI103" s="198" t="str">
        <f t="shared" si="169"/>
        <v>#VALUE!</v>
      </c>
      <c r="BJ103" s="198" t="str">
        <f t="shared" si="169"/>
        <v>#VALUE!</v>
      </c>
      <c r="BK103" s="198"/>
    </row>
    <row r="104" ht="15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27">
        <f t="shared" ref="W104:AD104" si="170">$O91*$G$5*W$91</f>
        <v>0</v>
      </c>
      <c r="X104" s="27">
        <f t="shared" si="170"/>
        <v>0</v>
      </c>
      <c r="Y104" s="27">
        <f t="shared" si="170"/>
        <v>0</v>
      </c>
      <c r="Z104" s="197">
        <f t="shared" si="170"/>
        <v>0</v>
      </c>
      <c r="AA104" s="198">
        <f t="shared" si="170"/>
        <v>0</v>
      </c>
      <c r="AB104" s="198">
        <f t="shared" si="170"/>
        <v>0</v>
      </c>
      <c r="AC104" s="198">
        <f t="shared" si="170"/>
        <v>0</v>
      </c>
      <c r="AD104" s="198">
        <f t="shared" si="170"/>
        <v>0</v>
      </c>
      <c r="AE104" s="198" t="str">
        <f t="shared" ref="AE104:AL104" si="171">$I$38*AE$91</f>
        <v>#VALUE!</v>
      </c>
      <c r="AF104" s="198" t="str">
        <f t="shared" si="171"/>
        <v>#VALUE!</v>
      </c>
      <c r="AG104" s="198" t="str">
        <f t="shared" si="171"/>
        <v>#VALUE!</v>
      </c>
      <c r="AH104" s="198" t="str">
        <f t="shared" si="171"/>
        <v>#VALUE!</v>
      </c>
      <c r="AI104" s="198" t="str">
        <f t="shared" si="171"/>
        <v>#VALUE!</v>
      </c>
      <c r="AJ104" s="198" t="str">
        <f t="shared" si="171"/>
        <v>#VALUE!</v>
      </c>
      <c r="AK104" s="198" t="str">
        <f t="shared" si="171"/>
        <v>#VALUE!</v>
      </c>
      <c r="AL104" s="198" t="str">
        <f t="shared" si="171"/>
        <v>#VALUE!</v>
      </c>
      <c r="AM104" s="198" t="str">
        <f t="shared" ref="AM104:AT104" si="172">W104-AE104</f>
        <v>#VALUE!</v>
      </c>
      <c r="AN104" s="198" t="str">
        <f t="shared" si="172"/>
        <v>#VALUE!</v>
      </c>
      <c r="AO104" s="198" t="str">
        <f t="shared" si="172"/>
        <v>#VALUE!</v>
      </c>
      <c r="AP104" s="198" t="str">
        <f t="shared" si="172"/>
        <v>#VALUE!</v>
      </c>
      <c r="AQ104" s="198" t="str">
        <f t="shared" si="172"/>
        <v>#VALUE!</v>
      </c>
      <c r="AR104" s="198" t="str">
        <f t="shared" si="172"/>
        <v>#VALUE!</v>
      </c>
      <c r="AS104" s="198" t="str">
        <f t="shared" si="172"/>
        <v>#VALUE!</v>
      </c>
      <c r="AT104" s="198" t="str">
        <f t="shared" si="172"/>
        <v>#VALUE!</v>
      </c>
      <c r="AU104" s="198" t="str">
        <f t="shared" ref="AU104:BB104" si="173">($M$10*$AV$89)-(#REF!*AU$91)</f>
        <v>#REF!</v>
      </c>
      <c r="AV104" s="198" t="str">
        <f t="shared" si="173"/>
        <v>#REF!</v>
      </c>
      <c r="AW104" s="198" t="str">
        <f t="shared" si="173"/>
        <v>#REF!</v>
      </c>
      <c r="AX104" s="198" t="str">
        <f t="shared" si="173"/>
        <v>#REF!</v>
      </c>
      <c r="AY104" s="198" t="str">
        <f t="shared" si="173"/>
        <v>#REF!</v>
      </c>
      <c r="AZ104" s="198" t="str">
        <f t="shared" si="173"/>
        <v>#REF!</v>
      </c>
      <c r="BA104" s="198" t="str">
        <f t="shared" si="173"/>
        <v>#REF!</v>
      </c>
      <c r="BB104" s="198" t="str">
        <f t="shared" si="173"/>
        <v>#REF!</v>
      </c>
      <c r="BC104" s="198" t="str">
        <f t="shared" ref="BC104:BJ104" si="174">IF(AM104-AU104&lt;0, "No", "Yes")</f>
        <v>#VALUE!</v>
      </c>
      <c r="BD104" s="198" t="str">
        <f t="shared" si="174"/>
        <v>#VALUE!</v>
      </c>
      <c r="BE104" s="198" t="str">
        <f t="shared" si="174"/>
        <v>#VALUE!</v>
      </c>
      <c r="BF104" s="198" t="str">
        <f t="shared" si="174"/>
        <v>#VALUE!</v>
      </c>
      <c r="BG104" s="198" t="str">
        <f t="shared" si="174"/>
        <v>#VALUE!</v>
      </c>
      <c r="BH104" s="198" t="str">
        <f t="shared" si="174"/>
        <v>#VALUE!</v>
      </c>
      <c r="BI104" s="198" t="str">
        <f t="shared" si="174"/>
        <v>#VALUE!</v>
      </c>
      <c r="BJ104" s="198" t="str">
        <f t="shared" si="174"/>
        <v>#VALUE!</v>
      </c>
      <c r="BK104" s="198"/>
    </row>
    <row r="105" ht="15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27">
        <f t="shared" ref="W105:AD105" si="175">$O92*$G$5*W$91</f>
        <v>0</v>
      </c>
      <c r="X105" s="27">
        <f t="shared" si="175"/>
        <v>0</v>
      </c>
      <c r="Y105" s="27">
        <f t="shared" si="175"/>
        <v>0</v>
      </c>
      <c r="Z105" s="197">
        <f t="shared" si="175"/>
        <v>0</v>
      </c>
      <c r="AA105" s="198">
        <f t="shared" si="175"/>
        <v>0</v>
      </c>
      <c r="AB105" s="198">
        <f t="shared" si="175"/>
        <v>0</v>
      </c>
      <c r="AC105" s="198">
        <f t="shared" si="175"/>
        <v>0</v>
      </c>
      <c r="AD105" s="198">
        <f t="shared" si="175"/>
        <v>0</v>
      </c>
      <c r="AE105" s="198" t="str">
        <f t="shared" ref="AE105:AL105" si="176">$I$38*AE$91</f>
        <v>#VALUE!</v>
      </c>
      <c r="AF105" s="198" t="str">
        <f t="shared" si="176"/>
        <v>#VALUE!</v>
      </c>
      <c r="AG105" s="198" t="str">
        <f t="shared" si="176"/>
        <v>#VALUE!</v>
      </c>
      <c r="AH105" s="198" t="str">
        <f t="shared" si="176"/>
        <v>#VALUE!</v>
      </c>
      <c r="AI105" s="198" t="str">
        <f t="shared" si="176"/>
        <v>#VALUE!</v>
      </c>
      <c r="AJ105" s="198" t="str">
        <f t="shared" si="176"/>
        <v>#VALUE!</v>
      </c>
      <c r="AK105" s="198" t="str">
        <f t="shared" si="176"/>
        <v>#VALUE!</v>
      </c>
      <c r="AL105" s="198" t="str">
        <f t="shared" si="176"/>
        <v>#VALUE!</v>
      </c>
      <c r="AM105" s="198" t="str">
        <f t="shared" ref="AM105:AT105" si="177">W105-AE105</f>
        <v>#VALUE!</v>
      </c>
      <c r="AN105" s="198" t="str">
        <f t="shared" si="177"/>
        <v>#VALUE!</v>
      </c>
      <c r="AO105" s="198" t="str">
        <f t="shared" si="177"/>
        <v>#VALUE!</v>
      </c>
      <c r="AP105" s="198" t="str">
        <f t="shared" si="177"/>
        <v>#VALUE!</v>
      </c>
      <c r="AQ105" s="198" t="str">
        <f t="shared" si="177"/>
        <v>#VALUE!</v>
      </c>
      <c r="AR105" s="198" t="str">
        <f t="shared" si="177"/>
        <v>#VALUE!</v>
      </c>
      <c r="AS105" s="198" t="str">
        <f t="shared" si="177"/>
        <v>#VALUE!</v>
      </c>
      <c r="AT105" s="198" t="str">
        <f t="shared" si="177"/>
        <v>#VALUE!</v>
      </c>
      <c r="AU105" s="198" t="str">
        <f t="shared" ref="AU105:BB105" si="178">($M$10*$AV$89)-(#REF!*AU$91)</f>
        <v>#REF!</v>
      </c>
      <c r="AV105" s="198" t="str">
        <f t="shared" si="178"/>
        <v>#REF!</v>
      </c>
      <c r="AW105" s="198" t="str">
        <f t="shared" si="178"/>
        <v>#REF!</v>
      </c>
      <c r="AX105" s="198" t="str">
        <f t="shared" si="178"/>
        <v>#REF!</v>
      </c>
      <c r="AY105" s="198" t="str">
        <f t="shared" si="178"/>
        <v>#REF!</v>
      </c>
      <c r="AZ105" s="198" t="str">
        <f t="shared" si="178"/>
        <v>#REF!</v>
      </c>
      <c r="BA105" s="198" t="str">
        <f t="shared" si="178"/>
        <v>#REF!</v>
      </c>
      <c r="BB105" s="198" t="str">
        <f t="shared" si="178"/>
        <v>#REF!</v>
      </c>
      <c r="BC105" s="198" t="str">
        <f t="shared" ref="BC105:BJ105" si="179">IF(AM105-AU105&lt;0, "No", "Yes")</f>
        <v>#VALUE!</v>
      </c>
      <c r="BD105" s="198" t="str">
        <f t="shared" si="179"/>
        <v>#VALUE!</v>
      </c>
      <c r="BE105" s="198" t="str">
        <f t="shared" si="179"/>
        <v>#VALUE!</v>
      </c>
      <c r="BF105" s="198" t="str">
        <f t="shared" si="179"/>
        <v>#VALUE!</v>
      </c>
      <c r="BG105" s="198" t="str">
        <f t="shared" si="179"/>
        <v>#VALUE!</v>
      </c>
      <c r="BH105" s="198" t="str">
        <f t="shared" si="179"/>
        <v>#VALUE!</v>
      </c>
      <c r="BI105" s="198" t="str">
        <f t="shared" si="179"/>
        <v>#VALUE!</v>
      </c>
      <c r="BJ105" s="198" t="str">
        <f t="shared" si="179"/>
        <v>#VALUE!</v>
      </c>
      <c r="BK105" s="198"/>
    </row>
    <row r="106" ht="15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27">
        <f t="shared" ref="W106:AD106" si="180">$O93*$G$5*W$91</f>
        <v>0</v>
      </c>
      <c r="X106" s="27">
        <f t="shared" si="180"/>
        <v>0</v>
      </c>
      <c r="Y106" s="27">
        <f t="shared" si="180"/>
        <v>0</v>
      </c>
      <c r="Z106" s="197">
        <f t="shared" si="180"/>
        <v>0</v>
      </c>
      <c r="AA106" s="198">
        <f t="shared" si="180"/>
        <v>0</v>
      </c>
      <c r="AB106" s="198">
        <f t="shared" si="180"/>
        <v>0</v>
      </c>
      <c r="AC106" s="198">
        <f t="shared" si="180"/>
        <v>0</v>
      </c>
      <c r="AD106" s="198">
        <f t="shared" si="180"/>
        <v>0</v>
      </c>
      <c r="AE106" s="198" t="str">
        <f t="shared" ref="AE106:AL106" si="181">$I$38*AE$91</f>
        <v>#VALUE!</v>
      </c>
      <c r="AF106" s="198" t="str">
        <f t="shared" si="181"/>
        <v>#VALUE!</v>
      </c>
      <c r="AG106" s="198" t="str">
        <f t="shared" si="181"/>
        <v>#VALUE!</v>
      </c>
      <c r="AH106" s="198" t="str">
        <f t="shared" si="181"/>
        <v>#VALUE!</v>
      </c>
      <c r="AI106" s="198" t="str">
        <f t="shared" si="181"/>
        <v>#VALUE!</v>
      </c>
      <c r="AJ106" s="198" t="str">
        <f t="shared" si="181"/>
        <v>#VALUE!</v>
      </c>
      <c r="AK106" s="198" t="str">
        <f t="shared" si="181"/>
        <v>#VALUE!</v>
      </c>
      <c r="AL106" s="198" t="str">
        <f t="shared" si="181"/>
        <v>#VALUE!</v>
      </c>
      <c r="AM106" s="198" t="str">
        <f t="shared" ref="AM106:AT106" si="182">W106-AE106</f>
        <v>#VALUE!</v>
      </c>
      <c r="AN106" s="198" t="str">
        <f t="shared" si="182"/>
        <v>#VALUE!</v>
      </c>
      <c r="AO106" s="198" t="str">
        <f t="shared" si="182"/>
        <v>#VALUE!</v>
      </c>
      <c r="AP106" s="198" t="str">
        <f t="shared" si="182"/>
        <v>#VALUE!</v>
      </c>
      <c r="AQ106" s="198" t="str">
        <f t="shared" si="182"/>
        <v>#VALUE!</v>
      </c>
      <c r="AR106" s="198" t="str">
        <f t="shared" si="182"/>
        <v>#VALUE!</v>
      </c>
      <c r="AS106" s="198" t="str">
        <f t="shared" si="182"/>
        <v>#VALUE!</v>
      </c>
      <c r="AT106" s="198" t="str">
        <f t="shared" si="182"/>
        <v>#VALUE!</v>
      </c>
      <c r="AU106" s="198" t="str">
        <f t="shared" ref="AU106:BB106" si="183">($M$10*$AV$89)-(#REF!*AU$91)</f>
        <v>#REF!</v>
      </c>
      <c r="AV106" s="198" t="str">
        <f t="shared" si="183"/>
        <v>#REF!</v>
      </c>
      <c r="AW106" s="198" t="str">
        <f t="shared" si="183"/>
        <v>#REF!</v>
      </c>
      <c r="AX106" s="198" t="str">
        <f t="shared" si="183"/>
        <v>#REF!</v>
      </c>
      <c r="AY106" s="198" t="str">
        <f t="shared" si="183"/>
        <v>#REF!</v>
      </c>
      <c r="AZ106" s="198" t="str">
        <f t="shared" si="183"/>
        <v>#REF!</v>
      </c>
      <c r="BA106" s="198" t="str">
        <f t="shared" si="183"/>
        <v>#REF!</v>
      </c>
      <c r="BB106" s="198" t="str">
        <f t="shared" si="183"/>
        <v>#REF!</v>
      </c>
      <c r="BC106" s="198" t="str">
        <f t="shared" ref="BC106:BJ106" si="184">IF(AM106-AU106&lt;0, "No", "Yes")</f>
        <v>#VALUE!</v>
      </c>
      <c r="BD106" s="198" t="str">
        <f t="shared" si="184"/>
        <v>#VALUE!</v>
      </c>
      <c r="BE106" s="198" t="str">
        <f t="shared" si="184"/>
        <v>#VALUE!</v>
      </c>
      <c r="BF106" s="198" t="str">
        <f t="shared" si="184"/>
        <v>#VALUE!</v>
      </c>
      <c r="BG106" s="198" t="str">
        <f t="shared" si="184"/>
        <v>#VALUE!</v>
      </c>
      <c r="BH106" s="198" t="str">
        <f t="shared" si="184"/>
        <v>#VALUE!</v>
      </c>
      <c r="BI106" s="198" t="str">
        <f t="shared" si="184"/>
        <v>#VALUE!</v>
      </c>
      <c r="BJ106" s="198" t="str">
        <f t="shared" si="184"/>
        <v>#VALUE!</v>
      </c>
      <c r="BK106" s="198"/>
    </row>
    <row r="107" ht="15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27">
        <f t="shared" ref="W107:AD107" si="185">$O94*$G$5*W$91</f>
        <v>0</v>
      </c>
      <c r="X107" s="27">
        <f t="shared" si="185"/>
        <v>0</v>
      </c>
      <c r="Y107" s="27">
        <f t="shared" si="185"/>
        <v>0</v>
      </c>
      <c r="Z107" s="197">
        <f t="shared" si="185"/>
        <v>0</v>
      </c>
      <c r="AA107" s="198">
        <f t="shared" si="185"/>
        <v>0</v>
      </c>
      <c r="AB107" s="198">
        <f t="shared" si="185"/>
        <v>0</v>
      </c>
      <c r="AC107" s="198">
        <f t="shared" si="185"/>
        <v>0</v>
      </c>
      <c r="AD107" s="198">
        <f t="shared" si="185"/>
        <v>0</v>
      </c>
      <c r="AE107" s="198" t="str">
        <f t="shared" ref="AE107:AL107" si="186">$I$38*AE$91</f>
        <v>#VALUE!</v>
      </c>
      <c r="AF107" s="198" t="str">
        <f t="shared" si="186"/>
        <v>#VALUE!</v>
      </c>
      <c r="AG107" s="198" t="str">
        <f t="shared" si="186"/>
        <v>#VALUE!</v>
      </c>
      <c r="AH107" s="198" t="str">
        <f t="shared" si="186"/>
        <v>#VALUE!</v>
      </c>
      <c r="AI107" s="198" t="str">
        <f t="shared" si="186"/>
        <v>#VALUE!</v>
      </c>
      <c r="AJ107" s="198" t="str">
        <f t="shared" si="186"/>
        <v>#VALUE!</v>
      </c>
      <c r="AK107" s="198" t="str">
        <f t="shared" si="186"/>
        <v>#VALUE!</v>
      </c>
      <c r="AL107" s="198" t="str">
        <f t="shared" si="186"/>
        <v>#VALUE!</v>
      </c>
      <c r="AM107" s="198" t="str">
        <f t="shared" ref="AM107:AT107" si="187">W107-AE107</f>
        <v>#VALUE!</v>
      </c>
      <c r="AN107" s="198" t="str">
        <f t="shared" si="187"/>
        <v>#VALUE!</v>
      </c>
      <c r="AO107" s="198" t="str">
        <f t="shared" si="187"/>
        <v>#VALUE!</v>
      </c>
      <c r="AP107" s="198" t="str">
        <f t="shared" si="187"/>
        <v>#VALUE!</v>
      </c>
      <c r="AQ107" s="198" t="str">
        <f t="shared" si="187"/>
        <v>#VALUE!</v>
      </c>
      <c r="AR107" s="198" t="str">
        <f t="shared" si="187"/>
        <v>#VALUE!</v>
      </c>
      <c r="AS107" s="198" t="str">
        <f t="shared" si="187"/>
        <v>#VALUE!</v>
      </c>
      <c r="AT107" s="198" t="str">
        <f t="shared" si="187"/>
        <v>#VALUE!</v>
      </c>
      <c r="AU107" s="198" t="str">
        <f t="shared" ref="AU107:BB107" si="188">($M$10*$AV$89)-(#REF!*AU$91)</f>
        <v>#REF!</v>
      </c>
      <c r="AV107" s="198" t="str">
        <f t="shared" si="188"/>
        <v>#REF!</v>
      </c>
      <c r="AW107" s="198" t="str">
        <f t="shared" si="188"/>
        <v>#REF!</v>
      </c>
      <c r="AX107" s="198" t="str">
        <f t="shared" si="188"/>
        <v>#REF!</v>
      </c>
      <c r="AY107" s="198" t="str">
        <f t="shared" si="188"/>
        <v>#REF!</v>
      </c>
      <c r="AZ107" s="198" t="str">
        <f t="shared" si="188"/>
        <v>#REF!</v>
      </c>
      <c r="BA107" s="198" t="str">
        <f t="shared" si="188"/>
        <v>#REF!</v>
      </c>
      <c r="BB107" s="198" t="str">
        <f t="shared" si="188"/>
        <v>#REF!</v>
      </c>
      <c r="BC107" s="198" t="str">
        <f t="shared" ref="BC107:BJ107" si="189">IF(AM107-AU107&lt;0, "No", "Yes")</f>
        <v>#VALUE!</v>
      </c>
      <c r="BD107" s="198" t="str">
        <f t="shared" si="189"/>
        <v>#VALUE!</v>
      </c>
      <c r="BE107" s="198" t="str">
        <f t="shared" si="189"/>
        <v>#VALUE!</v>
      </c>
      <c r="BF107" s="198" t="str">
        <f t="shared" si="189"/>
        <v>#VALUE!</v>
      </c>
      <c r="BG107" s="198" t="str">
        <f t="shared" si="189"/>
        <v>#VALUE!</v>
      </c>
      <c r="BH107" s="198" t="str">
        <f t="shared" si="189"/>
        <v>#VALUE!</v>
      </c>
      <c r="BI107" s="198" t="str">
        <f t="shared" si="189"/>
        <v>#VALUE!</v>
      </c>
      <c r="BJ107" s="198" t="str">
        <f t="shared" si="189"/>
        <v>#VALUE!</v>
      </c>
      <c r="BK107" s="198"/>
    </row>
    <row r="108" ht="15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27">
        <f t="shared" ref="W108:AD108" si="190">$O95*$G$5*W$91</f>
        <v>0</v>
      </c>
      <c r="X108" s="27">
        <f t="shared" si="190"/>
        <v>0</v>
      </c>
      <c r="Y108" s="27">
        <f t="shared" si="190"/>
        <v>0</v>
      </c>
      <c r="Z108" s="197">
        <f t="shared" si="190"/>
        <v>0</v>
      </c>
      <c r="AA108" s="198">
        <f t="shared" si="190"/>
        <v>0</v>
      </c>
      <c r="AB108" s="198">
        <f t="shared" si="190"/>
        <v>0</v>
      </c>
      <c r="AC108" s="198">
        <f t="shared" si="190"/>
        <v>0</v>
      </c>
      <c r="AD108" s="198">
        <f t="shared" si="190"/>
        <v>0</v>
      </c>
      <c r="AE108" s="198" t="str">
        <f t="shared" ref="AE108:AL108" si="191">$I$38*AE$91</f>
        <v>#VALUE!</v>
      </c>
      <c r="AF108" s="198" t="str">
        <f t="shared" si="191"/>
        <v>#VALUE!</v>
      </c>
      <c r="AG108" s="198" t="str">
        <f t="shared" si="191"/>
        <v>#VALUE!</v>
      </c>
      <c r="AH108" s="198" t="str">
        <f t="shared" si="191"/>
        <v>#VALUE!</v>
      </c>
      <c r="AI108" s="198" t="str">
        <f t="shared" si="191"/>
        <v>#VALUE!</v>
      </c>
      <c r="AJ108" s="198" t="str">
        <f t="shared" si="191"/>
        <v>#VALUE!</v>
      </c>
      <c r="AK108" s="198" t="str">
        <f t="shared" si="191"/>
        <v>#VALUE!</v>
      </c>
      <c r="AL108" s="198" t="str">
        <f t="shared" si="191"/>
        <v>#VALUE!</v>
      </c>
      <c r="AM108" s="198" t="str">
        <f t="shared" ref="AM108:AT108" si="192">W108-AE108</f>
        <v>#VALUE!</v>
      </c>
      <c r="AN108" s="198" t="str">
        <f t="shared" si="192"/>
        <v>#VALUE!</v>
      </c>
      <c r="AO108" s="198" t="str">
        <f t="shared" si="192"/>
        <v>#VALUE!</v>
      </c>
      <c r="AP108" s="198" t="str">
        <f t="shared" si="192"/>
        <v>#VALUE!</v>
      </c>
      <c r="AQ108" s="198" t="str">
        <f t="shared" si="192"/>
        <v>#VALUE!</v>
      </c>
      <c r="AR108" s="198" t="str">
        <f t="shared" si="192"/>
        <v>#VALUE!</v>
      </c>
      <c r="AS108" s="198" t="str">
        <f t="shared" si="192"/>
        <v>#VALUE!</v>
      </c>
      <c r="AT108" s="198" t="str">
        <f t="shared" si="192"/>
        <v>#VALUE!</v>
      </c>
      <c r="AU108" s="198" t="str">
        <f t="shared" ref="AU108:BB108" si="193">($M$10*$AV$89)-(#REF!*AU$91)</f>
        <v>#REF!</v>
      </c>
      <c r="AV108" s="198" t="str">
        <f t="shared" si="193"/>
        <v>#REF!</v>
      </c>
      <c r="AW108" s="198" t="str">
        <f t="shared" si="193"/>
        <v>#REF!</v>
      </c>
      <c r="AX108" s="198" t="str">
        <f t="shared" si="193"/>
        <v>#REF!</v>
      </c>
      <c r="AY108" s="198" t="str">
        <f t="shared" si="193"/>
        <v>#REF!</v>
      </c>
      <c r="AZ108" s="198" t="str">
        <f t="shared" si="193"/>
        <v>#REF!</v>
      </c>
      <c r="BA108" s="198" t="str">
        <f t="shared" si="193"/>
        <v>#REF!</v>
      </c>
      <c r="BB108" s="198" t="str">
        <f t="shared" si="193"/>
        <v>#REF!</v>
      </c>
      <c r="BC108" s="198" t="str">
        <f t="shared" ref="BC108:BJ108" si="194">IF(AM108-AU108&lt;0, "No", "Yes")</f>
        <v>#VALUE!</v>
      </c>
      <c r="BD108" s="198" t="str">
        <f t="shared" si="194"/>
        <v>#VALUE!</v>
      </c>
      <c r="BE108" s="198" t="str">
        <f t="shared" si="194"/>
        <v>#VALUE!</v>
      </c>
      <c r="BF108" s="198" t="str">
        <f t="shared" si="194"/>
        <v>#VALUE!</v>
      </c>
      <c r="BG108" s="198" t="str">
        <f t="shared" si="194"/>
        <v>#VALUE!</v>
      </c>
      <c r="BH108" s="198" t="str">
        <f t="shared" si="194"/>
        <v>#VALUE!</v>
      </c>
      <c r="BI108" s="198" t="str">
        <f t="shared" si="194"/>
        <v>#VALUE!</v>
      </c>
      <c r="BJ108" s="198" t="str">
        <f t="shared" si="194"/>
        <v>#VALUE!</v>
      </c>
      <c r="BK108" s="198"/>
    </row>
    <row r="109" ht="15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27">
        <f t="shared" ref="W109:AD109" si="195">$O96*$G$5*W$91</f>
        <v>0</v>
      </c>
      <c r="X109" s="27">
        <f t="shared" si="195"/>
        <v>0</v>
      </c>
      <c r="Y109" s="27">
        <f t="shared" si="195"/>
        <v>0</v>
      </c>
      <c r="Z109" s="197">
        <f t="shared" si="195"/>
        <v>0</v>
      </c>
      <c r="AA109" s="198">
        <f t="shared" si="195"/>
        <v>0</v>
      </c>
      <c r="AB109" s="198">
        <f t="shared" si="195"/>
        <v>0</v>
      </c>
      <c r="AC109" s="198">
        <f t="shared" si="195"/>
        <v>0</v>
      </c>
      <c r="AD109" s="198">
        <f t="shared" si="195"/>
        <v>0</v>
      </c>
      <c r="AE109" s="198" t="str">
        <f t="shared" ref="AE109:AL109" si="196">$I$38*AE$91</f>
        <v>#VALUE!</v>
      </c>
      <c r="AF109" s="198" t="str">
        <f t="shared" si="196"/>
        <v>#VALUE!</v>
      </c>
      <c r="AG109" s="198" t="str">
        <f t="shared" si="196"/>
        <v>#VALUE!</v>
      </c>
      <c r="AH109" s="198" t="str">
        <f t="shared" si="196"/>
        <v>#VALUE!</v>
      </c>
      <c r="AI109" s="198" t="str">
        <f t="shared" si="196"/>
        <v>#VALUE!</v>
      </c>
      <c r="AJ109" s="198" t="str">
        <f t="shared" si="196"/>
        <v>#VALUE!</v>
      </c>
      <c r="AK109" s="198" t="str">
        <f t="shared" si="196"/>
        <v>#VALUE!</v>
      </c>
      <c r="AL109" s="198" t="str">
        <f t="shared" si="196"/>
        <v>#VALUE!</v>
      </c>
      <c r="AM109" s="198" t="str">
        <f t="shared" ref="AM109:AT109" si="197">W109-AE109</f>
        <v>#VALUE!</v>
      </c>
      <c r="AN109" s="198" t="str">
        <f t="shared" si="197"/>
        <v>#VALUE!</v>
      </c>
      <c r="AO109" s="198" t="str">
        <f t="shared" si="197"/>
        <v>#VALUE!</v>
      </c>
      <c r="AP109" s="198" t="str">
        <f t="shared" si="197"/>
        <v>#VALUE!</v>
      </c>
      <c r="AQ109" s="198" t="str">
        <f t="shared" si="197"/>
        <v>#VALUE!</v>
      </c>
      <c r="AR109" s="198" t="str">
        <f t="shared" si="197"/>
        <v>#VALUE!</v>
      </c>
      <c r="AS109" s="198" t="str">
        <f t="shared" si="197"/>
        <v>#VALUE!</v>
      </c>
      <c r="AT109" s="198" t="str">
        <f t="shared" si="197"/>
        <v>#VALUE!</v>
      </c>
      <c r="AU109" s="198" t="str">
        <f t="shared" ref="AU109:BB109" si="198">($M$10*$AV$89)-(#REF!*AU$91)</f>
        <v>#REF!</v>
      </c>
      <c r="AV109" s="198" t="str">
        <f t="shared" si="198"/>
        <v>#REF!</v>
      </c>
      <c r="AW109" s="198" t="str">
        <f t="shared" si="198"/>
        <v>#REF!</v>
      </c>
      <c r="AX109" s="198" t="str">
        <f t="shared" si="198"/>
        <v>#REF!</v>
      </c>
      <c r="AY109" s="198" t="str">
        <f t="shared" si="198"/>
        <v>#REF!</v>
      </c>
      <c r="AZ109" s="198" t="str">
        <f t="shared" si="198"/>
        <v>#REF!</v>
      </c>
      <c r="BA109" s="198" t="str">
        <f t="shared" si="198"/>
        <v>#REF!</v>
      </c>
      <c r="BB109" s="198" t="str">
        <f t="shared" si="198"/>
        <v>#REF!</v>
      </c>
      <c r="BC109" s="198" t="str">
        <f t="shared" ref="BC109:BJ109" si="199">IF(AM109-AU109&lt;0, "No", "Yes")</f>
        <v>#VALUE!</v>
      </c>
      <c r="BD109" s="198" t="str">
        <f t="shared" si="199"/>
        <v>#VALUE!</v>
      </c>
      <c r="BE109" s="198" t="str">
        <f t="shared" si="199"/>
        <v>#VALUE!</v>
      </c>
      <c r="BF109" s="198" t="str">
        <f t="shared" si="199"/>
        <v>#VALUE!</v>
      </c>
      <c r="BG109" s="198" t="str">
        <f t="shared" si="199"/>
        <v>#VALUE!</v>
      </c>
      <c r="BH109" s="198" t="str">
        <f t="shared" si="199"/>
        <v>#VALUE!</v>
      </c>
      <c r="BI109" s="198" t="str">
        <f t="shared" si="199"/>
        <v>#VALUE!</v>
      </c>
      <c r="BJ109" s="198" t="str">
        <f t="shared" si="199"/>
        <v>#VALUE!</v>
      </c>
      <c r="BK109" s="198"/>
    </row>
    <row r="110" ht="15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27">
        <f t="shared" ref="W110:AD110" si="200">$O97*$G$5*W$91</f>
        <v>0</v>
      </c>
      <c r="X110" s="27">
        <f t="shared" si="200"/>
        <v>0</v>
      </c>
      <c r="Y110" s="27">
        <f t="shared" si="200"/>
        <v>0</v>
      </c>
      <c r="Z110" s="197">
        <f t="shared" si="200"/>
        <v>0</v>
      </c>
      <c r="AA110" s="198">
        <f t="shared" si="200"/>
        <v>0</v>
      </c>
      <c r="AB110" s="198">
        <f t="shared" si="200"/>
        <v>0</v>
      </c>
      <c r="AC110" s="198">
        <f t="shared" si="200"/>
        <v>0</v>
      </c>
      <c r="AD110" s="198">
        <f t="shared" si="200"/>
        <v>0</v>
      </c>
      <c r="AE110" s="198" t="str">
        <f t="shared" ref="AE110:AL110" si="201">$I$38*AE$91</f>
        <v>#VALUE!</v>
      </c>
      <c r="AF110" s="198" t="str">
        <f t="shared" si="201"/>
        <v>#VALUE!</v>
      </c>
      <c r="AG110" s="198" t="str">
        <f t="shared" si="201"/>
        <v>#VALUE!</v>
      </c>
      <c r="AH110" s="198" t="str">
        <f t="shared" si="201"/>
        <v>#VALUE!</v>
      </c>
      <c r="AI110" s="198" t="str">
        <f t="shared" si="201"/>
        <v>#VALUE!</v>
      </c>
      <c r="AJ110" s="198" t="str">
        <f t="shared" si="201"/>
        <v>#VALUE!</v>
      </c>
      <c r="AK110" s="198" t="str">
        <f t="shared" si="201"/>
        <v>#VALUE!</v>
      </c>
      <c r="AL110" s="198" t="str">
        <f t="shared" si="201"/>
        <v>#VALUE!</v>
      </c>
      <c r="AM110" s="198" t="str">
        <f t="shared" ref="AM110:AT110" si="202">W110-AE110</f>
        <v>#VALUE!</v>
      </c>
      <c r="AN110" s="198" t="str">
        <f t="shared" si="202"/>
        <v>#VALUE!</v>
      </c>
      <c r="AO110" s="198" t="str">
        <f t="shared" si="202"/>
        <v>#VALUE!</v>
      </c>
      <c r="AP110" s="198" t="str">
        <f t="shared" si="202"/>
        <v>#VALUE!</v>
      </c>
      <c r="AQ110" s="198" t="str">
        <f t="shared" si="202"/>
        <v>#VALUE!</v>
      </c>
      <c r="AR110" s="198" t="str">
        <f t="shared" si="202"/>
        <v>#VALUE!</v>
      </c>
      <c r="AS110" s="198" t="str">
        <f t="shared" si="202"/>
        <v>#VALUE!</v>
      </c>
      <c r="AT110" s="198" t="str">
        <f t="shared" si="202"/>
        <v>#VALUE!</v>
      </c>
      <c r="AU110" s="198" t="str">
        <f t="shared" ref="AU110:BB110" si="203">($M$10*$AV$89)-(#REF!*AU$91)</f>
        <v>#REF!</v>
      </c>
      <c r="AV110" s="198" t="str">
        <f t="shared" si="203"/>
        <v>#REF!</v>
      </c>
      <c r="AW110" s="198" t="str">
        <f t="shared" si="203"/>
        <v>#REF!</v>
      </c>
      <c r="AX110" s="198" t="str">
        <f t="shared" si="203"/>
        <v>#REF!</v>
      </c>
      <c r="AY110" s="198" t="str">
        <f t="shared" si="203"/>
        <v>#REF!</v>
      </c>
      <c r="AZ110" s="198" t="str">
        <f t="shared" si="203"/>
        <v>#REF!</v>
      </c>
      <c r="BA110" s="198" t="str">
        <f t="shared" si="203"/>
        <v>#REF!</v>
      </c>
      <c r="BB110" s="198" t="str">
        <f t="shared" si="203"/>
        <v>#REF!</v>
      </c>
      <c r="BC110" s="198" t="str">
        <f t="shared" ref="BC110:BJ110" si="204">IF(AM110-AU110&lt;0, "No", "Yes")</f>
        <v>#VALUE!</v>
      </c>
      <c r="BD110" s="198" t="str">
        <f t="shared" si="204"/>
        <v>#VALUE!</v>
      </c>
      <c r="BE110" s="198" t="str">
        <f t="shared" si="204"/>
        <v>#VALUE!</v>
      </c>
      <c r="BF110" s="198" t="str">
        <f t="shared" si="204"/>
        <v>#VALUE!</v>
      </c>
      <c r="BG110" s="198" t="str">
        <f t="shared" si="204"/>
        <v>#VALUE!</v>
      </c>
      <c r="BH110" s="198" t="str">
        <f t="shared" si="204"/>
        <v>#VALUE!</v>
      </c>
      <c r="BI110" s="198" t="str">
        <f t="shared" si="204"/>
        <v>#VALUE!</v>
      </c>
      <c r="BJ110" s="198" t="str">
        <f t="shared" si="204"/>
        <v>#VALUE!</v>
      </c>
      <c r="BK110" s="198"/>
    </row>
    <row r="111" ht="15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27">
        <f t="shared" ref="W111:AD111" si="205">$O98*$G$5*W$91</f>
        <v>0</v>
      </c>
      <c r="X111" s="27">
        <f t="shared" si="205"/>
        <v>0</v>
      </c>
      <c r="Y111" s="27">
        <f t="shared" si="205"/>
        <v>0</v>
      </c>
      <c r="Z111" s="197">
        <f t="shared" si="205"/>
        <v>0</v>
      </c>
      <c r="AA111" s="198">
        <f t="shared" si="205"/>
        <v>0</v>
      </c>
      <c r="AB111" s="198">
        <f t="shared" si="205"/>
        <v>0</v>
      </c>
      <c r="AC111" s="198">
        <f t="shared" si="205"/>
        <v>0</v>
      </c>
      <c r="AD111" s="198">
        <f t="shared" si="205"/>
        <v>0</v>
      </c>
      <c r="AE111" s="198" t="str">
        <f t="shared" ref="AE111:AL111" si="206">$I$38*AE$91</f>
        <v>#VALUE!</v>
      </c>
      <c r="AF111" s="198" t="str">
        <f t="shared" si="206"/>
        <v>#VALUE!</v>
      </c>
      <c r="AG111" s="198" t="str">
        <f t="shared" si="206"/>
        <v>#VALUE!</v>
      </c>
      <c r="AH111" s="198" t="str">
        <f t="shared" si="206"/>
        <v>#VALUE!</v>
      </c>
      <c r="AI111" s="198" t="str">
        <f t="shared" si="206"/>
        <v>#VALUE!</v>
      </c>
      <c r="AJ111" s="198" t="str">
        <f t="shared" si="206"/>
        <v>#VALUE!</v>
      </c>
      <c r="AK111" s="198" t="str">
        <f t="shared" si="206"/>
        <v>#VALUE!</v>
      </c>
      <c r="AL111" s="198" t="str">
        <f t="shared" si="206"/>
        <v>#VALUE!</v>
      </c>
      <c r="AM111" s="198" t="str">
        <f t="shared" ref="AM111:AT111" si="207">W111-AE111</f>
        <v>#VALUE!</v>
      </c>
      <c r="AN111" s="198" t="str">
        <f t="shared" si="207"/>
        <v>#VALUE!</v>
      </c>
      <c r="AO111" s="198" t="str">
        <f t="shared" si="207"/>
        <v>#VALUE!</v>
      </c>
      <c r="AP111" s="198" t="str">
        <f t="shared" si="207"/>
        <v>#VALUE!</v>
      </c>
      <c r="AQ111" s="198" t="str">
        <f t="shared" si="207"/>
        <v>#VALUE!</v>
      </c>
      <c r="AR111" s="198" t="str">
        <f t="shared" si="207"/>
        <v>#VALUE!</v>
      </c>
      <c r="AS111" s="198" t="str">
        <f t="shared" si="207"/>
        <v>#VALUE!</v>
      </c>
      <c r="AT111" s="198" t="str">
        <f t="shared" si="207"/>
        <v>#VALUE!</v>
      </c>
      <c r="AU111" s="198" t="str">
        <f t="shared" ref="AU111:BB111" si="208">($M$10*$AV$89)-(#REF!*AU$91)</f>
        <v>#REF!</v>
      </c>
      <c r="AV111" s="198" t="str">
        <f t="shared" si="208"/>
        <v>#REF!</v>
      </c>
      <c r="AW111" s="198" t="str">
        <f t="shared" si="208"/>
        <v>#REF!</v>
      </c>
      <c r="AX111" s="198" t="str">
        <f t="shared" si="208"/>
        <v>#REF!</v>
      </c>
      <c r="AY111" s="198" t="str">
        <f t="shared" si="208"/>
        <v>#REF!</v>
      </c>
      <c r="AZ111" s="198" t="str">
        <f t="shared" si="208"/>
        <v>#REF!</v>
      </c>
      <c r="BA111" s="198" t="str">
        <f t="shared" si="208"/>
        <v>#REF!</v>
      </c>
      <c r="BB111" s="198" t="str">
        <f t="shared" si="208"/>
        <v>#REF!</v>
      </c>
      <c r="BC111" s="198" t="str">
        <f t="shared" ref="BC111:BJ111" si="209">IF(AM111-AU111&lt;0, "No", "Yes")</f>
        <v>#VALUE!</v>
      </c>
      <c r="BD111" s="198" t="str">
        <f t="shared" si="209"/>
        <v>#VALUE!</v>
      </c>
      <c r="BE111" s="198" t="str">
        <f t="shared" si="209"/>
        <v>#VALUE!</v>
      </c>
      <c r="BF111" s="198" t="str">
        <f t="shared" si="209"/>
        <v>#VALUE!</v>
      </c>
      <c r="BG111" s="198" t="str">
        <f t="shared" si="209"/>
        <v>#VALUE!</v>
      </c>
      <c r="BH111" s="198" t="str">
        <f t="shared" si="209"/>
        <v>#VALUE!</v>
      </c>
      <c r="BI111" s="198" t="str">
        <f t="shared" si="209"/>
        <v>#VALUE!</v>
      </c>
      <c r="BJ111" s="198" t="str">
        <f t="shared" si="209"/>
        <v>#VALUE!</v>
      </c>
      <c r="BK111" s="198"/>
    </row>
    <row r="112" ht="15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27">
        <f t="shared" ref="W112:AD112" si="210">$O99*$G$5*W$91</f>
        <v>0</v>
      </c>
      <c r="X112" s="27">
        <f t="shared" si="210"/>
        <v>0</v>
      </c>
      <c r="Y112" s="27">
        <f t="shared" si="210"/>
        <v>0</v>
      </c>
      <c r="Z112" s="197">
        <f t="shared" si="210"/>
        <v>0</v>
      </c>
      <c r="AA112" s="198">
        <f t="shared" si="210"/>
        <v>0</v>
      </c>
      <c r="AB112" s="198">
        <f t="shared" si="210"/>
        <v>0</v>
      </c>
      <c r="AC112" s="198">
        <f t="shared" si="210"/>
        <v>0</v>
      </c>
      <c r="AD112" s="198">
        <f t="shared" si="210"/>
        <v>0</v>
      </c>
      <c r="AE112" s="198" t="str">
        <f t="shared" ref="AE112:AL112" si="211">$I$38*AE$91</f>
        <v>#VALUE!</v>
      </c>
      <c r="AF112" s="198" t="str">
        <f t="shared" si="211"/>
        <v>#VALUE!</v>
      </c>
      <c r="AG112" s="198" t="str">
        <f t="shared" si="211"/>
        <v>#VALUE!</v>
      </c>
      <c r="AH112" s="198" t="str">
        <f t="shared" si="211"/>
        <v>#VALUE!</v>
      </c>
      <c r="AI112" s="198" t="str">
        <f t="shared" si="211"/>
        <v>#VALUE!</v>
      </c>
      <c r="AJ112" s="198" t="str">
        <f t="shared" si="211"/>
        <v>#VALUE!</v>
      </c>
      <c r="AK112" s="198" t="str">
        <f t="shared" si="211"/>
        <v>#VALUE!</v>
      </c>
      <c r="AL112" s="198" t="str">
        <f t="shared" si="211"/>
        <v>#VALUE!</v>
      </c>
      <c r="AM112" s="198" t="str">
        <f t="shared" ref="AM112:AT112" si="212">W112-AE112</f>
        <v>#VALUE!</v>
      </c>
      <c r="AN112" s="198" t="str">
        <f t="shared" si="212"/>
        <v>#VALUE!</v>
      </c>
      <c r="AO112" s="198" t="str">
        <f t="shared" si="212"/>
        <v>#VALUE!</v>
      </c>
      <c r="AP112" s="198" t="str">
        <f t="shared" si="212"/>
        <v>#VALUE!</v>
      </c>
      <c r="AQ112" s="198" t="str">
        <f t="shared" si="212"/>
        <v>#VALUE!</v>
      </c>
      <c r="AR112" s="198" t="str">
        <f t="shared" si="212"/>
        <v>#VALUE!</v>
      </c>
      <c r="AS112" s="198" t="str">
        <f t="shared" si="212"/>
        <v>#VALUE!</v>
      </c>
      <c r="AT112" s="198" t="str">
        <f t="shared" si="212"/>
        <v>#VALUE!</v>
      </c>
      <c r="AU112" s="198" t="str">
        <f t="shared" ref="AU112:BB112" si="213">($M$10*$AV$89)-(#REF!*AU$91)</f>
        <v>#REF!</v>
      </c>
      <c r="AV112" s="198" t="str">
        <f t="shared" si="213"/>
        <v>#REF!</v>
      </c>
      <c r="AW112" s="198" t="str">
        <f t="shared" si="213"/>
        <v>#REF!</v>
      </c>
      <c r="AX112" s="198" t="str">
        <f t="shared" si="213"/>
        <v>#REF!</v>
      </c>
      <c r="AY112" s="198" t="str">
        <f t="shared" si="213"/>
        <v>#REF!</v>
      </c>
      <c r="AZ112" s="198" t="str">
        <f t="shared" si="213"/>
        <v>#REF!</v>
      </c>
      <c r="BA112" s="198" t="str">
        <f t="shared" si="213"/>
        <v>#REF!</v>
      </c>
      <c r="BB112" s="198" t="str">
        <f t="shared" si="213"/>
        <v>#REF!</v>
      </c>
      <c r="BC112" s="198" t="str">
        <f t="shared" ref="BC112:BJ112" si="214">IF(AM112-AU112&lt;0, "No", "Yes")</f>
        <v>#VALUE!</v>
      </c>
      <c r="BD112" s="198" t="str">
        <f t="shared" si="214"/>
        <v>#VALUE!</v>
      </c>
      <c r="BE112" s="198" t="str">
        <f t="shared" si="214"/>
        <v>#VALUE!</v>
      </c>
      <c r="BF112" s="198" t="str">
        <f t="shared" si="214"/>
        <v>#VALUE!</v>
      </c>
      <c r="BG112" s="198" t="str">
        <f t="shared" si="214"/>
        <v>#VALUE!</v>
      </c>
      <c r="BH112" s="198" t="str">
        <f t="shared" si="214"/>
        <v>#VALUE!</v>
      </c>
      <c r="BI112" s="198" t="str">
        <f t="shared" si="214"/>
        <v>#VALUE!</v>
      </c>
      <c r="BJ112" s="198" t="str">
        <f t="shared" si="214"/>
        <v>#VALUE!</v>
      </c>
      <c r="BK112" s="198"/>
    </row>
    <row r="113" ht="15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27">
        <f t="shared" ref="W113:AD113" si="215">$O100*$G$5*W$91</f>
        <v>0</v>
      </c>
      <c r="X113" s="27">
        <f t="shared" si="215"/>
        <v>0</v>
      </c>
      <c r="Y113" s="27">
        <f t="shared" si="215"/>
        <v>0</v>
      </c>
      <c r="Z113" s="197">
        <f t="shared" si="215"/>
        <v>0</v>
      </c>
      <c r="AA113" s="198">
        <f t="shared" si="215"/>
        <v>0</v>
      </c>
      <c r="AB113" s="198">
        <f t="shared" si="215"/>
        <v>0</v>
      </c>
      <c r="AC113" s="198">
        <f t="shared" si="215"/>
        <v>0</v>
      </c>
      <c r="AD113" s="198">
        <f t="shared" si="215"/>
        <v>0</v>
      </c>
      <c r="AE113" s="198" t="str">
        <f t="shared" ref="AE113:AL113" si="216">$I$38*AE$91</f>
        <v>#VALUE!</v>
      </c>
      <c r="AF113" s="198" t="str">
        <f t="shared" si="216"/>
        <v>#VALUE!</v>
      </c>
      <c r="AG113" s="198" t="str">
        <f t="shared" si="216"/>
        <v>#VALUE!</v>
      </c>
      <c r="AH113" s="198" t="str">
        <f t="shared" si="216"/>
        <v>#VALUE!</v>
      </c>
      <c r="AI113" s="198" t="str">
        <f t="shared" si="216"/>
        <v>#VALUE!</v>
      </c>
      <c r="AJ113" s="198" t="str">
        <f t="shared" si="216"/>
        <v>#VALUE!</v>
      </c>
      <c r="AK113" s="198" t="str">
        <f t="shared" si="216"/>
        <v>#VALUE!</v>
      </c>
      <c r="AL113" s="198" t="str">
        <f t="shared" si="216"/>
        <v>#VALUE!</v>
      </c>
      <c r="AM113" s="198" t="str">
        <f t="shared" ref="AM113:AT113" si="217">W113-AE113</f>
        <v>#VALUE!</v>
      </c>
      <c r="AN113" s="198" t="str">
        <f t="shared" si="217"/>
        <v>#VALUE!</v>
      </c>
      <c r="AO113" s="198" t="str">
        <f t="shared" si="217"/>
        <v>#VALUE!</v>
      </c>
      <c r="AP113" s="198" t="str">
        <f t="shared" si="217"/>
        <v>#VALUE!</v>
      </c>
      <c r="AQ113" s="198" t="str">
        <f t="shared" si="217"/>
        <v>#VALUE!</v>
      </c>
      <c r="AR113" s="198" t="str">
        <f t="shared" si="217"/>
        <v>#VALUE!</v>
      </c>
      <c r="AS113" s="198" t="str">
        <f t="shared" si="217"/>
        <v>#VALUE!</v>
      </c>
      <c r="AT113" s="198" t="str">
        <f t="shared" si="217"/>
        <v>#VALUE!</v>
      </c>
      <c r="AU113" s="198" t="str">
        <f t="shared" ref="AU113:BB113" si="218">($M$10*$AV$89)-(#REF!*AU$91)</f>
        <v>#REF!</v>
      </c>
      <c r="AV113" s="198" t="str">
        <f t="shared" si="218"/>
        <v>#REF!</v>
      </c>
      <c r="AW113" s="198" t="str">
        <f t="shared" si="218"/>
        <v>#REF!</v>
      </c>
      <c r="AX113" s="198" t="str">
        <f t="shared" si="218"/>
        <v>#REF!</v>
      </c>
      <c r="AY113" s="198" t="str">
        <f t="shared" si="218"/>
        <v>#REF!</v>
      </c>
      <c r="AZ113" s="198" t="str">
        <f t="shared" si="218"/>
        <v>#REF!</v>
      </c>
      <c r="BA113" s="198" t="str">
        <f t="shared" si="218"/>
        <v>#REF!</v>
      </c>
      <c r="BB113" s="198" t="str">
        <f t="shared" si="218"/>
        <v>#REF!</v>
      </c>
      <c r="BC113" s="198" t="str">
        <f t="shared" ref="BC113:BJ113" si="219">IF(AM113-AU113&lt;0, "No", "Yes")</f>
        <v>#VALUE!</v>
      </c>
      <c r="BD113" s="198" t="str">
        <f t="shared" si="219"/>
        <v>#VALUE!</v>
      </c>
      <c r="BE113" s="198" t="str">
        <f t="shared" si="219"/>
        <v>#VALUE!</v>
      </c>
      <c r="BF113" s="198" t="str">
        <f t="shared" si="219"/>
        <v>#VALUE!</v>
      </c>
      <c r="BG113" s="198" t="str">
        <f t="shared" si="219"/>
        <v>#VALUE!</v>
      </c>
      <c r="BH113" s="198" t="str">
        <f t="shared" si="219"/>
        <v>#VALUE!</v>
      </c>
      <c r="BI113" s="198" t="str">
        <f t="shared" si="219"/>
        <v>#VALUE!</v>
      </c>
      <c r="BJ113" s="198" t="str">
        <f t="shared" si="219"/>
        <v>#VALUE!</v>
      </c>
      <c r="BK113" s="198"/>
    </row>
    <row r="114" ht="15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27">
        <f t="shared" ref="W114:AD114" si="220">$O101*$G$5*W$91</f>
        <v>0</v>
      </c>
      <c r="X114" s="27">
        <f t="shared" si="220"/>
        <v>0</v>
      </c>
      <c r="Y114" s="27">
        <f t="shared" si="220"/>
        <v>0</v>
      </c>
      <c r="Z114" s="197">
        <f t="shared" si="220"/>
        <v>0</v>
      </c>
      <c r="AA114" s="198">
        <f t="shared" si="220"/>
        <v>0</v>
      </c>
      <c r="AB114" s="198">
        <f t="shared" si="220"/>
        <v>0</v>
      </c>
      <c r="AC114" s="198">
        <f t="shared" si="220"/>
        <v>0</v>
      </c>
      <c r="AD114" s="198">
        <f t="shared" si="220"/>
        <v>0</v>
      </c>
      <c r="AE114" s="198" t="str">
        <f t="shared" ref="AE114:AL114" si="221">$I$38*AE$91</f>
        <v>#VALUE!</v>
      </c>
      <c r="AF114" s="198" t="str">
        <f t="shared" si="221"/>
        <v>#VALUE!</v>
      </c>
      <c r="AG114" s="198" t="str">
        <f t="shared" si="221"/>
        <v>#VALUE!</v>
      </c>
      <c r="AH114" s="198" t="str">
        <f t="shared" si="221"/>
        <v>#VALUE!</v>
      </c>
      <c r="AI114" s="198" t="str">
        <f t="shared" si="221"/>
        <v>#VALUE!</v>
      </c>
      <c r="AJ114" s="198" t="str">
        <f t="shared" si="221"/>
        <v>#VALUE!</v>
      </c>
      <c r="AK114" s="198" t="str">
        <f t="shared" si="221"/>
        <v>#VALUE!</v>
      </c>
      <c r="AL114" s="198" t="str">
        <f t="shared" si="221"/>
        <v>#VALUE!</v>
      </c>
      <c r="AM114" s="198" t="str">
        <f t="shared" ref="AM114:AT114" si="222">W114-AE114</f>
        <v>#VALUE!</v>
      </c>
      <c r="AN114" s="198" t="str">
        <f t="shared" si="222"/>
        <v>#VALUE!</v>
      </c>
      <c r="AO114" s="198" t="str">
        <f t="shared" si="222"/>
        <v>#VALUE!</v>
      </c>
      <c r="AP114" s="198" t="str">
        <f t="shared" si="222"/>
        <v>#VALUE!</v>
      </c>
      <c r="AQ114" s="198" t="str">
        <f t="shared" si="222"/>
        <v>#VALUE!</v>
      </c>
      <c r="AR114" s="198" t="str">
        <f t="shared" si="222"/>
        <v>#VALUE!</v>
      </c>
      <c r="AS114" s="198" t="str">
        <f t="shared" si="222"/>
        <v>#VALUE!</v>
      </c>
      <c r="AT114" s="198" t="str">
        <f t="shared" si="222"/>
        <v>#VALUE!</v>
      </c>
      <c r="AU114" s="198" t="str">
        <f t="shared" ref="AU114:BB114" si="223">($M$10*$AV$89)-(#REF!*AU$91)</f>
        <v>#REF!</v>
      </c>
      <c r="AV114" s="198" t="str">
        <f t="shared" si="223"/>
        <v>#REF!</v>
      </c>
      <c r="AW114" s="198" t="str">
        <f t="shared" si="223"/>
        <v>#REF!</v>
      </c>
      <c r="AX114" s="198" t="str">
        <f t="shared" si="223"/>
        <v>#REF!</v>
      </c>
      <c r="AY114" s="198" t="str">
        <f t="shared" si="223"/>
        <v>#REF!</v>
      </c>
      <c r="AZ114" s="198" t="str">
        <f t="shared" si="223"/>
        <v>#REF!</v>
      </c>
      <c r="BA114" s="198" t="str">
        <f t="shared" si="223"/>
        <v>#REF!</v>
      </c>
      <c r="BB114" s="198" t="str">
        <f t="shared" si="223"/>
        <v>#REF!</v>
      </c>
      <c r="BC114" s="198" t="str">
        <f t="shared" ref="BC114:BJ114" si="224">IF(AM114-AU114&lt;0, "No", "Yes")</f>
        <v>#VALUE!</v>
      </c>
      <c r="BD114" s="198" t="str">
        <f t="shared" si="224"/>
        <v>#VALUE!</v>
      </c>
      <c r="BE114" s="198" t="str">
        <f t="shared" si="224"/>
        <v>#VALUE!</v>
      </c>
      <c r="BF114" s="198" t="str">
        <f t="shared" si="224"/>
        <v>#VALUE!</v>
      </c>
      <c r="BG114" s="198" t="str">
        <f t="shared" si="224"/>
        <v>#VALUE!</v>
      </c>
      <c r="BH114" s="198" t="str">
        <f t="shared" si="224"/>
        <v>#VALUE!</v>
      </c>
      <c r="BI114" s="198" t="str">
        <f t="shared" si="224"/>
        <v>#VALUE!</v>
      </c>
      <c r="BJ114" s="198" t="str">
        <f t="shared" si="224"/>
        <v>#VALUE!</v>
      </c>
      <c r="BK114" s="198"/>
    </row>
    <row r="115" ht="15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27">
        <f t="shared" ref="W115:AD115" si="225">$O102*$G$5*W$91</f>
        <v>0</v>
      </c>
      <c r="X115" s="27">
        <f t="shared" si="225"/>
        <v>0</v>
      </c>
      <c r="Y115" s="27">
        <f t="shared" si="225"/>
        <v>0</v>
      </c>
      <c r="Z115" s="197">
        <f t="shared" si="225"/>
        <v>0</v>
      </c>
      <c r="AA115" s="198">
        <f t="shared" si="225"/>
        <v>0</v>
      </c>
      <c r="AB115" s="198">
        <f t="shared" si="225"/>
        <v>0</v>
      </c>
      <c r="AC115" s="198">
        <f t="shared" si="225"/>
        <v>0</v>
      </c>
      <c r="AD115" s="198">
        <f t="shared" si="225"/>
        <v>0</v>
      </c>
      <c r="AE115" s="198" t="str">
        <f t="shared" ref="AE115:AL115" si="226">$I$38*AE$91</f>
        <v>#VALUE!</v>
      </c>
      <c r="AF115" s="198" t="str">
        <f t="shared" si="226"/>
        <v>#VALUE!</v>
      </c>
      <c r="AG115" s="198" t="str">
        <f t="shared" si="226"/>
        <v>#VALUE!</v>
      </c>
      <c r="AH115" s="198" t="str">
        <f t="shared" si="226"/>
        <v>#VALUE!</v>
      </c>
      <c r="AI115" s="198" t="str">
        <f t="shared" si="226"/>
        <v>#VALUE!</v>
      </c>
      <c r="AJ115" s="198" t="str">
        <f t="shared" si="226"/>
        <v>#VALUE!</v>
      </c>
      <c r="AK115" s="198" t="str">
        <f t="shared" si="226"/>
        <v>#VALUE!</v>
      </c>
      <c r="AL115" s="198" t="str">
        <f t="shared" si="226"/>
        <v>#VALUE!</v>
      </c>
      <c r="AM115" s="198" t="str">
        <f t="shared" ref="AM115:AT115" si="227">W115-AE115</f>
        <v>#VALUE!</v>
      </c>
      <c r="AN115" s="198" t="str">
        <f t="shared" si="227"/>
        <v>#VALUE!</v>
      </c>
      <c r="AO115" s="198" t="str">
        <f t="shared" si="227"/>
        <v>#VALUE!</v>
      </c>
      <c r="AP115" s="198" t="str">
        <f t="shared" si="227"/>
        <v>#VALUE!</v>
      </c>
      <c r="AQ115" s="198" t="str">
        <f t="shared" si="227"/>
        <v>#VALUE!</v>
      </c>
      <c r="AR115" s="198" t="str">
        <f t="shared" si="227"/>
        <v>#VALUE!</v>
      </c>
      <c r="AS115" s="198" t="str">
        <f t="shared" si="227"/>
        <v>#VALUE!</v>
      </c>
      <c r="AT115" s="198" t="str">
        <f t="shared" si="227"/>
        <v>#VALUE!</v>
      </c>
      <c r="AU115" s="198" t="str">
        <f t="shared" ref="AU115:BB115" si="228">($M$10*$AV$89)-(#REF!*AU$91)</f>
        <v>#REF!</v>
      </c>
      <c r="AV115" s="198" t="str">
        <f t="shared" si="228"/>
        <v>#REF!</v>
      </c>
      <c r="AW115" s="198" t="str">
        <f t="shared" si="228"/>
        <v>#REF!</v>
      </c>
      <c r="AX115" s="198" t="str">
        <f t="shared" si="228"/>
        <v>#REF!</v>
      </c>
      <c r="AY115" s="198" t="str">
        <f t="shared" si="228"/>
        <v>#REF!</v>
      </c>
      <c r="AZ115" s="198" t="str">
        <f t="shared" si="228"/>
        <v>#REF!</v>
      </c>
      <c r="BA115" s="198" t="str">
        <f t="shared" si="228"/>
        <v>#REF!</v>
      </c>
      <c r="BB115" s="198" t="str">
        <f t="shared" si="228"/>
        <v>#REF!</v>
      </c>
      <c r="BC115" s="198" t="str">
        <f t="shared" ref="BC115:BJ115" si="229">IF(AM115-AU115&lt;0, "No", "Yes")</f>
        <v>#VALUE!</v>
      </c>
      <c r="BD115" s="198" t="str">
        <f t="shared" si="229"/>
        <v>#VALUE!</v>
      </c>
      <c r="BE115" s="198" t="str">
        <f t="shared" si="229"/>
        <v>#VALUE!</v>
      </c>
      <c r="BF115" s="198" t="str">
        <f t="shared" si="229"/>
        <v>#VALUE!</v>
      </c>
      <c r="BG115" s="198" t="str">
        <f t="shared" si="229"/>
        <v>#VALUE!</v>
      </c>
      <c r="BH115" s="198" t="str">
        <f t="shared" si="229"/>
        <v>#VALUE!</v>
      </c>
      <c r="BI115" s="198" t="str">
        <f t="shared" si="229"/>
        <v>#VALUE!</v>
      </c>
      <c r="BJ115" s="198" t="str">
        <f t="shared" si="229"/>
        <v>#VALUE!</v>
      </c>
      <c r="BK115" s="198"/>
    </row>
    <row r="116" ht="15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27">
        <f t="shared" ref="W116:AD116" si="230">$O103*$G$5*W$91</f>
        <v>0</v>
      </c>
      <c r="X116" s="27">
        <f t="shared" si="230"/>
        <v>0</v>
      </c>
      <c r="Y116" s="27">
        <f t="shared" si="230"/>
        <v>0</v>
      </c>
      <c r="Z116" s="197">
        <f t="shared" si="230"/>
        <v>0</v>
      </c>
      <c r="AA116" s="198">
        <f t="shared" si="230"/>
        <v>0</v>
      </c>
      <c r="AB116" s="198">
        <f t="shared" si="230"/>
        <v>0</v>
      </c>
      <c r="AC116" s="198">
        <f t="shared" si="230"/>
        <v>0</v>
      </c>
      <c r="AD116" s="198">
        <f t="shared" si="230"/>
        <v>0</v>
      </c>
      <c r="AE116" s="198" t="str">
        <f t="shared" ref="AE116:AL116" si="231">$I$38*AE$91</f>
        <v>#VALUE!</v>
      </c>
      <c r="AF116" s="198" t="str">
        <f t="shared" si="231"/>
        <v>#VALUE!</v>
      </c>
      <c r="AG116" s="198" t="str">
        <f t="shared" si="231"/>
        <v>#VALUE!</v>
      </c>
      <c r="AH116" s="198" t="str">
        <f t="shared" si="231"/>
        <v>#VALUE!</v>
      </c>
      <c r="AI116" s="198" t="str">
        <f t="shared" si="231"/>
        <v>#VALUE!</v>
      </c>
      <c r="AJ116" s="198" t="str">
        <f t="shared" si="231"/>
        <v>#VALUE!</v>
      </c>
      <c r="AK116" s="198" t="str">
        <f t="shared" si="231"/>
        <v>#VALUE!</v>
      </c>
      <c r="AL116" s="198" t="str">
        <f t="shared" si="231"/>
        <v>#VALUE!</v>
      </c>
      <c r="AM116" s="198" t="str">
        <f t="shared" ref="AM116:AT116" si="232">W116-AE116</f>
        <v>#VALUE!</v>
      </c>
      <c r="AN116" s="198" t="str">
        <f t="shared" si="232"/>
        <v>#VALUE!</v>
      </c>
      <c r="AO116" s="198" t="str">
        <f t="shared" si="232"/>
        <v>#VALUE!</v>
      </c>
      <c r="AP116" s="198" t="str">
        <f t="shared" si="232"/>
        <v>#VALUE!</v>
      </c>
      <c r="AQ116" s="198" t="str">
        <f t="shared" si="232"/>
        <v>#VALUE!</v>
      </c>
      <c r="AR116" s="198" t="str">
        <f t="shared" si="232"/>
        <v>#VALUE!</v>
      </c>
      <c r="AS116" s="198" t="str">
        <f t="shared" si="232"/>
        <v>#VALUE!</v>
      </c>
      <c r="AT116" s="198" t="str">
        <f t="shared" si="232"/>
        <v>#VALUE!</v>
      </c>
      <c r="AU116" s="198" t="str">
        <f t="shared" ref="AU116:BB116" si="233">($M$10*$AV$89)-(#REF!*AU$91)</f>
        <v>#REF!</v>
      </c>
      <c r="AV116" s="198" t="str">
        <f t="shared" si="233"/>
        <v>#REF!</v>
      </c>
      <c r="AW116" s="198" t="str">
        <f t="shared" si="233"/>
        <v>#REF!</v>
      </c>
      <c r="AX116" s="198" t="str">
        <f t="shared" si="233"/>
        <v>#REF!</v>
      </c>
      <c r="AY116" s="198" t="str">
        <f t="shared" si="233"/>
        <v>#REF!</v>
      </c>
      <c r="AZ116" s="198" t="str">
        <f t="shared" si="233"/>
        <v>#REF!</v>
      </c>
      <c r="BA116" s="198" t="str">
        <f t="shared" si="233"/>
        <v>#REF!</v>
      </c>
      <c r="BB116" s="198" t="str">
        <f t="shared" si="233"/>
        <v>#REF!</v>
      </c>
      <c r="BC116" s="198" t="str">
        <f t="shared" ref="BC116:BJ116" si="234">IF(AM116-AU116&lt;0, "No", "Yes")</f>
        <v>#VALUE!</v>
      </c>
      <c r="BD116" s="198" t="str">
        <f t="shared" si="234"/>
        <v>#VALUE!</v>
      </c>
      <c r="BE116" s="198" t="str">
        <f t="shared" si="234"/>
        <v>#VALUE!</v>
      </c>
      <c r="BF116" s="198" t="str">
        <f t="shared" si="234"/>
        <v>#VALUE!</v>
      </c>
      <c r="BG116" s="198" t="str">
        <f t="shared" si="234"/>
        <v>#VALUE!</v>
      </c>
      <c r="BH116" s="198" t="str">
        <f t="shared" si="234"/>
        <v>#VALUE!</v>
      </c>
      <c r="BI116" s="198" t="str">
        <f t="shared" si="234"/>
        <v>#VALUE!</v>
      </c>
      <c r="BJ116" s="198" t="str">
        <f t="shared" si="234"/>
        <v>#VALUE!</v>
      </c>
      <c r="BK116" s="198"/>
    </row>
    <row r="117" ht="15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5"/>
    </row>
    <row r="118" ht="15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5"/>
    </row>
    <row r="119" ht="15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5"/>
    </row>
    <row r="120" ht="15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5"/>
    </row>
    <row r="121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5"/>
    </row>
    <row r="12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5"/>
    </row>
    <row r="123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5"/>
    </row>
    <row r="124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5"/>
    </row>
    <row r="125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5"/>
    </row>
    <row r="126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5"/>
    </row>
    <row r="127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5"/>
    </row>
    <row r="128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5"/>
    </row>
    <row r="129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5"/>
    </row>
    <row r="130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5"/>
    </row>
    <row r="131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5"/>
    </row>
    <row r="13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5"/>
    </row>
    <row r="133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5"/>
    </row>
    <row r="134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5"/>
    </row>
    <row r="135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5"/>
    </row>
    <row r="136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5"/>
    </row>
    <row r="137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5"/>
    </row>
    <row r="138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5"/>
    </row>
    <row r="139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5"/>
    </row>
    <row r="140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5"/>
    </row>
    <row r="141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5"/>
    </row>
    <row r="14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5"/>
    </row>
    <row r="143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5"/>
    </row>
    <row r="144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5"/>
    </row>
    <row r="145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5"/>
    </row>
    <row r="146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5"/>
    </row>
    <row r="147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5"/>
    </row>
    <row r="148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5"/>
    </row>
    <row r="149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5"/>
    </row>
    <row r="150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5"/>
    </row>
    <row r="151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5"/>
    </row>
    <row r="15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5"/>
    </row>
    <row r="153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5"/>
    </row>
    <row r="154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5"/>
    </row>
    <row r="155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5"/>
    </row>
    <row r="156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5"/>
    </row>
    <row r="157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5"/>
    </row>
    <row r="158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5"/>
    </row>
    <row r="159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5"/>
    </row>
    <row r="160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5"/>
    </row>
    <row r="161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5"/>
    </row>
    <row r="16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5"/>
    </row>
    <row r="163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5"/>
    </row>
    <row r="164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5"/>
    </row>
    <row r="165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5"/>
    </row>
    <row r="166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5"/>
    </row>
    <row r="167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5"/>
    </row>
    <row r="168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5"/>
    </row>
    <row r="169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5"/>
    </row>
    <row r="170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5"/>
    </row>
    <row r="171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5"/>
    </row>
    <row r="17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5"/>
    </row>
    <row r="173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5"/>
    </row>
    <row r="174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5"/>
    </row>
    <row r="175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5"/>
    </row>
    <row r="176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5"/>
    </row>
    <row r="177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5"/>
    </row>
    <row r="178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5"/>
    </row>
    <row r="179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5"/>
    </row>
    <row r="180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5"/>
    </row>
    <row r="181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5"/>
    </row>
    <row r="18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5"/>
    </row>
    <row r="183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5"/>
    </row>
    <row r="184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5"/>
    </row>
    <row r="185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5"/>
    </row>
    <row r="186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5"/>
    </row>
    <row r="187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5"/>
    </row>
    <row r="188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5"/>
    </row>
    <row r="189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5"/>
    </row>
    <row r="190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5"/>
    </row>
    <row r="191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5"/>
    </row>
    <row r="19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5"/>
    </row>
    <row r="193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5"/>
    </row>
    <row r="194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5"/>
    </row>
    <row r="195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5"/>
    </row>
    <row r="196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5"/>
    </row>
    <row r="197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5"/>
    </row>
    <row r="198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5"/>
    </row>
    <row r="199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5"/>
    </row>
    <row r="200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5"/>
    </row>
    <row r="201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5"/>
    </row>
    <row r="20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5"/>
    </row>
    <row r="203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5"/>
    </row>
    <row r="204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5"/>
    </row>
    <row r="205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5"/>
    </row>
    <row r="206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5"/>
    </row>
    <row r="207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5"/>
    </row>
    <row r="208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5"/>
    </row>
    <row r="209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5"/>
    </row>
    <row r="210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5"/>
    </row>
    <row r="211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5"/>
    </row>
    <row r="2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5"/>
    </row>
    <row r="213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5"/>
    </row>
    <row r="214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5"/>
    </row>
    <row r="215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5"/>
    </row>
    <row r="216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5"/>
    </row>
    <row r="217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5"/>
    </row>
    <row r="218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5"/>
    </row>
    <row r="219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5"/>
    </row>
    <row r="220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5"/>
    </row>
    <row r="221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5"/>
    </row>
    <row r="22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5"/>
    </row>
    <row r="223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5"/>
    </row>
    <row r="224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5"/>
    </row>
    <row r="225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5"/>
    </row>
    <row r="226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5"/>
    </row>
    <row r="227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5"/>
    </row>
    <row r="228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5"/>
    </row>
    <row r="229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5"/>
    </row>
    <row r="230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5"/>
    </row>
    <row r="231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5"/>
    </row>
    <row r="23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5"/>
    </row>
    <row r="233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5"/>
    </row>
    <row r="234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5"/>
    </row>
    <row r="235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5"/>
    </row>
    <row r="236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5"/>
    </row>
    <row r="237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5"/>
    </row>
    <row r="238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5"/>
    </row>
    <row r="239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5"/>
    </row>
    <row r="240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5"/>
    </row>
    <row r="241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5"/>
    </row>
    <row r="24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5"/>
    </row>
    <row r="243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5"/>
    </row>
    <row r="244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5"/>
    </row>
    <row r="245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5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5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5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5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5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5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5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5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5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5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5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5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5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5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5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5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5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5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5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5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5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5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5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5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5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5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5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5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5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5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5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5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5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5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5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5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5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5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5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5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5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5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5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5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5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5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5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5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5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5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5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5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5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5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5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5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5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5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5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5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5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5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5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5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5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5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5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5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5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5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5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5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5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5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5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5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5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5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5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5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5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5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5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5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5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5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5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5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5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5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5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5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5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5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5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5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5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5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5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5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5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5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5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5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5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5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5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5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5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5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5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5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5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5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5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5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5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5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5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5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5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5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5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5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5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5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5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5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5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5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5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5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5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5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5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5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5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5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5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5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5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5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5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5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5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5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5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5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5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5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5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5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5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5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5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5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5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5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5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5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5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5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5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5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5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5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5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5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5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5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5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5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5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5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5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5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5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5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5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5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5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5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5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5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5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5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5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5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5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5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5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5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5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5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5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5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5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5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5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5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5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5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5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5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5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5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5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5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5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5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5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5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5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5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5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5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5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5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5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5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5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5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5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5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5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5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5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5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5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5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5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5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5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5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5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5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5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5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5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5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5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5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5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5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5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5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5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5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5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5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5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5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5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5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5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5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5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5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5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5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5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5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5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5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5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5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5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5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5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5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5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5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5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5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5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5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5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5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5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5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5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5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5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5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5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5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5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5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5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5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5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5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5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5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5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5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5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5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5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5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5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5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5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5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5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5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5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5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5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5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5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5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5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5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5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5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5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5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5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5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5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5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5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5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5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5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5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5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5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5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5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5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5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5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5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5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5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5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5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5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5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5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5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5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5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5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5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5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5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5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5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5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5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5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5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5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5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5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5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5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5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5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5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5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5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5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5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5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5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5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5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5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5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5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5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5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5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5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5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5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5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5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5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5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5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5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5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5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5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5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5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5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5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5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5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5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5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5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5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5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5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5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5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5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5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5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5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5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5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5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5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5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5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5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5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5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5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5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5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5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5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5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5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5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5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5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5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5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5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5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5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5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5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5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5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5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5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5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5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5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5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5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5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5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5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5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5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5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5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5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5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5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5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5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5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5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5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5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5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5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5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5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5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5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5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5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5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5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5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5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5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5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5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5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5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5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5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5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5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5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5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5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5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5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5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5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5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5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5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5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5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5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5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5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5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5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5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5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5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5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5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5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5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5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5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5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5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5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5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5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5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5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5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5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5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5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5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5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5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5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5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5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5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5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5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5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5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5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5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5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5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5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5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5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5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5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5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5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5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5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5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5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5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5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5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5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5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5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5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5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5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5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5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5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5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5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5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5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5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5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5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5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5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5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5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5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5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5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5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5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5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5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5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5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5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5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5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5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5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5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5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5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5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5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5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5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5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5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5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5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5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5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5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5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5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5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5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5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5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5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5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5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5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5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5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5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5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5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5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5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5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5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5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5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5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5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5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5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5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5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5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5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5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5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5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5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5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5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5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5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5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5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5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5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5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5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5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5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5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5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5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5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5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5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5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5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5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5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5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5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5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5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5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5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5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5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5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5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5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5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5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5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5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5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5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5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5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5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5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5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5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5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5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5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5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5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5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5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5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5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5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5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5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5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5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5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5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5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5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5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5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5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5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5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5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5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5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5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5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5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5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5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5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5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5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5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5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5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5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5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5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5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5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5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5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5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5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5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5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5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5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5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5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5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5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5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5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5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5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5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5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5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5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5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5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5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5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5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5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5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5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5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5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5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5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5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5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5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5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5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5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5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5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5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5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5"/>
    </row>
    <row r="1001" ht="15.75" customHeight="1">
      <c r="A1001" s="1"/>
      <c r="E1001" s="1"/>
      <c r="F1001" s="1"/>
      <c r="G1001" s="1"/>
      <c r="H1001" s="1"/>
      <c r="I1001" s="1"/>
      <c r="J1001" s="1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5"/>
    </row>
    <row r="1002" ht="15.75" customHeight="1">
      <c r="A1002" s="1"/>
      <c r="E1002" s="1"/>
      <c r="F1002" s="1"/>
      <c r="G1002" s="1"/>
      <c r="H1002" s="1"/>
      <c r="I1002" s="1"/>
      <c r="J1002" s="1"/>
      <c r="K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5"/>
    </row>
    <row r="1003" ht="15.75" customHeight="1">
      <c r="A1003" s="1"/>
      <c r="E1003" s="1"/>
      <c r="F1003" s="1"/>
      <c r="G1003" s="1"/>
      <c r="H1003" s="1"/>
      <c r="I1003" s="1"/>
      <c r="J1003" s="1"/>
      <c r="K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5"/>
    </row>
    <row r="1004" ht="15.75" customHeight="1">
      <c r="A1004" s="1"/>
      <c r="E1004" s="1"/>
      <c r="F1004" s="1"/>
      <c r="G1004" s="1"/>
      <c r="H1004" s="1"/>
      <c r="I1004" s="1"/>
      <c r="J1004" s="1"/>
      <c r="K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5"/>
    </row>
    <row r="1005" ht="15.75" customHeight="1">
      <c r="A1005" s="1"/>
      <c r="E1005" s="1"/>
      <c r="F1005" s="1"/>
      <c r="G1005" s="1"/>
      <c r="H1005" s="1"/>
      <c r="I1005" s="1"/>
      <c r="J1005" s="1"/>
      <c r="K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5"/>
    </row>
    <row r="1006" ht="15.75" customHeight="1">
      <c r="A1006" s="1"/>
      <c r="E1006" s="1"/>
      <c r="F1006" s="1"/>
      <c r="G1006" s="1"/>
      <c r="H1006" s="1"/>
      <c r="I1006" s="1"/>
      <c r="J1006" s="1"/>
      <c r="K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5"/>
    </row>
    <row r="1007" ht="15.75" customHeight="1">
      <c r="A1007" s="1"/>
      <c r="E1007" s="1"/>
      <c r="F1007" s="1"/>
      <c r="G1007" s="1"/>
      <c r="H1007" s="1"/>
      <c r="I1007" s="1"/>
      <c r="J1007" s="1"/>
      <c r="K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5"/>
    </row>
    <row r="1008" ht="15.75" customHeight="1">
      <c r="A1008" s="1"/>
      <c r="E1008" s="1"/>
      <c r="F1008" s="1"/>
      <c r="G1008" s="1"/>
      <c r="H1008" s="1"/>
      <c r="I1008" s="1"/>
      <c r="J1008" s="1"/>
      <c r="K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5"/>
    </row>
    <row r="1009" ht="15.75" customHeight="1">
      <c r="F1009" s="1"/>
      <c r="G1009" s="1"/>
      <c r="H1009" s="1"/>
      <c r="I1009" s="1"/>
      <c r="J1009" s="1"/>
      <c r="K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5"/>
    </row>
    <row r="1010" ht="15.75" customHeight="1">
      <c r="F1010" s="1"/>
      <c r="G1010" s="1"/>
      <c r="H1010" s="1"/>
      <c r="I1010" s="1"/>
      <c r="J1010" s="1"/>
      <c r="Q1010" s="3"/>
      <c r="R1010" s="3"/>
      <c r="S1010" s="3"/>
      <c r="T1010" s="3"/>
      <c r="U1010" s="3"/>
      <c r="V1010" s="3"/>
      <c r="W1010" s="3"/>
      <c r="X1010" s="3"/>
      <c r="Y1010" s="3"/>
      <c r="Z1010" s="5"/>
    </row>
    <row r="1011" ht="15.75" customHeight="1">
      <c r="F1011" s="1"/>
      <c r="G1011" s="1"/>
      <c r="H1011" s="1"/>
      <c r="I1011" s="1"/>
      <c r="J1011" s="1"/>
      <c r="Q1011" s="3"/>
      <c r="R1011" s="3"/>
      <c r="S1011" s="3"/>
      <c r="T1011" s="3"/>
      <c r="U1011" s="3"/>
      <c r="V1011" s="3"/>
      <c r="W1011" s="3"/>
      <c r="X1011" s="3"/>
      <c r="Y1011" s="3"/>
      <c r="Z1011" s="5"/>
    </row>
    <row r="1012" ht="15.75" customHeight="1">
      <c r="F1012" s="1"/>
      <c r="G1012" s="1"/>
      <c r="H1012" s="1"/>
      <c r="I1012" s="1"/>
      <c r="J1012" s="1"/>
      <c r="Q1012" s="3"/>
      <c r="R1012" s="3"/>
      <c r="S1012" s="3"/>
      <c r="T1012" s="3"/>
      <c r="U1012" s="3"/>
      <c r="V1012" s="3"/>
      <c r="W1012" s="3"/>
      <c r="X1012" s="3"/>
      <c r="Y1012" s="3"/>
      <c r="Z1012" s="5"/>
    </row>
    <row r="1013" ht="15.75" customHeight="1">
      <c r="F1013" s="1"/>
      <c r="G1013" s="1"/>
      <c r="H1013" s="1"/>
      <c r="I1013" s="1"/>
      <c r="J1013" s="1"/>
      <c r="Q1013" s="3"/>
      <c r="R1013" s="3"/>
      <c r="S1013" s="3"/>
      <c r="T1013" s="3"/>
      <c r="U1013" s="3"/>
      <c r="V1013" s="3"/>
      <c r="W1013" s="3"/>
      <c r="X1013" s="3"/>
      <c r="Y1013" s="3"/>
      <c r="Z1013" s="5"/>
    </row>
    <row r="1014" ht="15.75" customHeight="1">
      <c r="F1014" s="1"/>
      <c r="G1014" s="1"/>
      <c r="H1014" s="1"/>
      <c r="I1014" s="1"/>
      <c r="J1014" s="1"/>
      <c r="Q1014" s="3"/>
      <c r="R1014" s="3"/>
      <c r="S1014" s="3"/>
      <c r="T1014" s="3"/>
      <c r="U1014" s="3"/>
      <c r="V1014" s="3"/>
      <c r="W1014" s="3"/>
      <c r="X1014" s="3"/>
      <c r="Y1014" s="3"/>
      <c r="Z1014" s="5"/>
    </row>
  </sheetData>
  <mergeCells count="77">
    <mergeCell ref="G78:H78"/>
    <mergeCell ref="G79:H79"/>
    <mergeCell ref="G75:H75"/>
    <mergeCell ref="I75:J75"/>
    <mergeCell ref="G76:H76"/>
    <mergeCell ref="I76:J76"/>
    <mergeCell ref="G77:H77"/>
    <mergeCell ref="I77:J77"/>
    <mergeCell ref="I78:J78"/>
    <mergeCell ref="I79:J79"/>
    <mergeCell ref="F81:J81"/>
    <mergeCell ref="G82:H82"/>
    <mergeCell ref="I82:J82"/>
    <mergeCell ref="G83:H83"/>
    <mergeCell ref="I83:J83"/>
    <mergeCell ref="I84:J84"/>
    <mergeCell ref="W90:AD90"/>
    <mergeCell ref="AE90:AL90"/>
    <mergeCell ref="AM90:AT90"/>
    <mergeCell ref="AU90:BB90"/>
    <mergeCell ref="BC90:BJ90"/>
    <mergeCell ref="G84:H84"/>
    <mergeCell ref="G85:H85"/>
    <mergeCell ref="I85:J85"/>
    <mergeCell ref="G86:H86"/>
    <mergeCell ref="I86:J86"/>
    <mergeCell ref="G87:H87"/>
    <mergeCell ref="I87:J87"/>
    <mergeCell ref="B2:D2"/>
    <mergeCell ref="F2:J2"/>
    <mergeCell ref="L2:N2"/>
    <mergeCell ref="Q2:T2"/>
    <mergeCell ref="Q3:Q4"/>
    <mergeCell ref="R3:R4"/>
    <mergeCell ref="S3:T3"/>
    <mergeCell ref="L3:N3"/>
    <mergeCell ref="L4:N4"/>
    <mergeCell ref="L5:N5"/>
    <mergeCell ref="L6:N6"/>
    <mergeCell ref="L7:N7"/>
    <mergeCell ref="Q7:R7"/>
    <mergeCell ref="S7:T7"/>
    <mergeCell ref="M13:M14"/>
    <mergeCell ref="N13:O13"/>
    <mergeCell ref="Q13:Y13"/>
    <mergeCell ref="R14:S14"/>
    <mergeCell ref="T14:U14"/>
    <mergeCell ref="V14:W14"/>
    <mergeCell ref="X14:Y14"/>
    <mergeCell ref="L8:N8"/>
    <mergeCell ref="L9:N9"/>
    <mergeCell ref="L10:N10"/>
    <mergeCell ref="Q10:R10"/>
    <mergeCell ref="L11:N11"/>
    <mergeCell ref="Q11:R11"/>
    <mergeCell ref="L13:L14"/>
    <mergeCell ref="Q14:Q15"/>
    <mergeCell ref="N21:O21"/>
    <mergeCell ref="L25:N25"/>
    <mergeCell ref="F37:J37"/>
    <mergeCell ref="F38:F39"/>
    <mergeCell ref="G38:H38"/>
    <mergeCell ref="I38:J38"/>
    <mergeCell ref="F48:F49"/>
    <mergeCell ref="G48:H48"/>
    <mergeCell ref="I48:J48"/>
    <mergeCell ref="F53:J53"/>
    <mergeCell ref="F54:F55"/>
    <mergeCell ref="G54:H54"/>
    <mergeCell ref="I54:J54"/>
    <mergeCell ref="F63:J63"/>
    <mergeCell ref="F64:F65"/>
    <mergeCell ref="G64:H64"/>
    <mergeCell ref="I64:J64"/>
    <mergeCell ref="F73:J73"/>
    <mergeCell ref="G74:H74"/>
    <mergeCell ref="I74:J74"/>
  </mergeCells>
  <conditionalFormatting sqref="BC92:BJ116">
    <cfRule type="cellIs" dxfId="0" priority="1" operator="equal">
      <formula>"Yes"</formula>
    </cfRule>
  </conditionalFormatting>
  <hyperlinks>
    <hyperlink r:id="rId1" location="gid=730945074" ref="W1"/>
    <hyperlink r:id="rId2" ref="B11"/>
    <hyperlink r:id="rId3" ref="B19"/>
    <hyperlink r:id="rId4" ref="B20"/>
    <hyperlink r:id="rId5" ref="B21"/>
    <hyperlink r:id="rId6" location=":~:text=1%20megawatt%20(MW)%20of%20solar%20panels%20will%20generate%202%2C146%20megawatt,of%20solar%20energy%20per%20year." ref="I21"/>
    <hyperlink r:id="rId7" ref="B22"/>
    <hyperlink r:id="rId8" ref="B23"/>
    <hyperlink r:id="rId9" ref="D23"/>
    <hyperlink r:id="rId10" ref="B24"/>
    <hyperlink r:id="rId11" ref="D24"/>
    <hyperlink r:id="rId12" ref="F25"/>
    <hyperlink r:id="rId13" ref="B26"/>
    <hyperlink r:id="rId14" location=":~:text=Company%20Income%20Tax%20Rates,income%20tax%20rate%20is%2030%25." ref="B37"/>
    <hyperlink r:id="rId15" location=":~:text=Hawaii%20Tax%20Rates%2C%20Collections%2C%20and%20Burdens&amp;text=Hawaii%20also%20has%20a%204.40,tax%20rate%20of%204.44%20percent." ref="B38"/>
    <hyperlink r:id="rId16" ref="B49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5.88"/>
    <col customWidth="1" min="3" max="3" width="27.5"/>
  </cols>
  <sheetData>
    <row r="1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5.75" customHeight="1">
      <c r="A2" s="5"/>
      <c r="B2" s="199" t="s">
        <v>166</v>
      </c>
      <c r="C2" s="8"/>
      <c r="D2" s="200" t="s">
        <v>167</v>
      </c>
      <c r="E2" s="201"/>
      <c r="F2" s="201"/>
      <c r="G2" s="201"/>
      <c r="H2" s="201"/>
      <c r="I2" s="201"/>
      <c r="J2" s="201"/>
      <c r="K2" s="201"/>
      <c r="L2" s="201"/>
      <c r="M2" s="202"/>
      <c r="N2" s="203" t="s">
        <v>168</v>
      </c>
      <c r="O2" s="8"/>
      <c r="P2" s="5"/>
    </row>
    <row r="3" ht="15.75" customHeight="1">
      <c r="A3" s="5"/>
      <c r="B3" s="82"/>
      <c r="C3" s="23"/>
      <c r="D3" s="204" t="s">
        <v>169</v>
      </c>
      <c r="E3" s="8"/>
      <c r="F3" s="205" t="s">
        <v>170</v>
      </c>
      <c r="G3" s="8"/>
      <c r="H3" s="206" t="s">
        <v>171</v>
      </c>
      <c r="I3" s="8"/>
      <c r="J3" s="207" t="s">
        <v>172</v>
      </c>
      <c r="K3" s="8"/>
      <c r="L3" s="208" t="s">
        <v>173</v>
      </c>
      <c r="M3" s="8"/>
      <c r="N3" s="82"/>
      <c r="O3" s="23"/>
      <c r="P3" s="5"/>
    </row>
    <row r="4" ht="15.75" customHeight="1">
      <c r="A4" s="5"/>
      <c r="B4" s="209"/>
      <c r="C4" s="188"/>
      <c r="D4" s="210" t="s">
        <v>21</v>
      </c>
      <c r="E4" s="211" t="s">
        <v>22</v>
      </c>
      <c r="F4" s="212" t="s">
        <v>21</v>
      </c>
      <c r="G4" s="213" t="s">
        <v>22</v>
      </c>
      <c r="H4" s="214" t="s">
        <v>21</v>
      </c>
      <c r="I4" s="215" t="s">
        <v>22</v>
      </c>
      <c r="J4" s="216" t="s">
        <v>21</v>
      </c>
      <c r="K4" s="217" t="s">
        <v>22</v>
      </c>
      <c r="L4" s="218" t="s">
        <v>21</v>
      </c>
      <c r="M4" s="219" t="s">
        <v>22</v>
      </c>
      <c r="N4" s="220" t="s">
        <v>21</v>
      </c>
      <c r="O4" s="221" t="s">
        <v>22</v>
      </c>
      <c r="P4" s="5"/>
    </row>
    <row r="5" ht="15.75" customHeight="1">
      <c r="A5" s="5"/>
      <c r="B5" s="222" t="s">
        <v>174</v>
      </c>
      <c r="C5" s="223"/>
      <c r="D5" s="224">
        <f t="shared" ref="D5:M5" si="1">SUM(D6:D8)</f>
        <v>7982976.295</v>
      </c>
      <c r="E5" s="225">
        <f t="shared" si="1"/>
        <v>12385704.72</v>
      </c>
      <c r="F5" s="226">
        <f t="shared" si="1"/>
        <v>8922336.574</v>
      </c>
      <c r="G5" s="227">
        <f t="shared" si="1"/>
        <v>9188356.99</v>
      </c>
      <c r="H5" s="228">
        <f t="shared" si="1"/>
        <v>632835.1619</v>
      </c>
      <c r="I5" s="229">
        <f t="shared" si="1"/>
        <v>634285.3724</v>
      </c>
      <c r="J5" s="230">
        <f t="shared" si="1"/>
        <v>1919592.769</v>
      </c>
      <c r="K5" s="231">
        <f t="shared" si="1"/>
        <v>2284559.61</v>
      </c>
      <c r="L5" s="232">
        <f t="shared" si="1"/>
        <v>1515920.586</v>
      </c>
      <c r="M5" s="232">
        <f t="shared" si="1"/>
        <v>1732219.838</v>
      </c>
      <c r="N5" s="233">
        <f t="shared" ref="N5:O5" si="2">sum(D5,F5,J5,L5)</f>
        <v>20340826.23</v>
      </c>
      <c r="O5" s="234">
        <f t="shared" si="2"/>
        <v>25590841.16</v>
      </c>
      <c r="P5" s="5"/>
    </row>
    <row r="6" ht="15.75" customHeight="1">
      <c r="A6" s="5"/>
      <c r="B6" s="235"/>
      <c r="C6" s="236" t="s">
        <v>175</v>
      </c>
      <c r="D6" s="237">
        <f>'Inputs Overview'!F17</f>
        <v>2892080.542</v>
      </c>
      <c r="E6" s="238">
        <f>'Inputs Overview'!F17</f>
        <v>2892080.542</v>
      </c>
      <c r="F6" s="237">
        <f>'Biomass Overview'!F8</f>
        <v>8889546</v>
      </c>
      <c r="G6" s="239">
        <f>'Biomass Overview'!F8</f>
        <v>8889546</v>
      </c>
      <c r="H6" s="237">
        <f>'Inoculum Overview'!O23</f>
        <v>632656.404</v>
      </c>
      <c r="I6" s="238">
        <f>'Inoculum Overview'!P23</f>
        <v>632656.404</v>
      </c>
      <c r="J6" s="239">
        <f>'Harvesting Overview'!F12</f>
        <v>695353.5396</v>
      </c>
      <c r="K6" s="240">
        <f>'Harvesting Overview'!F12</f>
        <v>695353.5396</v>
      </c>
      <c r="L6" s="239">
        <f>'Drying Overview'!E9</f>
        <v>402948.5602</v>
      </c>
      <c r="M6" s="239">
        <f>'Drying Overview'!E9</f>
        <v>402948.5602</v>
      </c>
      <c r="N6" s="241">
        <f t="shared" ref="N6:O6" si="3">sum(D6,F6,J6,L6)</f>
        <v>12879928.64</v>
      </c>
      <c r="O6" s="242">
        <f t="shared" si="3"/>
        <v>12879928.64</v>
      </c>
      <c r="P6" s="243">
        <f t="shared" ref="P6:P8" si="5">AVERAGE(N6:O6)/1000000</f>
        <v>12.87992864</v>
      </c>
      <c r="Q6" s="244">
        <f t="shared" ref="Q6:Q8" si="6">AVERAGE(D6:E6)/1000000</f>
        <v>2.892080542</v>
      </c>
      <c r="R6" s="244">
        <f t="shared" ref="R6:R8" si="7">AVERAGE(F6:G6)/1000000</f>
        <v>8.889546</v>
      </c>
      <c r="S6" s="244">
        <f t="shared" ref="S6:S8" si="8">AVERAGE(H6:I6)/1000000</f>
        <v>0.632656404</v>
      </c>
      <c r="T6" s="244">
        <f t="shared" ref="T6:T8" si="9">AVERAGE(J6:K6)/1000000</f>
        <v>0.6953535396</v>
      </c>
      <c r="U6" s="244">
        <f t="shared" ref="U6:U8" si="10">AVERAGE(L6:M6)/1000000</f>
        <v>0.4029485602</v>
      </c>
    </row>
    <row r="7" ht="15.75" customHeight="1">
      <c r="A7" s="5"/>
      <c r="B7" s="235"/>
      <c r="C7" s="236" t="s">
        <v>176</v>
      </c>
      <c r="D7" s="237">
        <f>'Inputs Overview'!N23-'Inputs Overview'!F17</f>
        <v>5090061.753</v>
      </c>
      <c r="E7" s="238">
        <f>'Inputs Overview'!O23-'Inputs Overview'!F17</f>
        <v>9486024.177</v>
      </c>
      <c r="F7" s="237">
        <f>'Biomass Overview'!O23-'Biomass Overview'!F8</f>
        <v>0</v>
      </c>
      <c r="G7" s="239">
        <f>'Biomass Overview'!P23-'Biomass Overview'!F8</f>
        <v>0</v>
      </c>
      <c r="H7" s="237">
        <f>'Inoculum Overview'!O23-'Inoculum Overview'!F9</f>
        <v>0</v>
      </c>
      <c r="I7" s="238">
        <f>'Inoculum Overview'!P23-'Inoculum Overview'!F9</f>
        <v>0</v>
      </c>
      <c r="J7" s="239">
        <f>'Harvesting Overview'!O23-'Harvesting Overview'!F12</f>
        <v>1223822.23</v>
      </c>
      <c r="K7" s="238">
        <f>'Harvesting Overview'!P23-'Harvesting Overview'!F12</f>
        <v>1585406.07</v>
      </c>
      <c r="L7" s="239">
        <f>'Drying Overview'!N23</f>
        <v>1112138.026</v>
      </c>
      <c r="M7" s="239">
        <f>'Drying Overview'!O23</f>
        <v>1321671.277</v>
      </c>
      <c r="N7" s="241">
        <f t="shared" ref="N7:O7" si="4">sum(D7,F7,J7,L7)</f>
        <v>7426022.009</v>
      </c>
      <c r="O7" s="242">
        <f t="shared" si="4"/>
        <v>12393101.52</v>
      </c>
      <c r="P7" s="243">
        <f t="shared" si="5"/>
        <v>9.909561767</v>
      </c>
      <c r="Q7" s="244">
        <f t="shared" si="6"/>
        <v>7.288042965</v>
      </c>
      <c r="R7" s="244">
        <f t="shared" si="7"/>
        <v>0</v>
      </c>
      <c r="S7" s="244">
        <f t="shared" si="8"/>
        <v>0</v>
      </c>
      <c r="T7" s="244">
        <f t="shared" si="9"/>
        <v>1.40461415</v>
      </c>
      <c r="U7" s="244">
        <f t="shared" si="10"/>
        <v>1.216904652</v>
      </c>
    </row>
    <row r="8" ht="15.75" customHeight="1">
      <c r="A8" s="5"/>
      <c r="B8" s="235"/>
      <c r="C8" s="236" t="s">
        <v>177</v>
      </c>
      <c r="D8" s="237">
        <f>'Inputs Overview'!N34</f>
        <v>834</v>
      </c>
      <c r="E8" s="238">
        <f>'Inputs Overview'!N35</f>
        <v>7600</v>
      </c>
      <c r="F8" s="237">
        <f>'Biomass Overview'!O35</f>
        <v>32790.57446</v>
      </c>
      <c r="G8" s="239">
        <f>'Biomass Overview'!O36</f>
        <v>298810.9903</v>
      </c>
      <c r="H8" s="237">
        <f>'Inoculum Overview'!O35</f>
        <v>178.7578532</v>
      </c>
      <c r="I8" s="238">
        <f>'Inoculum Overview'!O36</f>
        <v>1628.968446</v>
      </c>
      <c r="J8" s="239">
        <f>'Harvesting Overview'!O35</f>
        <v>417</v>
      </c>
      <c r="K8" s="238">
        <f>'Harvesting Overview'!O36</f>
        <v>3800</v>
      </c>
      <c r="L8" s="239">
        <f>'Drying Overview'!N35</f>
        <v>834</v>
      </c>
      <c r="M8" s="239">
        <f>'Drying Overview'!N36</f>
        <v>7600</v>
      </c>
      <c r="N8" s="241">
        <f t="shared" ref="N8:O8" si="11">sum(D8,F8,J8,L8)</f>
        <v>34875.57446</v>
      </c>
      <c r="O8" s="242">
        <f t="shared" si="11"/>
        <v>317810.9903</v>
      </c>
      <c r="P8" s="243">
        <f t="shared" si="5"/>
        <v>0.1763432824</v>
      </c>
      <c r="Q8" s="244">
        <f t="shared" si="6"/>
        <v>0.004217</v>
      </c>
      <c r="R8" s="244">
        <f t="shared" si="7"/>
        <v>0.1658007824</v>
      </c>
      <c r="S8" s="244">
        <f t="shared" si="8"/>
        <v>0.0009038631498</v>
      </c>
      <c r="T8" s="244">
        <f t="shared" si="9"/>
        <v>0.0021085</v>
      </c>
      <c r="U8" s="244">
        <f t="shared" si="10"/>
        <v>0.004217</v>
      </c>
    </row>
    <row r="9" ht="15.75" customHeight="1">
      <c r="A9" s="5"/>
      <c r="B9" s="222" t="s">
        <v>178</v>
      </c>
      <c r="C9" s="223"/>
      <c r="D9" s="224">
        <f t="shared" ref="D9:M9" si="12">SUM(D10:D13)</f>
        <v>3914942.966</v>
      </c>
      <c r="E9" s="225">
        <f t="shared" si="12"/>
        <v>4133942.966</v>
      </c>
      <c r="F9" s="226">
        <f t="shared" si="12"/>
        <v>3488359.773</v>
      </c>
      <c r="G9" s="227">
        <f t="shared" si="12"/>
        <v>4072359.773</v>
      </c>
      <c r="H9" s="228">
        <f t="shared" si="12"/>
        <v>907762.8445</v>
      </c>
      <c r="I9" s="229">
        <f t="shared" si="12"/>
        <v>980762.8445</v>
      </c>
      <c r="J9" s="230">
        <f t="shared" si="12"/>
        <v>850191.4238</v>
      </c>
      <c r="K9" s="231">
        <f t="shared" si="12"/>
        <v>850191.4238</v>
      </c>
      <c r="L9" s="232">
        <f t="shared" si="12"/>
        <v>741693.0928</v>
      </c>
      <c r="M9" s="232">
        <f t="shared" si="12"/>
        <v>814693.0928</v>
      </c>
      <c r="N9" s="245">
        <f t="shared" ref="N9:O9" si="13">sum(D9,F9,J9,L9)</f>
        <v>8995187.255</v>
      </c>
      <c r="O9" s="246">
        <f t="shared" si="13"/>
        <v>9871187.255</v>
      </c>
      <c r="P9" s="247"/>
      <c r="Q9" s="5"/>
      <c r="R9" s="5"/>
      <c r="S9" s="5"/>
      <c r="T9" s="5"/>
      <c r="U9" s="5"/>
    </row>
    <row r="10" ht="15.75" customHeight="1">
      <c r="A10" s="5"/>
      <c r="B10" s="235"/>
      <c r="C10" s="236" t="s">
        <v>179</v>
      </c>
      <c r="D10" s="237">
        <f>'Inputs Overview'!E48</f>
        <v>2897919.463</v>
      </c>
      <c r="E10" s="238">
        <f>'Inputs Overview'!E48</f>
        <v>2897919.463</v>
      </c>
      <c r="F10" s="248">
        <f>'Biomass Overview'!E45</f>
        <v>0</v>
      </c>
      <c r="G10" s="249">
        <f>'Biomass Overview'!E45*2</f>
        <v>0</v>
      </c>
      <c r="H10" s="237">
        <f>'Inoculum Overview'!E45</f>
        <v>0</v>
      </c>
      <c r="I10" s="238">
        <f>'Inoculum Overview'!E45</f>
        <v>0</v>
      </c>
      <c r="J10" s="239">
        <v>0.0</v>
      </c>
      <c r="K10" s="238">
        <v>0.0</v>
      </c>
      <c r="L10" s="239">
        <v>0.0</v>
      </c>
      <c r="M10" s="239">
        <v>0.0</v>
      </c>
      <c r="N10" s="241">
        <f t="shared" ref="N10:O10" si="14">sum(D10,F10,J10,L10)</f>
        <v>2897919.463</v>
      </c>
      <c r="O10" s="242">
        <f t="shared" si="14"/>
        <v>2897919.463</v>
      </c>
      <c r="P10" s="243">
        <f t="shared" ref="P10:P13" si="16">AVERAGE(N10:O10)/1000000</f>
        <v>2.897919463</v>
      </c>
      <c r="Q10" s="244">
        <f t="shared" ref="Q10:Q13" si="17">AVERAGE(D10:E10)/1000000</f>
        <v>2.897919463</v>
      </c>
      <c r="R10" s="244">
        <f t="shared" ref="R10:R13" si="18">AVERAGE(F10:G10)/1000000</f>
        <v>0</v>
      </c>
      <c r="S10" s="244">
        <f t="shared" ref="S10:S13" si="19">AVERAGE(H10:I10)/1000000</f>
        <v>0</v>
      </c>
      <c r="T10" s="244">
        <f t="shared" ref="T10:T13" si="20">AVERAGE(J10:K10)/1000000</f>
        <v>0</v>
      </c>
      <c r="U10" s="244">
        <f t="shared" ref="U10:U13" si="21">AVERAGE(L10:M10)/1000000</f>
        <v>0</v>
      </c>
    </row>
    <row r="11" ht="15.75" customHeight="1">
      <c r="A11" s="5"/>
      <c r="B11" s="235"/>
      <c r="C11" s="236" t="s">
        <v>180</v>
      </c>
      <c r="D11" s="237">
        <f>'Inputs Overview'!E64</f>
        <v>38504.5313</v>
      </c>
      <c r="E11" s="238">
        <f>'Inputs Overview'!E64</f>
        <v>38504.5313</v>
      </c>
      <c r="F11" s="237">
        <f>'Biomass Overview'!E52</f>
        <v>1656882.473</v>
      </c>
      <c r="G11" s="239">
        <f>'Biomass Overview'!E52</f>
        <v>1656882.473</v>
      </c>
      <c r="H11" s="237">
        <f>'Inoculum Overview'!E53</f>
        <v>130.0243309</v>
      </c>
      <c r="I11" s="238">
        <f>'Inoculum Overview'!E53</f>
        <v>130.0243309</v>
      </c>
      <c r="J11" s="239">
        <f>'Harvesting Overview'!E56</f>
        <v>121395.4041</v>
      </c>
      <c r="K11" s="238">
        <f>'Harvesting Overview'!E56</f>
        <v>121395.4041</v>
      </c>
      <c r="L11" s="239">
        <f>'Drying Overview'!E53</f>
        <v>21246.69361</v>
      </c>
      <c r="M11" s="239">
        <f>'Drying Overview'!E53</f>
        <v>21246.69361</v>
      </c>
      <c r="N11" s="241">
        <f t="shared" ref="N11:O11" si="15">sum(D11,F11,J11,L11)</f>
        <v>1838029.102</v>
      </c>
      <c r="O11" s="242">
        <f t="shared" si="15"/>
        <v>1838029.102</v>
      </c>
      <c r="P11" s="243">
        <f t="shared" si="16"/>
        <v>1.838029102</v>
      </c>
      <c r="Q11" s="244">
        <f t="shared" si="17"/>
        <v>0.0385045313</v>
      </c>
      <c r="R11" s="244">
        <f t="shared" si="18"/>
        <v>1.656882473</v>
      </c>
      <c r="S11" s="244">
        <f t="shared" si="19"/>
        <v>0.0001300243309</v>
      </c>
      <c r="T11" s="244">
        <f t="shared" si="20"/>
        <v>0.1213954041</v>
      </c>
      <c r="U11" s="244">
        <f t="shared" si="21"/>
        <v>0.02124669361</v>
      </c>
    </row>
    <row r="12" ht="15.75" customHeight="1">
      <c r="A12" s="5"/>
      <c r="B12" s="235"/>
      <c r="C12" s="236" t="s">
        <v>181</v>
      </c>
      <c r="D12" s="237">
        <f>'Inputs Overview'!E82</f>
        <v>139018.9717</v>
      </c>
      <c r="E12" s="238">
        <f>'Inputs Overview'!E82</f>
        <v>139018.9717</v>
      </c>
      <c r="F12" s="237">
        <f>'Biomass Overview'!E60</f>
        <v>444477.3</v>
      </c>
      <c r="G12" s="239">
        <f>'Biomass Overview'!E60</f>
        <v>444477.3</v>
      </c>
      <c r="H12" s="237">
        <f>'Inoculum Overview'!E62</f>
        <v>31632.8202</v>
      </c>
      <c r="I12" s="238">
        <f>'Inoculum Overview'!E62</f>
        <v>31632.8202</v>
      </c>
      <c r="J12" s="239">
        <f>'Harvesting Overview'!E68</f>
        <v>35296.01969</v>
      </c>
      <c r="K12" s="238">
        <f>'Harvesting Overview'!E68</f>
        <v>35296.01969</v>
      </c>
      <c r="L12" s="239">
        <f>'Drying Overview'!E62</f>
        <v>26946.39921</v>
      </c>
      <c r="M12" s="239">
        <f>'Drying Overview'!E62</f>
        <v>26946.39921</v>
      </c>
      <c r="N12" s="241">
        <f t="shared" ref="N12:O12" si="22">sum(D12,F12,J12,L12)</f>
        <v>645738.6906</v>
      </c>
      <c r="O12" s="242">
        <f t="shared" si="22"/>
        <v>645738.6906</v>
      </c>
      <c r="P12" s="243">
        <f t="shared" si="16"/>
        <v>0.6457386906</v>
      </c>
      <c r="Q12" s="244">
        <f t="shared" si="17"/>
        <v>0.1390189717</v>
      </c>
      <c r="R12" s="244">
        <f t="shared" si="18"/>
        <v>0.4444773</v>
      </c>
      <c r="S12" s="244">
        <f t="shared" si="19"/>
        <v>0.0316328202</v>
      </c>
      <c r="T12" s="244">
        <f t="shared" si="20"/>
        <v>0.03529601969</v>
      </c>
      <c r="U12" s="244">
        <f t="shared" si="21"/>
        <v>0.02694639921</v>
      </c>
    </row>
    <row r="13" ht="15.75" customHeight="1">
      <c r="A13" s="5"/>
      <c r="B13" s="250"/>
      <c r="C13" s="251" t="s">
        <v>182</v>
      </c>
      <c r="D13" s="252">
        <f>'Inputs Overview'!N48</f>
        <v>839500</v>
      </c>
      <c r="E13" s="253">
        <f>'Inputs Overview'!N50</f>
        <v>1058500</v>
      </c>
      <c r="F13" s="252">
        <f>'Biomass Overview'!N49</f>
        <v>1387000</v>
      </c>
      <c r="G13" s="254">
        <f>'Biomass Overview'!N51</f>
        <v>1971000</v>
      </c>
      <c r="H13" s="252">
        <f>'Inoculum Overview'!N49</f>
        <v>876000</v>
      </c>
      <c r="I13" s="253">
        <f>'Inoculum Overview'!N51</f>
        <v>949000</v>
      </c>
      <c r="J13" s="254">
        <f>'Harvesting Overview'!N49</f>
        <v>693500</v>
      </c>
      <c r="K13" s="253">
        <f>'Harvesting Overview'!N51</f>
        <v>693500</v>
      </c>
      <c r="L13" s="254">
        <f>'Drying Overview'!N49</f>
        <v>693500</v>
      </c>
      <c r="M13" s="254">
        <f>'Drying Overview'!N51</f>
        <v>766500</v>
      </c>
      <c r="N13" s="255">
        <f t="shared" ref="N13:O13" si="23">sum(D13,F13,J13,L13)</f>
        <v>3613500</v>
      </c>
      <c r="O13" s="256">
        <f t="shared" si="23"/>
        <v>4489500</v>
      </c>
      <c r="P13" s="243">
        <f t="shared" si="16"/>
        <v>4.0515</v>
      </c>
      <c r="Q13" s="244">
        <f t="shared" si="17"/>
        <v>0.949</v>
      </c>
      <c r="R13" s="244">
        <f t="shared" si="18"/>
        <v>1.679</v>
      </c>
      <c r="S13" s="244">
        <f t="shared" si="19"/>
        <v>0.9125</v>
      </c>
      <c r="T13" s="244">
        <f t="shared" si="20"/>
        <v>0.6935</v>
      </c>
      <c r="U13" s="244">
        <f t="shared" si="21"/>
        <v>0.73</v>
      </c>
    </row>
    <row r="14" ht="15.75" customHeight="1">
      <c r="A14" s="5"/>
      <c r="B14" s="257"/>
      <c r="C14" s="257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7"/>
      <c r="O14" s="257"/>
      <c r="P14" s="244">
        <f>SUM(P6:P13)</f>
        <v>32.39902095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5"/>
      <c r="B15" s="259" t="s">
        <v>183</v>
      </c>
      <c r="C15" s="8"/>
      <c r="D15" s="200" t="s">
        <v>167</v>
      </c>
      <c r="E15" s="201"/>
      <c r="F15" s="201"/>
      <c r="G15" s="201"/>
      <c r="H15" s="201"/>
      <c r="I15" s="201"/>
      <c r="J15" s="201"/>
      <c r="K15" s="201"/>
      <c r="L15" s="201"/>
      <c r="M15" s="202"/>
      <c r="N15" s="203" t="s">
        <v>168</v>
      </c>
      <c r="O15" s="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5"/>
      <c r="B16" s="82"/>
      <c r="C16" s="23"/>
      <c r="D16" s="204" t="s">
        <v>169</v>
      </c>
      <c r="E16" s="8"/>
      <c r="F16" s="205" t="s">
        <v>170</v>
      </c>
      <c r="G16" s="8"/>
      <c r="H16" s="206" t="s">
        <v>171</v>
      </c>
      <c r="I16" s="8"/>
      <c r="J16" s="207" t="s">
        <v>172</v>
      </c>
      <c r="K16" s="8"/>
      <c r="L16" s="208" t="s">
        <v>173</v>
      </c>
      <c r="M16" s="8"/>
      <c r="N16" s="82"/>
      <c r="O16" s="23"/>
      <c r="P16" s="5"/>
    </row>
    <row r="17" ht="15.75" customHeight="1">
      <c r="A17" s="5"/>
      <c r="B17" s="209"/>
      <c r="C17" s="188"/>
      <c r="D17" s="210" t="s">
        <v>21</v>
      </c>
      <c r="E17" s="211" t="s">
        <v>22</v>
      </c>
      <c r="F17" s="212" t="s">
        <v>21</v>
      </c>
      <c r="G17" s="213" t="s">
        <v>22</v>
      </c>
      <c r="H17" s="214" t="s">
        <v>21</v>
      </c>
      <c r="I17" s="215" t="s">
        <v>22</v>
      </c>
      <c r="J17" s="216" t="s">
        <v>21</v>
      </c>
      <c r="K17" s="217" t="s">
        <v>22</v>
      </c>
      <c r="L17" s="218" t="s">
        <v>21</v>
      </c>
      <c r="M17" s="219" t="s">
        <v>22</v>
      </c>
      <c r="N17" s="260" t="s">
        <v>21</v>
      </c>
      <c r="O17" s="261" t="s">
        <v>22</v>
      </c>
      <c r="P17" s="5"/>
    </row>
    <row r="18" ht="15.75" customHeight="1">
      <c r="A18" s="5"/>
      <c r="B18" s="222" t="s">
        <v>174</v>
      </c>
      <c r="C18" s="223"/>
      <c r="D18" s="262">
        <f t="shared" ref="D18:O18" si="24">SUM(D19:D21)</f>
        <v>1</v>
      </c>
      <c r="E18" s="263">
        <f t="shared" si="24"/>
        <v>1</v>
      </c>
      <c r="F18" s="264">
        <f t="shared" si="24"/>
        <v>1</v>
      </c>
      <c r="G18" s="265">
        <f t="shared" si="24"/>
        <v>1</v>
      </c>
      <c r="H18" s="266">
        <f t="shared" si="24"/>
        <v>1</v>
      </c>
      <c r="I18" s="267">
        <f t="shared" si="24"/>
        <v>1</v>
      </c>
      <c r="J18" s="268">
        <f t="shared" si="24"/>
        <v>1</v>
      </c>
      <c r="K18" s="269">
        <f t="shared" si="24"/>
        <v>1</v>
      </c>
      <c r="L18" s="270">
        <f t="shared" si="24"/>
        <v>1</v>
      </c>
      <c r="M18" s="270">
        <f t="shared" si="24"/>
        <v>1</v>
      </c>
      <c r="N18" s="271">
        <f t="shared" si="24"/>
        <v>1</v>
      </c>
      <c r="O18" s="272">
        <f t="shared" si="24"/>
        <v>1</v>
      </c>
      <c r="P18" s="5"/>
    </row>
    <row r="19" ht="15.75" customHeight="1">
      <c r="A19" s="5"/>
      <c r="B19" s="235"/>
      <c r="C19" s="236" t="s">
        <v>175</v>
      </c>
      <c r="D19" s="273">
        <f t="shared" ref="D19:O19" si="25">D6/D$5</f>
        <v>0.3622809883</v>
      </c>
      <c r="E19" s="274">
        <f t="shared" si="25"/>
        <v>0.2335014928</v>
      </c>
      <c r="F19" s="273">
        <f t="shared" si="25"/>
        <v>0.9963248893</v>
      </c>
      <c r="G19" s="275">
        <f t="shared" si="25"/>
        <v>0.9674793883</v>
      </c>
      <c r="H19" s="273">
        <f t="shared" si="25"/>
        <v>0.9997175286</v>
      </c>
      <c r="I19" s="274">
        <f t="shared" si="25"/>
        <v>0.9974318051</v>
      </c>
      <c r="J19" s="275">
        <f t="shared" si="25"/>
        <v>0.3622401328</v>
      </c>
      <c r="K19" s="276">
        <f t="shared" si="25"/>
        <v>0.3043709328</v>
      </c>
      <c r="L19" s="275">
        <f t="shared" si="25"/>
        <v>0.2658111275</v>
      </c>
      <c r="M19" s="275">
        <f t="shared" si="25"/>
        <v>0.2326197584</v>
      </c>
      <c r="N19" s="273">
        <f t="shared" si="25"/>
        <v>0.6332057754</v>
      </c>
      <c r="O19" s="274">
        <f t="shared" si="25"/>
        <v>0.5033022777</v>
      </c>
      <c r="P19" s="5"/>
    </row>
    <row r="20" ht="15.75" customHeight="1">
      <c r="A20" s="5"/>
      <c r="B20" s="235"/>
      <c r="C20" s="236" t="s">
        <v>176</v>
      </c>
      <c r="D20" s="273">
        <f t="shared" ref="D20:O20" si="26">D7/D$5</f>
        <v>0.6376145394</v>
      </c>
      <c r="E20" s="274">
        <f t="shared" si="26"/>
        <v>0.7658848965</v>
      </c>
      <c r="F20" s="273">
        <f t="shared" si="26"/>
        <v>0</v>
      </c>
      <c r="G20" s="275">
        <f t="shared" si="26"/>
        <v>0</v>
      </c>
      <c r="H20" s="273">
        <f t="shared" si="26"/>
        <v>0</v>
      </c>
      <c r="I20" s="274">
        <f t="shared" si="26"/>
        <v>0</v>
      </c>
      <c r="J20" s="275">
        <f t="shared" si="26"/>
        <v>0.6375426337</v>
      </c>
      <c r="K20" s="274">
        <f t="shared" si="26"/>
        <v>0.6939657269</v>
      </c>
      <c r="L20" s="275">
        <f t="shared" si="26"/>
        <v>0.7336387118</v>
      </c>
      <c r="M20" s="275">
        <f t="shared" si="26"/>
        <v>0.7629928077</v>
      </c>
      <c r="N20" s="273">
        <f t="shared" si="26"/>
        <v>0.3650796643</v>
      </c>
      <c r="O20" s="274">
        <f t="shared" si="26"/>
        <v>0.4842787874</v>
      </c>
      <c r="P20" s="5"/>
    </row>
    <row r="21" ht="15.75" customHeight="1">
      <c r="A21" s="5"/>
      <c r="B21" s="235"/>
      <c r="C21" s="236" t="s">
        <v>177</v>
      </c>
      <c r="D21" s="273">
        <f t="shared" ref="D21:O21" si="27">D8/D$5</f>
        <v>0.0001044723132</v>
      </c>
      <c r="E21" s="274">
        <f t="shared" si="27"/>
        <v>0.0006136106239</v>
      </c>
      <c r="F21" s="273">
        <f t="shared" si="27"/>
        <v>0.003675110683</v>
      </c>
      <c r="G21" s="275">
        <f t="shared" si="27"/>
        <v>0.03252061175</v>
      </c>
      <c r="H21" s="273">
        <f t="shared" si="27"/>
        <v>0.0002824714301</v>
      </c>
      <c r="I21" s="274">
        <f t="shared" si="27"/>
        <v>0.002568194881</v>
      </c>
      <c r="J21" s="275">
        <f t="shared" si="27"/>
        <v>0.0002172335751</v>
      </c>
      <c r="K21" s="274">
        <f t="shared" si="27"/>
        <v>0.001663340271</v>
      </c>
      <c r="L21" s="275">
        <f t="shared" si="27"/>
        <v>0.0005501607456</v>
      </c>
      <c r="M21" s="275">
        <f t="shared" si="27"/>
        <v>0.004387433878</v>
      </c>
      <c r="N21" s="273">
        <f t="shared" si="27"/>
        <v>0.001714560366</v>
      </c>
      <c r="O21" s="274">
        <f t="shared" si="27"/>
        <v>0.0124189349</v>
      </c>
      <c r="P21" s="5"/>
    </row>
    <row r="22" ht="15.75" customHeight="1">
      <c r="A22" s="5"/>
      <c r="B22" s="222" t="s">
        <v>178</v>
      </c>
      <c r="C22" s="223"/>
      <c r="D22" s="262">
        <f t="shared" ref="D22:O22" si="28">SUM(D23:D26)</f>
        <v>1</v>
      </c>
      <c r="E22" s="263">
        <f t="shared" si="28"/>
        <v>1</v>
      </c>
      <c r="F22" s="264">
        <f t="shared" si="28"/>
        <v>1</v>
      </c>
      <c r="G22" s="265">
        <f t="shared" si="28"/>
        <v>1</v>
      </c>
      <c r="H22" s="266">
        <f t="shared" si="28"/>
        <v>1</v>
      </c>
      <c r="I22" s="267">
        <f t="shared" si="28"/>
        <v>1</v>
      </c>
      <c r="J22" s="268">
        <f t="shared" si="28"/>
        <v>1</v>
      </c>
      <c r="K22" s="269">
        <f t="shared" si="28"/>
        <v>1</v>
      </c>
      <c r="L22" s="270">
        <f t="shared" si="28"/>
        <v>1</v>
      </c>
      <c r="M22" s="277">
        <f t="shared" si="28"/>
        <v>1</v>
      </c>
      <c r="N22" s="271">
        <f t="shared" si="28"/>
        <v>1</v>
      </c>
      <c r="O22" s="272">
        <f t="shared" si="28"/>
        <v>1</v>
      </c>
      <c r="P22" s="5"/>
    </row>
    <row r="23" ht="15.75" customHeight="1">
      <c r="A23" s="5"/>
      <c r="B23" s="235"/>
      <c r="C23" s="236" t="s">
        <v>179</v>
      </c>
      <c r="D23" s="273">
        <f t="shared" ref="D23:O23" si="29">D10/D$9</f>
        <v>0.7402200972</v>
      </c>
      <c r="E23" s="274">
        <f t="shared" si="29"/>
        <v>0.7010061548</v>
      </c>
      <c r="F23" s="273">
        <f t="shared" si="29"/>
        <v>0</v>
      </c>
      <c r="G23" s="275">
        <f t="shared" si="29"/>
        <v>0</v>
      </c>
      <c r="H23" s="273">
        <f t="shared" si="29"/>
        <v>0</v>
      </c>
      <c r="I23" s="274">
        <f t="shared" si="29"/>
        <v>0</v>
      </c>
      <c r="J23" s="275">
        <f t="shared" si="29"/>
        <v>0</v>
      </c>
      <c r="K23" s="274">
        <f t="shared" si="29"/>
        <v>0</v>
      </c>
      <c r="L23" s="275">
        <f t="shared" si="29"/>
        <v>0</v>
      </c>
      <c r="M23" s="275">
        <f t="shared" si="29"/>
        <v>0</v>
      </c>
      <c r="N23" s="273">
        <f t="shared" si="29"/>
        <v>0.3221633281</v>
      </c>
      <c r="O23" s="274">
        <f t="shared" si="29"/>
        <v>0.2935735477</v>
      </c>
      <c r="P23" s="5"/>
    </row>
    <row r="24" ht="15.75" customHeight="1">
      <c r="A24" s="5"/>
      <c r="B24" s="235"/>
      <c r="C24" s="236" t="s">
        <v>180</v>
      </c>
      <c r="D24" s="273">
        <f t="shared" ref="D24:O24" si="30">D11/D$9</f>
        <v>0.009835272606</v>
      </c>
      <c r="E24" s="274">
        <f t="shared" si="30"/>
        <v>0.009314238639</v>
      </c>
      <c r="F24" s="273">
        <f t="shared" si="30"/>
        <v>0.474974653</v>
      </c>
      <c r="G24" s="275">
        <f t="shared" si="30"/>
        <v>0.4068605342</v>
      </c>
      <c r="H24" s="273">
        <f t="shared" si="30"/>
        <v>0.0001432360133</v>
      </c>
      <c r="I24" s="274">
        <f t="shared" si="30"/>
        <v>0.0001325746908</v>
      </c>
      <c r="J24" s="275">
        <f t="shared" si="30"/>
        <v>0.1427859664</v>
      </c>
      <c r="K24" s="274">
        <f t="shared" si="30"/>
        <v>0.1427859664</v>
      </c>
      <c r="L24" s="275">
        <f t="shared" si="30"/>
        <v>0.02864620665</v>
      </c>
      <c r="M24" s="275">
        <f t="shared" si="30"/>
        <v>0.02607938351</v>
      </c>
      <c r="N24" s="273">
        <f t="shared" si="30"/>
        <v>0.2043347236</v>
      </c>
      <c r="O24" s="274">
        <f t="shared" si="30"/>
        <v>0.1862014218</v>
      </c>
      <c r="P24" s="5"/>
    </row>
    <row r="25" ht="15.75" customHeight="1">
      <c r="A25" s="5"/>
      <c r="B25" s="235"/>
      <c r="C25" s="236" t="s">
        <v>181</v>
      </c>
      <c r="D25" s="273">
        <f t="shared" ref="D25:O25" si="31">D12/D$9</f>
        <v>0.03550983321</v>
      </c>
      <c r="E25" s="274">
        <f t="shared" si="31"/>
        <v>0.03362866224</v>
      </c>
      <c r="F25" s="273">
        <f t="shared" si="31"/>
        <v>0.127417276</v>
      </c>
      <c r="G25" s="275">
        <f t="shared" si="31"/>
        <v>0.1091449</v>
      </c>
      <c r="H25" s="273">
        <f t="shared" si="31"/>
        <v>0.03484700921</v>
      </c>
      <c r="I25" s="274">
        <f t="shared" si="31"/>
        <v>0.03225328159</v>
      </c>
      <c r="J25" s="275">
        <f t="shared" si="31"/>
        <v>0.0415153796</v>
      </c>
      <c r="K25" s="274">
        <f t="shared" si="31"/>
        <v>0.0415153796</v>
      </c>
      <c r="L25" s="275">
        <f t="shared" si="31"/>
        <v>0.03633092916</v>
      </c>
      <c r="M25" s="275">
        <f t="shared" si="31"/>
        <v>0.03307552188</v>
      </c>
      <c r="N25" s="273">
        <f t="shared" si="31"/>
        <v>0.07178713153</v>
      </c>
      <c r="O25" s="274">
        <f t="shared" si="31"/>
        <v>0.06541651718</v>
      </c>
      <c r="P25" s="5"/>
    </row>
    <row r="26" ht="15.75" customHeight="1">
      <c r="A26" s="5"/>
      <c r="B26" s="250"/>
      <c r="C26" s="251" t="s">
        <v>182</v>
      </c>
      <c r="D26" s="278">
        <f t="shared" ref="D26:O26" si="32">D13/D$9</f>
        <v>0.214434797</v>
      </c>
      <c r="E26" s="279">
        <f t="shared" si="32"/>
        <v>0.2560509443</v>
      </c>
      <c r="F26" s="278">
        <f t="shared" si="32"/>
        <v>0.3976080709</v>
      </c>
      <c r="G26" s="280">
        <f t="shared" si="32"/>
        <v>0.4839945658</v>
      </c>
      <c r="H26" s="278">
        <f t="shared" si="32"/>
        <v>0.9650097548</v>
      </c>
      <c r="I26" s="279">
        <f t="shared" si="32"/>
        <v>0.9676141437</v>
      </c>
      <c r="J26" s="280">
        <f t="shared" si="32"/>
        <v>0.815698654</v>
      </c>
      <c r="K26" s="279">
        <f t="shared" si="32"/>
        <v>0.815698654</v>
      </c>
      <c r="L26" s="280">
        <f t="shared" si="32"/>
        <v>0.9350228642</v>
      </c>
      <c r="M26" s="280">
        <f t="shared" si="32"/>
        <v>0.9408450946</v>
      </c>
      <c r="N26" s="278">
        <f t="shared" si="32"/>
        <v>0.4017148168</v>
      </c>
      <c r="O26" s="279">
        <f t="shared" si="32"/>
        <v>0.4548085133</v>
      </c>
      <c r="P26" s="5"/>
    </row>
    <row r="27" ht="15.75" customHeight="1">
      <c r="A27" s="5"/>
      <c r="B27" s="5"/>
      <c r="C27" s="247"/>
      <c r="D27" s="281"/>
      <c r="E27" s="281"/>
      <c r="F27" s="281"/>
      <c r="G27" s="281"/>
      <c r="H27" s="5"/>
      <c r="I27" s="5"/>
      <c r="J27" s="5"/>
      <c r="K27" s="5"/>
      <c r="M27" s="282"/>
      <c r="N27" s="283"/>
      <c r="O27" s="283"/>
      <c r="P27" s="5"/>
    </row>
    <row r="28" ht="15.75" customHeight="1">
      <c r="A28" s="5"/>
      <c r="B28" s="259" t="s">
        <v>184</v>
      </c>
      <c r="C28" s="8"/>
      <c r="D28" s="200" t="s">
        <v>167</v>
      </c>
      <c r="E28" s="201"/>
      <c r="F28" s="201"/>
      <c r="G28" s="201"/>
      <c r="H28" s="201"/>
      <c r="I28" s="201"/>
      <c r="J28" s="201"/>
      <c r="K28" s="201"/>
      <c r="L28" s="201"/>
      <c r="M28" s="202"/>
      <c r="N28" s="203" t="s">
        <v>168</v>
      </c>
      <c r="O28" s="8"/>
      <c r="P28" s="5"/>
    </row>
    <row r="29" ht="15.75" customHeight="1">
      <c r="A29" s="5"/>
      <c r="B29" s="82"/>
      <c r="C29" s="23"/>
      <c r="D29" s="204" t="s">
        <v>169</v>
      </c>
      <c r="E29" s="8"/>
      <c r="F29" s="205" t="s">
        <v>170</v>
      </c>
      <c r="G29" s="8"/>
      <c r="H29" s="206" t="s">
        <v>171</v>
      </c>
      <c r="I29" s="8"/>
      <c r="J29" s="207" t="s">
        <v>172</v>
      </c>
      <c r="K29" s="8"/>
      <c r="L29" s="208" t="s">
        <v>173</v>
      </c>
      <c r="M29" s="8"/>
      <c r="N29" s="82"/>
      <c r="O29" s="23"/>
      <c r="P29" s="5"/>
    </row>
    <row r="30" ht="15.75" customHeight="1">
      <c r="A30" s="5"/>
      <c r="B30" s="209"/>
      <c r="C30" s="188"/>
      <c r="D30" s="210" t="s">
        <v>21</v>
      </c>
      <c r="E30" s="211" t="s">
        <v>22</v>
      </c>
      <c r="F30" s="212" t="s">
        <v>21</v>
      </c>
      <c r="G30" s="213" t="s">
        <v>22</v>
      </c>
      <c r="H30" s="214" t="s">
        <v>21</v>
      </c>
      <c r="I30" s="215" t="s">
        <v>22</v>
      </c>
      <c r="J30" s="216" t="s">
        <v>21</v>
      </c>
      <c r="K30" s="217" t="s">
        <v>22</v>
      </c>
      <c r="L30" s="218" t="s">
        <v>21</v>
      </c>
      <c r="M30" s="219" t="s">
        <v>22</v>
      </c>
      <c r="N30" s="260" t="s">
        <v>21</v>
      </c>
      <c r="O30" s="261" t="s">
        <v>22</v>
      </c>
      <c r="P30" s="5"/>
    </row>
    <row r="31" ht="15.75" customHeight="1">
      <c r="A31" s="5"/>
      <c r="B31" s="222" t="s">
        <v>174</v>
      </c>
      <c r="C31" s="223"/>
      <c r="D31" s="262">
        <f t="shared" ref="D31:O31" si="33">SUM(D32:D34)</f>
        <v>0.3924607686</v>
      </c>
      <c r="E31" s="263">
        <f t="shared" si="33"/>
        <v>0.4839897463</v>
      </c>
      <c r="F31" s="264">
        <f t="shared" si="33"/>
        <v>0.4386417973</v>
      </c>
      <c r="G31" s="265">
        <f t="shared" si="33"/>
        <v>0.3590486508</v>
      </c>
      <c r="H31" s="266">
        <f t="shared" si="33"/>
        <v>0.03111157604</v>
      </c>
      <c r="I31" s="267">
        <f t="shared" si="33"/>
        <v>0.02478563985</v>
      </c>
      <c r="J31" s="268">
        <f t="shared" si="33"/>
        <v>0.09437142563</v>
      </c>
      <c r="K31" s="269">
        <f t="shared" si="33"/>
        <v>0.08927254856</v>
      </c>
      <c r="L31" s="270">
        <f t="shared" si="33"/>
        <v>0.07452600841</v>
      </c>
      <c r="M31" s="270">
        <f t="shared" si="33"/>
        <v>0.06768905434</v>
      </c>
      <c r="N31" s="271">
        <f t="shared" si="33"/>
        <v>1</v>
      </c>
      <c r="O31" s="272">
        <f t="shared" si="33"/>
        <v>1</v>
      </c>
      <c r="P31" s="5"/>
    </row>
    <row r="32" ht="15.75" customHeight="1">
      <c r="A32" s="5"/>
      <c r="B32" s="235"/>
      <c r="C32" s="236" t="s">
        <v>175</v>
      </c>
      <c r="D32" s="273">
        <f t="shared" ref="D32:D34" si="35">D6/$N$5</f>
        <v>0.1421810751</v>
      </c>
      <c r="E32" s="274">
        <f t="shared" ref="E32:E34" si="36">E6/$O$5</f>
        <v>0.1130123283</v>
      </c>
      <c r="F32" s="273">
        <f t="shared" ref="F32:F34" si="37">F6/$N$5</f>
        <v>0.4370297402</v>
      </c>
      <c r="G32" s="275">
        <f t="shared" ref="G32:G34" si="38">G6/$O$5</f>
        <v>0.347372169</v>
      </c>
      <c r="H32" s="273">
        <f t="shared" ref="H32:H34" si="39">H6/$N$5</f>
        <v>0.03110278791</v>
      </c>
      <c r="I32" s="274">
        <f t="shared" ref="I32:I34" si="40">I6/$O$5</f>
        <v>0.0247219855</v>
      </c>
      <c r="J32" s="275">
        <f t="shared" ref="J32:J34" si="41">J6/$N$5</f>
        <v>0.03418511775</v>
      </c>
      <c r="K32" s="276">
        <f t="shared" ref="K32:K34" si="42">K6/$O$5</f>
        <v>0.02717196888</v>
      </c>
      <c r="L32" s="275">
        <f t="shared" ref="L32:L34" si="43">L6/$N$5</f>
        <v>0.01980984232</v>
      </c>
      <c r="M32" s="275">
        <f t="shared" ref="M32:M34" si="44">M6/$O$5</f>
        <v>0.01574581147</v>
      </c>
      <c r="N32" s="284">
        <f t="shared" ref="N32:O32" si="34">sum(D32,F32,J32,L32)</f>
        <v>0.6332057754</v>
      </c>
      <c r="O32" s="285">
        <f t="shared" si="34"/>
        <v>0.5033022777</v>
      </c>
      <c r="P32" s="5"/>
    </row>
    <row r="33" ht="15.75" customHeight="1">
      <c r="A33" s="5"/>
      <c r="B33" s="235"/>
      <c r="C33" s="236" t="s">
        <v>176</v>
      </c>
      <c r="D33" s="273">
        <f t="shared" si="35"/>
        <v>0.2502386922</v>
      </c>
      <c r="E33" s="274">
        <f t="shared" si="36"/>
        <v>0.3706804368</v>
      </c>
      <c r="F33" s="273">
        <f t="shared" si="37"/>
        <v>0</v>
      </c>
      <c r="G33" s="275">
        <f t="shared" si="38"/>
        <v>0</v>
      </c>
      <c r="H33" s="273">
        <f t="shared" si="39"/>
        <v>0</v>
      </c>
      <c r="I33" s="274">
        <f t="shared" si="40"/>
        <v>0</v>
      </c>
      <c r="J33" s="275">
        <f t="shared" si="41"/>
        <v>0.06016580724</v>
      </c>
      <c r="K33" s="274">
        <f t="shared" si="42"/>
        <v>0.06195208905</v>
      </c>
      <c r="L33" s="275">
        <f t="shared" si="43"/>
        <v>0.0546751648</v>
      </c>
      <c r="M33" s="275">
        <f t="shared" si="44"/>
        <v>0.05164626162</v>
      </c>
      <c r="N33" s="284">
        <f t="shared" ref="N33:O33" si="45">sum(D33,F33,J33,L33)</f>
        <v>0.3650796643</v>
      </c>
      <c r="O33" s="285">
        <f t="shared" si="45"/>
        <v>0.4842787874</v>
      </c>
      <c r="P33" s="5"/>
    </row>
    <row r="34" ht="15.75" customHeight="1">
      <c r="A34" s="5"/>
      <c r="B34" s="235"/>
      <c r="C34" s="236" t="s">
        <v>177</v>
      </c>
      <c r="D34" s="273">
        <f t="shared" si="35"/>
        <v>0.00004100128435</v>
      </c>
      <c r="E34" s="274">
        <f t="shared" si="36"/>
        <v>0.0002969812502</v>
      </c>
      <c r="F34" s="273">
        <f t="shared" si="37"/>
        <v>0.001612057155</v>
      </c>
      <c r="G34" s="275">
        <f t="shared" si="38"/>
        <v>0.01167648177</v>
      </c>
      <c r="H34" s="273">
        <f t="shared" si="39"/>
        <v>0.000008788131378</v>
      </c>
      <c r="I34" s="274">
        <f t="shared" si="40"/>
        <v>0.00006365435339</v>
      </c>
      <c r="J34" s="275">
        <f t="shared" si="41"/>
        <v>0.00002050064218</v>
      </c>
      <c r="K34" s="274">
        <f t="shared" si="42"/>
        <v>0.0001484906251</v>
      </c>
      <c r="L34" s="275">
        <f t="shared" si="43"/>
        <v>0.00004100128435</v>
      </c>
      <c r="M34" s="275">
        <f t="shared" si="44"/>
        <v>0.0002969812502</v>
      </c>
      <c r="N34" s="284">
        <f t="shared" ref="N34:O34" si="46">sum(D34,F34,J34,L34)</f>
        <v>0.001714560366</v>
      </c>
      <c r="O34" s="285">
        <f t="shared" si="46"/>
        <v>0.0124189349</v>
      </c>
      <c r="P34" s="5"/>
    </row>
    <row r="35" ht="15.75" customHeight="1">
      <c r="A35" s="5"/>
      <c r="B35" s="222" t="s">
        <v>178</v>
      </c>
      <c r="C35" s="223"/>
      <c r="D35" s="262">
        <f t="shared" ref="D35:O35" si="47">SUM(D36:D39)</f>
        <v>0.4352263999</v>
      </c>
      <c r="E35" s="263">
        <f t="shared" si="47"/>
        <v>0.4187888304</v>
      </c>
      <c r="F35" s="264">
        <f t="shared" si="47"/>
        <v>0.3878029077</v>
      </c>
      <c r="G35" s="265">
        <f t="shared" si="47"/>
        <v>0.412550149</v>
      </c>
      <c r="H35" s="266">
        <f t="shared" si="47"/>
        <v>0.1009165033</v>
      </c>
      <c r="I35" s="267">
        <f t="shared" si="47"/>
        <v>0.09935611788</v>
      </c>
      <c r="J35" s="268">
        <f t="shared" si="47"/>
        <v>0.09451625627</v>
      </c>
      <c r="K35" s="269">
        <f t="shared" si="47"/>
        <v>0.08612858837</v>
      </c>
      <c r="L35" s="270">
        <f t="shared" si="47"/>
        <v>0.08245443611</v>
      </c>
      <c r="M35" s="277">
        <f t="shared" si="47"/>
        <v>0.0825324322</v>
      </c>
      <c r="N35" s="271">
        <f t="shared" si="47"/>
        <v>1</v>
      </c>
      <c r="O35" s="272">
        <f t="shared" si="47"/>
        <v>1</v>
      </c>
      <c r="P35" s="5"/>
    </row>
    <row r="36" ht="15.75" customHeight="1">
      <c r="A36" s="5"/>
      <c r="B36" s="235"/>
      <c r="C36" s="236" t="s">
        <v>179</v>
      </c>
      <c r="D36" s="273">
        <f t="shared" ref="D36:D39" si="49">D10/$N$9</f>
        <v>0.3221633281</v>
      </c>
      <c r="E36" s="274">
        <f t="shared" ref="E36:E39" si="50">E10/$O$9</f>
        <v>0.2935735477</v>
      </c>
      <c r="F36" s="273">
        <f t="shared" ref="F36:F39" si="51">F10/$N$9</f>
        <v>0</v>
      </c>
      <c r="G36" s="275">
        <f t="shared" ref="G36:G39" si="52">G10/$O$9</f>
        <v>0</v>
      </c>
      <c r="H36" s="273">
        <f t="shared" ref="H36:H39" si="53">H10/$N$9</f>
        <v>0</v>
      </c>
      <c r="I36" s="274">
        <f t="shared" ref="I36:I39" si="54">I10/$O$9</f>
        <v>0</v>
      </c>
      <c r="J36" s="275">
        <f t="shared" ref="J36:J39" si="55">J10/$N$9</f>
        <v>0</v>
      </c>
      <c r="K36" s="274">
        <f t="shared" ref="K36:K39" si="56">K10/$O$9</f>
        <v>0</v>
      </c>
      <c r="L36" s="275">
        <f t="shared" ref="L36:L39" si="57">L10/$N$9</f>
        <v>0</v>
      </c>
      <c r="M36" s="275">
        <f t="shared" ref="M36:M39" si="58">M10/$O$9</f>
        <v>0</v>
      </c>
      <c r="N36" s="284">
        <f t="shared" ref="N36:O36" si="48">sum(D36,F36,J36,L36)</f>
        <v>0.3221633281</v>
      </c>
      <c r="O36" s="285">
        <f t="shared" si="48"/>
        <v>0.2935735477</v>
      </c>
      <c r="P36" s="5"/>
    </row>
    <row r="37" ht="15.75" customHeight="1">
      <c r="A37" s="5"/>
      <c r="B37" s="235"/>
      <c r="C37" s="236" t="s">
        <v>180</v>
      </c>
      <c r="D37" s="273">
        <f t="shared" si="49"/>
        <v>0.004280570289</v>
      </c>
      <c r="E37" s="274">
        <f t="shared" si="50"/>
        <v>0.003900699106</v>
      </c>
      <c r="F37" s="273">
        <f t="shared" si="51"/>
        <v>0.1841965515</v>
      </c>
      <c r="G37" s="275">
        <f t="shared" si="52"/>
        <v>0.167850374</v>
      </c>
      <c r="H37" s="273">
        <f t="shared" si="53"/>
        <v>0.00001445487761</v>
      </c>
      <c r="I37" s="274">
        <f t="shared" si="54"/>
        <v>0.00001317210661</v>
      </c>
      <c r="J37" s="275">
        <f t="shared" si="55"/>
        <v>0.01349559499</v>
      </c>
      <c r="K37" s="274">
        <f t="shared" si="56"/>
        <v>0.01229795373</v>
      </c>
      <c r="L37" s="275">
        <f t="shared" si="57"/>
        <v>0.002362006816</v>
      </c>
      <c r="M37" s="275">
        <f t="shared" si="58"/>
        <v>0.002152394951</v>
      </c>
      <c r="N37" s="284">
        <f t="shared" ref="N37:O37" si="59">sum(D37,F37,J37,L37)</f>
        <v>0.2043347236</v>
      </c>
      <c r="O37" s="285">
        <f t="shared" si="59"/>
        <v>0.1862014218</v>
      </c>
      <c r="P37" s="5"/>
    </row>
    <row r="38" ht="15.75" customHeight="1">
      <c r="A38" s="5"/>
      <c r="B38" s="235"/>
      <c r="C38" s="236" t="s">
        <v>181</v>
      </c>
      <c r="D38" s="273">
        <f t="shared" si="49"/>
        <v>0.01545481687</v>
      </c>
      <c r="E38" s="274">
        <f t="shared" si="50"/>
        <v>0.01408330813</v>
      </c>
      <c r="F38" s="273">
        <f t="shared" si="51"/>
        <v>0.04941279013</v>
      </c>
      <c r="G38" s="275">
        <f t="shared" si="52"/>
        <v>0.04502774474</v>
      </c>
      <c r="H38" s="273">
        <f t="shared" si="53"/>
        <v>0.00351663832</v>
      </c>
      <c r="I38" s="274">
        <f t="shared" si="54"/>
        <v>0.003204560848</v>
      </c>
      <c r="J38" s="275">
        <f t="shared" si="55"/>
        <v>0.003923878257</v>
      </c>
      <c r="K38" s="274">
        <f t="shared" si="56"/>
        <v>0.00357566104</v>
      </c>
      <c r="L38" s="275">
        <f t="shared" si="57"/>
        <v>0.002995646277</v>
      </c>
      <c r="M38" s="275">
        <f t="shared" si="58"/>
        <v>0.002729803267</v>
      </c>
      <c r="N38" s="284">
        <f t="shared" ref="N38:O38" si="60">sum(D38,F38,J38,L38)</f>
        <v>0.07178713153</v>
      </c>
      <c r="O38" s="285">
        <f t="shared" si="60"/>
        <v>0.06541651718</v>
      </c>
      <c r="P38" s="5"/>
    </row>
    <row r="39" ht="15.75" customHeight="1">
      <c r="A39" s="5"/>
      <c r="B39" s="250"/>
      <c r="C39" s="251" t="s">
        <v>182</v>
      </c>
      <c r="D39" s="278">
        <f t="shared" si="49"/>
        <v>0.0933276847</v>
      </c>
      <c r="E39" s="279">
        <f t="shared" si="50"/>
        <v>0.1072312755</v>
      </c>
      <c r="F39" s="278">
        <f t="shared" si="51"/>
        <v>0.154193566</v>
      </c>
      <c r="G39" s="280">
        <f t="shared" si="52"/>
        <v>0.1996720302</v>
      </c>
      <c r="H39" s="278">
        <f t="shared" si="53"/>
        <v>0.09738541013</v>
      </c>
      <c r="I39" s="279">
        <f t="shared" si="54"/>
        <v>0.09613838493</v>
      </c>
      <c r="J39" s="280">
        <f t="shared" si="55"/>
        <v>0.07709678302</v>
      </c>
      <c r="K39" s="279">
        <f t="shared" si="56"/>
        <v>0.0702549736</v>
      </c>
      <c r="L39" s="280">
        <f t="shared" si="57"/>
        <v>0.07709678302</v>
      </c>
      <c r="M39" s="280">
        <f t="shared" si="58"/>
        <v>0.07765023398</v>
      </c>
      <c r="N39" s="286">
        <f t="shared" ref="N39:O39" si="61">sum(D39,F39,J39,L39)</f>
        <v>0.4017148168</v>
      </c>
      <c r="O39" s="287">
        <f t="shared" si="61"/>
        <v>0.4548085133</v>
      </c>
      <c r="P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N40" s="5"/>
      <c r="O40" s="5"/>
      <c r="P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4">
    <mergeCell ref="B2:C4"/>
    <mergeCell ref="B15:C17"/>
    <mergeCell ref="B28:C30"/>
    <mergeCell ref="D2:M2"/>
    <mergeCell ref="N2:O3"/>
    <mergeCell ref="D3:E3"/>
    <mergeCell ref="F3:G3"/>
    <mergeCell ref="H3:I3"/>
    <mergeCell ref="J3:K3"/>
    <mergeCell ref="L3:M3"/>
    <mergeCell ref="D28:M28"/>
    <mergeCell ref="N28:O29"/>
    <mergeCell ref="D29:E29"/>
    <mergeCell ref="F29:G29"/>
    <mergeCell ref="H29:I29"/>
    <mergeCell ref="J29:K29"/>
    <mergeCell ref="L29:M29"/>
    <mergeCell ref="D15:M15"/>
    <mergeCell ref="N15:O16"/>
    <mergeCell ref="D16:E16"/>
    <mergeCell ref="F16:G16"/>
    <mergeCell ref="H16:I16"/>
    <mergeCell ref="J16:K16"/>
    <mergeCell ref="L16:M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3.75"/>
    <col customWidth="1" min="3" max="3" width="11.38"/>
    <col customWidth="1" min="4" max="4" width="12.88"/>
    <col customWidth="1" min="5" max="6" width="13.0"/>
    <col customWidth="1" min="7" max="7" width="10.75"/>
    <col customWidth="1" min="8" max="8" width="12.13"/>
    <col customWidth="1" min="9" max="9" width="13.0"/>
    <col customWidth="1" min="10" max="10" width="13.88"/>
    <col customWidth="1" min="11" max="11" width="5.88"/>
    <col customWidth="1" min="12" max="12" width="14.75"/>
    <col customWidth="1" min="13" max="13" width="20.25"/>
    <col customWidth="1" min="14" max="15" width="13.13"/>
    <col customWidth="1" min="16" max="16" width="13.0"/>
    <col customWidth="1" min="17" max="17" width="10.75"/>
    <col customWidth="1" min="18" max="18" width="12.13"/>
    <col customWidth="1" min="19" max="19" width="13.0"/>
    <col customWidth="1" min="20" max="20" width="13.88"/>
    <col customWidth="1" min="21" max="23" width="14.13"/>
  </cols>
  <sheetData>
    <row r="1" ht="15.75" customHeight="1">
      <c r="A1" s="288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8"/>
      <c r="W1" s="288"/>
      <c r="X1" s="288"/>
      <c r="Y1" s="288"/>
      <c r="Z1" s="288"/>
      <c r="AA1" s="288"/>
    </row>
    <row r="2" ht="15.75" customHeight="1">
      <c r="A2" s="288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8"/>
      <c r="W2" s="288"/>
      <c r="X2" s="288"/>
      <c r="Y2" s="288"/>
      <c r="Z2" s="288"/>
      <c r="AA2" s="288"/>
    </row>
    <row r="3" ht="15.75" customHeight="1">
      <c r="A3" s="288"/>
      <c r="B3" s="290" t="s">
        <v>185</v>
      </c>
      <c r="K3" s="289"/>
      <c r="L3" s="291" t="s">
        <v>186</v>
      </c>
      <c r="U3" s="289"/>
      <c r="V3" s="288"/>
      <c r="W3" s="288"/>
      <c r="X3" s="288"/>
      <c r="Y3" s="288"/>
      <c r="Z3" s="288"/>
      <c r="AA3" s="288"/>
    </row>
    <row r="4" ht="15.75" customHeight="1">
      <c r="A4" s="288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8"/>
      <c r="W4" s="288"/>
      <c r="X4" s="288"/>
      <c r="Y4" s="288"/>
      <c r="Z4" s="288"/>
      <c r="AA4" s="288"/>
    </row>
    <row r="5" ht="15.75" customHeight="1">
      <c r="A5" s="292"/>
      <c r="B5" s="293" t="s">
        <v>187</v>
      </c>
      <c r="K5" s="294"/>
      <c r="L5" s="295" t="s">
        <v>188</v>
      </c>
      <c r="M5" s="295" t="s">
        <v>189</v>
      </c>
      <c r="N5" s="295" t="s">
        <v>190</v>
      </c>
      <c r="U5" s="294"/>
      <c r="V5" s="292"/>
      <c r="W5" s="292"/>
      <c r="X5" s="292"/>
      <c r="Y5" s="292"/>
      <c r="Z5" s="292"/>
      <c r="AA5" s="292"/>
    </row>
    <row r="6" ht="15.75" customHeight="1">
      <c r="A6" s="292"/>
      <c r="B6" s="296" t="s">
        <v>191</v>
      </c>
      <c r="C6" s="296" t="s">
        <v>192</v>
      </c>
      <c r="D6" s="296" t="s">
        <v>193</v>
      </c>
      <c r="E6" s="296" t="s">
        <v>194</v>
      </c>
      <c r="F6" s="296" t="s">
        <v>195</v>
      </c>
      <c r="G6" s="296" t="s">
        <v>196</v>
      </c>
      <c r="H6" s="296" t="s">
        <v>9</v>
      </c>
      <c r="I6" s="296" t="s">
        <v>197</v>
      </c>
      <c r="J6" s="296" t="s">
        <v>198</v>
      </c>
      <c r="K6" s="294"/>
      <c r="U6" s="294"/>
      <c r="V6" s="292"/>
      <c r="W6" s="292"/>
      <c r="X6" s="292"/>
      <c r="Y6" s="292"/>
      <c r="Z6" s="292"/>
      <c r="AA6" s="292"/>
    </row>
    <row r="7" ht="15.75" customHeight="1">
      <c r="A7" s="292"/>
      <c r="B7" s="289">
        <f>'System Control &amp; Outputs'!C7</f>
        <v>1</v>
      </c>
      <c r="C7" s="294">
        <f>'System Control &amp; Outputs'!C9</f>
        <v>10</v>
      </c>
      <c r="D7" s="297">
        <f>sqrt((B7*4046.86)/C7)</f>
        <v>20.11680889</v>
      </c>
      <c r="E7" s="298">
        <f>D7*10</f>
        <v>201.1680889</v>
      </c>
      <c r="F7" s="294">
        <f>'System Control &amp; Outputs'!C8</f>
        <v>0.12</v>
      </c>
      <c r="G7" s="297">
        <f>(D7*(E7-D7))+((pi()/4)*D7^2)</f>
        <v>3960.013641</v>
      </c>
      <c r="H7" s="299">
        <f>G7*F7</f>
        <v>475.2016369</v>
      </c>
      <c r="I7" s="289">
        <f>'System Control &amp; Outputs'!C10</f>
        <v>2.6</v>
      </c>
      <c r="J7" s="300">
        <f>'System Control &amp; Outputs'!C11</f>
        <v>1.85</v>
      </c>
      <c r="K7" s="294"/>
      <c r="L7" s="289">
        <v>10.0</v>
      </c>
      <c r="M7" s="289">
        <v>24.0</v>
      </c>
      <c r="N7" s="301">
        <f>ROUNDUP(B17/M7)</f>
        <v>3</v>
      </c>
      <c r="U7" s="294"/>
      <c r="V7" s="292"/>
      <c r="W7" s="292"/>
      <c r="X7" s="292"/>
      <c r="Y7" s="292"/>
      <c r="Z7" s="292"/>
      <c r="AA7" s="292"/>
    </row>
    <row r="8" ht="15.75" customHeight="1">
      <c r="A8" s="292"/>
      <c r="B8" s="302"/>
      <c r="C8" s="302"/>
      <c r="D8" s="302"/>
      <c r="E8" s="302"/>
      <c r="F8" s="302"/>
      <c r="G8" s="302"/>
      <c r="H8" s="302"/>
      <c r="I8" s="302"/>
      <c r="J8" s="302"/>
      <c r="K8" s="294"/>
      <c r="U8" s="294"/>
      <c r="V8" s="294"/>
      <c r="W8" s="294"/>
      <c r="X8" s="294"/>
      <c r="Y8" s="292"/>
      <c r="Z8" s="292"/>
      <c r="AA8" s="292"/>
    </row>
    <row r="9" ht="15.75" customHeight="1">
      <c r="A9" s="288"/>
      <c r="B9" s="293" t="s">
        <v>199</v>
      </c>
      <c r="J9" s="302"/>
      <c r="K9" s="289"/>
      <c r="L9" s="303" t="s">
        <v>200</v>
      </c>
      <c r="Y9" s="288"/>
      <c r="Z9" s="288"/>
      <c r="AA9" s="288"/>
    </row>
    <row r="10" ht="15.75" customHeight="1">
      <c r="A10" s="288"/>
      <c r="B10" s="296" t="s">
        <v>201</v>
      </c>
      <c r="C10" s="296" t="s">
        <v>202</v>
      </c>
      <c r="D10" s="296" t="s">
        <v>203</v>
      </c>
      <c r="E10" s="296" t="s">
        <v>204</v>
      </c>
      <c r="F10" s="296" t="s">
        <v>205</v>
      </c>
      <c r="H10" s="296" t="s">
        <v>206</v>
      </c>
      <c r="J10" s="302"/>
      <c r="K10" s="289"/>
      <c r="L10" s="304" t="s">
        <v>191</v>
      </c>
      <c r="M10" s="304" t="s">
        <v>192</v>
      </c>
      <c r="N10" s="304" t="s">
        <v>193</v>
      </c>
      <c r="O10" s="304" t="s">
        <v>194</v>
      </c>
      <c r="P10" s="304" t="s">
        <v>195</v>
      </c>
      <c r="Q10" s="304" t="s">
        <v>196</v>
      </c>
      <c r="R10" s="304" t="s">
        <v>9</v>
      </c>
      <c r="S10" s="304" t="s">
        <v>197</v>
      </c>
      <c r="T10" s="304" t="s">
        <v>198</v>
      </c>
      <c r="U10" s="304" t="s">
        <v>207</v>
      </c>
      <c r="V10" s="304" t="s">
        <v>208</v>
      </c>
      <c r="W10" s="304" t="s">
        <v>209</v>
      </c>
      <c r="X10" s="304" t="s">
        <v>210</v>
      </c>
      <c r="Y10" s="288"/>
      <c r="Z10" s="288"/>
      <c r="AA10" s="288"/>
    </row>
    <row r="11" ht="15.75" customHeight="1">
      <c r="A11" s="288"/>
      <c r="F11" s="296" t="s">
        <v>211</v>
      </c>
      <c r="G11" s="296" t="s">
        <v>212</v>
      </c>
      <c r="H11" s="296" t="s">
        <v>213</v>
      </c>
      <c r="I11" s="296" t="s">
        <v>214</v>
      </c>
      <c r="J11" s="302"/>
      <c r="K11" s="305"/>
      <c r="L11" s="289">
        <f>B7/L7</f>
        <v>0.1</v>
      </c>
      <c r="M11" s="294">
        <f>C7</f>
        <v>10</v>
      </c>
      <c r="N11" s="297">
        <f>sqrt((L11*4046.86)/M11)</f>
        <v>6.361493535</v>
      </c>
      <c r="O11" s="298">
        <f>N11*10</f>
        <v>63.61493535</v>
      </c>
      <c r="P11" s="294">
        <f>F7</f>
        <v>0.12</v>
      </c>
      <c r="Q11" s="297">
        <f>(N11*(O11-N11))+((pi()/4)*N11^2)</f>
        <v>396.0013641</v>
      </c>
      <c r="R11" s="299">
        <f>Q11*P11</f>
        <v>47.52016369</v>
      </c>
      <c r="S11" s="289">
        <f t="shared" ref="S11:T11" si="1">I7/2</f>
        <v>1.3</v>
      </c>
      <c r="T11" s="300">
        <f t="shared" si="1"/>
        <v>0.925</v>
      </c>
      <c r="U11" s="306">
        <f>N7/V11</f>
        <v>2</v>
      </c>
      <c r="V11" s="306">
        <f>N7/2</f>
        <v>1.5</v>
      </c>
      <c r="W11" s="299">
        <f>(N11+S11)*(O11+T11)*$N$7/4046.86</f>
        <v>0.366559973</v>
      </c>
      <c r="X11" s="307">
        <f>W11*4046.86</f>
        <v>1483.416892</v>
      </c>
      <c r="Y11" s="288"/>
      <c r="Z11" s="288"/>
      <c r="AA11" s="288"/>
    </row>
    <row r="12" ht="15.75" customHeight="1">
      <c r="A12" s="288"/>
      <c r="B12" s="289">
        <f>'System Control &amp; Outputs'!C6</f>
        <v>330</v>
      </c>
      <c r="C12" s="308">
        <f>'System Control &amp; Outputs'!C5</f>
        <v>800</v>
      </c>
      <c r="D12" s="309">
        <f>'System Control &amp; Outputs'!C16</f>
        <v>0.362</v>
      </c>
      <c r="E12" s="309">
        <f>'System Control &amp; Outputs'!C15</f>
        <v>0.207</v>
      </c>
      <c r="F12" s="309">
        <f>D12*E12</f>
        <v>0.074934</v>
      </c>
      <c r="G12" s="300">
        <f>F12*B12</f>
        <v>24.72822</v>
      </c>
      <c r="H12" s="308">
        <f>(C12*10^6)/G12</f>
        <v>32351701.82</v>
      </c>
      <c r="I12" s="308">
        <f>H12/1000</f>
        <v>32351.70182</v>
      </c>
      <c r="J12" s="302"/>
      <c r="K12" s="310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294"/>
      <c r="X12" s="294"/>
      <c r="Y12" s="288"/>
      <c r="Z12" s="288"/>
      <c r="AA12" s="288"/>
    </row>
    <row r="13" ht="15.75" customHeight="1">
      <c r="A13" s="288"/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311" t="s">
        <v>215</v>
      </c>
      <c r="Y13" s="288"/>
      <c r="Z13" s="288"/>
      <c r="AA13" s="288"/>
    </row>
    <row r="14" ht="15.75" customHeight="1">
      <c r="A14" s="288"/>
      <c r="B14" s="289"/>
      <c r="C14" s="289"/>
      <c r="D14" s="289"/>
      <c r="E14" s="289"/>
      <c r="F14" s="289"/>
      <c r="G14" s="289"/>
      <c r="H14" s="308"/>
      <c r="I14" s="289"/>
      <c r="J14" s="289"/>
      <c r="K14" s="289"/>
      <c r="L14" s="312" t="s">
        <v>191</v>
      </c>
      <c r="M14" s="312" t="s">
        <v>192</v>
      </c>
      <c r="N14" s="312" t="s">
        <v>193</v>
      </c>
      <c r="O14" s="312" t="s">
        <v>194</v>
      </c>
      <c r="P14" s="312" t="s">
        <v>195</v>
      </c>
      <c r="Q14" s="312" t="s">
        <v>196</v>
      </c>
      <c r="R14" s="312" t="s">
        <v>9</v>
      </c>
      <c r="S14" s="312" t="s">
        <v>197</v>
      </c>
      <c r="T14" s="312" t="s">
        <v>198</v>
      </c>
      <c r="U14" s="312" t="s">
        <v>207</v>
      </c>
      <c r="V14" s="312" t="s">
        <v>208</v>
      </c>
      <c r="W14" s="312" t="s">
        <v>209</v>
      </c>
      <c r="X14" s="312" t="s">
        <v>210</v>
      </c>
      <c r="Y14" s="288"/>
      <c r="Z14" s="288"/>
      <c r="AA14" s="288"/>
    </row>
    <row r="15" ht="15.75" customHeight="1">
      <c r="A15" s="288"/>
      <c r="B15" s="293" t="s">
        <v>216</v>
      </c>
      <c r="F15" s="289"/>
      <c r="G15" s="289"/>
      <c r="H15" s="301"/>
      <c r="I15" s="289"/>
      <c r="J15" s="289"/>
      <c r="K15" s="289"/>
      <c r="L15" s="289">
        <f>L11/$L$7</f>
        <v>0.01</v>
      </c>
      <c r="M15" s="294">
        <f>M11</f>
        <v>10</v>
      </c>
      <c r="N15" s="297">
        <f>sqrt((L15*4046.86)/M15)</f>
        <v>2.011680889</v>
      </c>
      <c r="O15" s="298">
        <f>N15*10</f>
        <v>20.11680889</v>
      </c>
      <c r="P15" s="294">
        <f>P11</f>
        <v>0.12</v>
      </c>
      <c r="Q15" s="297">
        <f>(N15*(O15-N15))+((pi()/4)*N15^2)</f>
        <v>39.60013641</v>
      </c>
      <c r="R15" s="299">
        <f>Q15*P15</f>
        <v>4.752016369</v>
      </c>
      <c r="S15" s="289">
        <f t="shared" ref="S15:V15" si="2">S11</f>
        <v>1.3</v>
      </c>
      <c r="T15" s="300">
        <f t="shared" si="2"/>
        <v>0.925</v>
      </c>
      <c r="U15" s="306">
        <f t="shared" si="2"/>
        <v>2</v>
      </c>
      <c r="V15" s="306">
        <f t="shared" si="2"/>
        <v>1.5</v>
      </c>
      <c r="W15" s="299">
        <f>(N15+S15)*(O15+T15)*$N$7/4046.86</f>
        <v>0.05165764794</v>
      </c>
      <c r="X15" s="307">
        <f>W15*4046.86</f>
        <v>209.0512691</v>
      </c>
      <c r="Y15" s="288"/>
      <c r="Z15" s="288"/>
      <c r="AA15" s="288"/>
    </row>
    <row r="16" ht="15.75" customHeight="1">
      <c r="A16" s="288"/>
      <c r="B16" s="296" t="s">
        <v>217</v>
      </c>
      <c r="C16" s="296" t="s">
        <v>218</v>
      </c>
      <c r="D16" s="296" t="s">
        <v>219</v>
      </c>
      <c r="E16" s="313" t="s">
        <v>220</v>
      </c>
      <c r="F16" s="289"/>
      <c r="G16" s="289"/>
      <c r="H16" s="301"/>
      <c r="I16" s="289"/>
      <c r="J16" s="289"/>
      <c r="K16" s="289"/>
      <c r="L16" s="302"/>
      <c r="M16" s="302"/>
      <c r="N16" s="302"/>
      <c r="O16" s="302"/>
      <c r="P16" s="302"/>
      <c r="Q16" s="294"/>
      <c r="R16" s="294"/>
      <c r="S16" s="294"/>
      <c r="T16" s="294"/>
      <c r="U16" s="289"/>
      <c r="V16" s="288"/>
      <c r="W16" s="288"/>
      <c r="X16" s="288"/>
      <c r="Y16" s="288"/>
      <c r="Z16" s="288"/>
      <c r="AA16" s="288"/>
    </row>
    <row r="17" ht="15.75" customHeight="1">
      <c r="A17" s="288"/>
      <c r="B17" s="314">
        <f>ROUNDUP(I12/H7)</f>
        <v>69</v>
      </c>
      <c r="C17" s="289">
        <f>ROUNDDOWN(B17/D17)</f>
        <v>1</v>
      </c>
      <c r="D17" s="289">
        <f>ROUNDUP(B17/2)</f>
        <v>35</v>
      </c>
      <c r="E17" s="315">
        <f>B17</f>
        <v>69</v>
      </c>
      <c r="F17" s="289"/>
      <c r="G17" s="289"/>
      <c r="H17" s="301"/>
      <c r="K17" s="289"/>
      <c r="L17" s="316" t="s">
        <v>221</v>
      </c>
      <c r="Y17" s="288"/>
      <c r="Z17" s="288"/>
      <c r="AA17" s="288"/>
    </row>
    <row r="18" ht="15.75" customHeight="1">
      <c r="A18" s="288"/>
      <c r="B18" s="289"/>
      <c r="C18" s="317" t="s">
        <v>222</v>
      </c>
      <c r="E18" s="318" t="s">
        <v>223</v>
      </c>
      <c r="F18" s="289"/>
      <c r="G18" s="319"/>
      <c r="H18" s="319"/>
      <c r="K18" s="289"/>
      <c r="L18" s="320" t="s">
        <v>191</v>
      </c>
      <c r="M18" s="320" t="s">
        <v>192</v>
      </c>
      <c r="N18" s="320" t="s">
        <v>193</v>
      </c>
      <c r="O18" s="320" t="s">
        <v>194</v>
      </c>
      <c r="P18" s="320" t="s">
        <v>195</v>
      </c>
      <c r="Q18" s="320" t="s">
        <v>196</v>
      </c>
      <c r="R18" s="320" t="s">
        <v>9</v>
      </c>
      <c r="S18" s="320" t="s">
        <v>197</v>
      </c>
      <c r="T18" s="320" t="s">
        <v>198</v>
      </c>
      <c r="U18" s="320" t="s">
        <v>207</v>
      </c>
      <c r="V18" s="320" t="s">
        <v>208</v>
      </c>
      <c r="W18" s="320" t="s">
        <v>209</v>
      </c>
      <c r="X18" s="320" t="s">
        <v>210</v>
      </c>
      <c r="Y18" s="288"/>
      <c r="Z18" s="288"/>
      <c r="AA18" s="288"/>
    </row>
    <row r="19" ht="15.75" customHeight="1">
      <c r="A19" s="288"/>
      <c r="B19" s="289"/>
      <c r="C19" s="289"/>
      <c r="D19" s="289"/>
      <c r="E19" s="289"/>
      <c r="F19" s="289"/>
      <c r="G19" s="289"/>
      <c r="H19" s="319"/>
      <c r="I19" s="289"/>
      <c r="J19" s="289"/>
      <c r="K19" s="289"/>
      <c r="L19" s="289">
        <f>L15/$L$7</f>
        <v>0.001</v>
      </c>
      <c r="M19" s="294">
        <f>M15</f>
        <v>10</v>
      </c>
      <c r="N19" s="297">
        <f>sqrt((L19*4046.86)/M19)</f>
        <v>0.6361493535</v>
      </c>
      <c r="O19" s="298">
        <f>N19*10</f>
        <v>6.361493535</v>
      </c>
      <c r="P19" s="294">
        <f>P15</f>
        <v>0.12</v>
      </c>
      <c r="Q19" s="297">
        <f>(N19*(O19-N19))+((pi()/4)*N19^2)</f>
        <v>3.960013641</v>
      </c>
      <c r="R19" s="299">
        <f>Q19*P19</f>
        <v>0.4752016369</v>
      </c>
      <c r="S19" s="289">
        <f t="shared" ref="S19:V19" si="3">S15</f>
        <v>1.3</v>
      </c>
      <c r="T19" s="300">
        <f t="shared" si="3"/>
        <v>0.925</v>
      </c>
      <c r="U19" s="288">
        <f t="shared" si="3"/>
        <v>2</v>
      </c>
      <c r="V19" s="288">
        <f t="shared" si="3"/>
        <v>1.5</v>
      </c>
      <c r="W19" s="299">
        <f>(N19+S19)*(O19+T19)*$N$7/4046.86</f>
        <v>0.01045828599</v>
      </c>
      <c r="X19" s="307">
        <f>W19*4046.86</f>
        <v>42.32321924</v>
      </c>
      <c r="Y19" s="288"/>
      <c r="Z19" s="288"/>
      <c r="AA19" s="288"/>
    </row>
    <row r="20" ht="15.75" customHeight="1">
      <c r="A20" s="288"/>
      <c r="B20" s="321" t="s">
        <v>224</v>
      </c>
      <c r="G20" s="289"/>
      <c r="H20" s="319"/>
      <c r="I20" s="289"/>
      <c r="J20" s="289"/>
      <c r="K20" s="289"/>
      <c r="T20" s="294"/>
      <c r="U20" s="289"/>
      <c r="V20" s="288"/>
      <c r="W20" s="288"/>
      <c r="X20" s="288"/>
      <c r="Y20" s="288"/>
      <c r="Z20" s="288"/>
      <c r="AA20" s="288"/>
    </row>
    <row r="21" ht="15.75" customHeight="1">
      <c r="A21" s="288"/>
      <c r="B21" s="296" t="s">
        <v>225</v>
      </c>
      <c r="D21" s="296" t="s">
        <v>202</v>
      </c>
      <c r="E21" s="296" t="s">
        <v>226</v>
      </c>
      <c r="F21" s="296" t="s">
        <v>227</v>
      </c>
      <c r="G21" s="289"/>
      <c r="H21" s="319"/>
      <c r="I21" s="289"/>
      <c r="J21" s="289"/>
      <c r="K21" s="289"/>
      <c r="L21" s="303" t="s">
        <v>228</v>
      </c>
      <c r="T21" s="289"/>
      <c r="U21" s="289"/>
      <c r="V21" s="288"/>
      <c r="W21" s="288"/>
      <c r="X21" s="288"/>
      <c r="Y21" s="288"/>
      <c r="Z21" s="288"/>
      <c r="AA21" s="288"/>
    </row>
    <row r="22" ht="15.75" customHeight="1">
      <c r="A22" s="288"/>
      <c r="B22" s="296" t="s">
        <v>213</v>
      </c>
      <c r="C22" s="296" t="s">
        <v>214</v>
      </c>
      <c r="G22" s="289"/>
      <c r="H22" s="319"/>
      <c r="I22" s="289"/>
      <c r="J22" s="289"/>
      <c r="K22" s="289"/>
      <c r="L22" s="304" t="s">
        <v>201</v>
      </c>
      <c r="M22" s="304" t="s">
        <v>202</v>
      </c>
      <c r="N22" s="304" t="s">
        <v>203</v>
      </c>
      <c r="O22" s="304" t="s">
        <v>204</v>
      </c>
      <c r="P22" s="304" t="s">
        <v>205</v>
      </c>
      <c r="R22" s="322" t="s">
        <v>229</v>
      </c>
      <c r="S22" s="323" t="s">
        <v>230</v>
      </c>
      <c r="T22" s="289"/>
      <c r="U22" s="289"/>
      <c r="V22" s="288"/>
      <c r="W22" s="288"/>
      <c r="X22" s="288"/>
      <c r="Y22" s="288"/>
      <c r="Z22" s="288"/>
      <c r="AA22" s="288"/>
    </row>
    <row r="23" ht="15.75" customHeight="1">
      <c r="A23" s="288"/>
      <c r="B23" s="308">
        <f>C23*1000</f>
        <v>32788912.95</v>
      </c>
      <c r="C23" s="308">
        <f>E17*H7</f>
        <v>32788.91295</v>
      </c>
      <c r="D23" s="301">
        <f>B23*G12/10^6</f>
        <v>810.811453</v>
      </c>
      <c r="E23" s="308">
        <f>(D7+I7)*(E7+J7)*E17/4046.86</f>
        <v>78.63447112</v>
      </c>
      <c r="F23" s="308">
        <f>E23*4046.86</f>
        <v>318222.6958</v>
      </c>
      <c r="G23" s="289"/>
      <c r="H23" s="319"/>
      <c r="I23" s="289"/>
      <c r="J23" s="289"/>
      <c r="K23" s="289"/>
      <c r="P23" s="304" t="s">
        <v>211</v>
      </c>
      <c r="Q23" s="304" t="s">
        <v>212</v>
      </c>
      <c r="T23" s="289"/>
      <c r="U23" s="289"/>
      <c r="V23" s="288"/>
      <c r="W23" s="288"/>
      <c r="X23" s="288"/>
      <c r="Y23" s="288"/>
      <c r="Z23" s="288"/>
      <c r="AA23" s="288"/>
    </row>
    <row r="24" ht="15.75" customHeight="1">
      <c r="A24" s="288"/>
      <c r="B24" s="289"/>
      <c r="C24" s="289"/>
      <c r="D24" s="289"/>
      <c r="E24" s="289"/>
      <c r="F24" s="289"/>
      <c r="G24" s="289"/>
      <c r="H24" s="319"/>
      <c r="I24" s="289"/>
      <c r="J24" s="289"/>
      <c r="K24" s="289"/>
      <c r="L24" s="289">
        <v>7.0</v>
      </c>
      <c r="M24" s="324">
        <f>Q24*R11*1000/(10^6)*$N$7</f>
        <v>0.07477839487</v>
      </c>
      <c r="N24" s="309">
        <f t="shared" ref="N24:O24" si="4">D12</f>
        <v>0.362</v>
      </c>
      <c r="O24" s="309">
        <f t="shared" si="4"/>
        <v>0.207</v>
      </c>
      <c r="P24" s="309">
        <f>N24*O24</f>
        <v>0.074934</v>
      </c>
      <c r="Q24" s="300">
        <f>P24*L24</f>
        <v>0.524538</v>
      </c>
      <c r="R24" s="289">
        <v>0.05</v>
      </c>
      <c r="S24" s="325">
        <v>1.0</v>
      </c>
      <c r="U24" s="289"/>
      <c r="V24" s="288"/>
      <c r="W24" s="288"/>
      <c r="X24" s="288"/>
      <c r="Y24" s="288"/>
      <c r="Z24" s="288"/>
      <c r="AA24" s="288"/>
    </row>
    <row r="25" ht="15.75" customHeight="1">
      <c r="A25" s="288"/>
      <c r="B25" s="289"/>
      <c r="C25" s="289"/>
      <c r="D25" s="289"/>
      <c r="E25" s="289"/>
      <c r="F25" s="289"/>
      <c r="G25" s="289"/>
      <c r="H25" s="319"/>
      <c r="I25" s="289"/>
      <c r="J25" s="289"/>
      <c r="K25" s="289"/>
      <c r="U25" s="289"/>
      <c r="V25" s="288"/>
      <c r="W25" s="288"/>
      <c r="X25" s="288"/>
      <c r="Y25" s="288"/>
      <c r="Z25" s="288"/>
      <c r="AA25" s="288"/>
    </row>
    <row r="26" ht="15.75" customHeight="1">
      <c r="A26" s="288"/>
      <c r="B26" s="289"/>
      <c r="C26" s="289"/>
      <c r="D26" s="289"/>
      <c r="E26" s="289"/>
      <c r="F26" s="289"/>
      <c r="G26" s="289"/>
      <c r="H26" s="319"/>
      <c r="I26" s="289"/>
      <c r="J26" s="289"/>
      <c r="K26" s="289"/>
      <c r="L26" s="311" t="s">
        <v>231</v>
      </c>
      <c r="U26" s="289"/>
      <c r="V26" s="288"/>
      <c r="W26" s="288"/>
      <c r="X26" s="288"/>
      <c r="Y26" s="288"/>
      <c r="Z26" s="288"/>
      <c r="AA26" s="288"/>
    </row>
    <row r="27" ht="15.75" customHeight="1">
      <c r="A27" s="288"/>
      <c r="B27" s="321" t="s">
        <v>232</v>
      </c>
      <c r="E27" s="326" t="s">
        <v>5</v>
      </c>
      <c r="F27" s="289"/>
      <c r="G27" s="289"/>
      <c r="H27" s="319"/>
      <c r="I27" s="289"/>
      <c r="J27" s="289"/>
      <c r="K27" s="289"/>
      <c r="L27" s="312" t="s">
        <v>201</v>
      </c>
      <c r="M27" s="312" t="s">
        <v>202</v>
      </c>
      <c r="N27" s="312" t="s">
        <v>203</v>
      </c>
      <c r="O27" s="312" t="s">
        <v>204</v>
      </c>
      <c r="P27" s="312" t="s">
        <v>205</v>
      </c>
      <c r="R27" s="327" t="s">
        <v>233</v>
      </c>
      <c r="S27" s="328" t="s">
        <v>234</v>
      </c>
      <c r="T27" s="289"/>
      <c r="U27" s="289"/>
      <c r="V27" s="288"/>
      <c r="W27" s="288"/>
      <c r="X27" s="288"/>
      <c r="Y27" s="288"/>
      <c r="Z27" s="288"/>
      <c r="AA27" s="288"/>
    </row>
    <row r="28" ht="15.75" customHeight="1">
      <c r="A28" s="288"/>
      <c r="B28" s="329" t="s">
        <v>235</v>
      </c>
      <c r="E28" s="300">
        <f>G7</f>
        <v>3960.013641</v>
      </c>
      <c r="F28" s="289"/>
      <c r="G28" s="289"/>
      <c r="H28" s="319"/>
      <c r="I28" s="289"/>
      <c r="J28" s="289"/>
      <c r="K28" s="289"/>
      <c r="P28" s="312" t="s">
        <v>211</v>
      </c>
      <c r="Q28" s="312" t="s">
        <v>212</v>
      </c>
      <c r="T28" s="289"/>
      <c r="U28" s="289"/>
      <c r="V28" s="288"/>
      <c r="W28" s="288"/>
      <c r="X28" s="288"/>
      <c r="Y28" s="288"/>
      <c r="Z28" s="288"/>
      <c r="AA28" s="288"/>
    </row>
    <row r="29" ht="15.75" customHeight="1">
      <c r="A29" s="288"/>
      <c r="B29" s="329" t="s">
        <v>236</v>
      </c>
      <c r="E29" s="300">
        <f>(E7-D7)*F7*2</f>
        <v>43.45230721</v>
      </c>
      <c r="F29" s="289"/>
      <c r="G29" s="289"/>
      <c r="H29" s="319"/>
      <c r="I29" s="289"/>
      <c r="J29" s="289"/>
      <c r="K29" s="289"/>
      <c r="L29" s="289">
        <f>L24</f>
        <v>7</v>
      </c>
      <c r="M29" s="324">
        <f>Q29*R15*1000/(10^6)*$N$7</f>
        <v>0.007477839487</v>
      </c>
      <c r="N29" s="309">
        <f t="shared" ref="N29:O29" si="5">N24</f>
        <v>0.362</v>
      </c>
      <c r="O29" s="309">
        <f t="shared" si="5"/>
        <v>0.207</v>
      </c>
      <c r="P29" s="309">
        <f>N29*O29</f>
        <v>0.074934</v>
      </c>
      <c r="Q29" s="300">
        <f>P29*L29</f>
        <v>0.524538</v>
      </c>
      <c r="R29" s="289">
        <v>0.05</v>
      </c>
      <c r="S29" s="325">
        <v>1.0</v>
      </c>
      <c r="T29" s="289"/>
      <c r="U29" s="289"/>
      <c r="V29" s="288"/>
      <c r="W29" s="288"/>
      <c r="X29" s="288"/>
      <c r="Y29" s="288"/>
      <c r="Z29" s="288"/>
      <c r="AA29" s="288"/>
    </row>
    <row r="30" ht="15.75" customHeight="1">
      <c r="A30" s="288"/>
      <c r="B30" s="329" t="s">
        <v>237</v>
      </c>
      <c r="E30" s="300">
        <f>pi()*D7*F7</f>
        <v>7.583858283</v>
      </c>
      <c r="F30" s="289"/>
      <c r="G30" s="289"/>
      <c r="H30" s="31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8"/>
      <c r="W30" s="288"/>
      <c r="X30" s="288"/>
      <c r="Y30" s="288"/>
      <c r="Z30" s="288"/>
      <c r="AA30" s="288"/>
    </row>
    <row r="31" ht="15.75" customHeight="1">
      <c r="A31" s="288"/>
      <c r="B31" s="329" t="s">
        <v>238</v>
      </c>
      <c r="E31" s="300">
        <f>SUM(E28:E30)</f>
        <v>4011.049807</v>
      </c>
      <c r="F31" s="289"/>
      <c r="G31" s="289"/>
      <c r="H31" s="319"/>
      <c r="I31" s="289"/>
      <c r="J31" s="289"/>
      <c r="K31" s="289"/>
      <c r="L31" s="316" t="s">
        <v>239</v>
      </c>
      <c r="T31" s="289"/>
      <c r="U31" s="289"/>
      <c r="V31" s="288"/>
      <c r="W31" s="288"/>
      <c r="X31" s="288"/>
      <c r="Y31" s="288"/>
      <c r="Z31" s="288"/>
      <c r="AA31" s="288"/>
    </row>
    <row r="32" ht="15.75" customHeight="1">
      <c r="A32" s="288"/>
      <c r="B32" s="329" t="s">
        <v>240</v>
      </c>
      <c r="E32" s="308">
        <f>E31*B17</f>
        <v>276762.4367</v>
      </c>
      <c r="F32" s="289"/>
      <c r="G32" s="289"/>
      <c r="H32" s="319"/>
      <c r="I32" s="289"/>
      <c r="J32" s="289"/>
      <c r="K32" s="289"/>
      <c r="L32" s="320" t="s">
        <v>201</v>
      </c>
      <c r="M32" s="320" t="s">
        <v>202</v>
      </c>
      <c r="N32" s="320" t="s">
        <v>203</v>
      </c>
      <c r="O32" s="320" t="s">
        <v>204</v>
      </c>
      <c r="P32" s="320" t="s">
        <v>205</v>
      </c>
      <c r="R32" s="330" t="s">
        <v>241</v>
      </c>
      <c r="S32" s="331" t="s">
        <v>242</v>
      </c>
      <c r="T32" s="289"/>
      <c r="U32" s="289"/>
      <c r="V32" s="288"/>
      <c r="W32" s="288"/>
      <c r="X32" s="288"/>
      <c r="Y32" s="288"/>
      <c r="Z32" s="288"/>
      <c r="AA32" s="288"/>
    </row>
    <row r="33" ht="15.75" customHeight="1">
      <c r="A33" s="288"/>
      <c r="B33" s="289"/>
      <c r="C33" s="289"/>
      <c r="D33" s="289"/>
      <c r="E33" s="289"/>
      <c r="F33" s="289"/>
      <c r="G33" s="289"/>
      <c r="H33" s="319"/>
      <c r="I33" s="289"/>
      <c r="J33" s="289"/>
      <c r="K33" s="302"/>
      <c r="P33" s="320" t="s">
        <v>211</v>
      </c>
      <c r="Q33" s="320" t="s">
        <v>212</v>
      </c>
      <c r="T33" s="289"/>
      <c r="U33" s="289"/>
      <c r="V33" s="288"/>
      <c r="W33" s="288"/>
      <c r="X33" s="288"/>
      <c r="Y33" s="288"/>
      <c r="Z33" s="288"/>
      <c r="AA33" s="288"/>
    </row>
    <row r="34" ht="15.75" customHeight="1">
      <c r="A34" s="288"/>
      <c r="B34" s="289"/>
      <c r="C34" s="289"/>
      <c r="D34" s="289"/>
      <c r="E34" s="289"/>
      <c r="F34" s="289"/>
      <c r="G34" s="289"/>
      <c r="H34" s="319"/>
      <c r="I34" s="289"/>
      <c r="J34" s="289"/>
      <c r="K34" s="289"/>
      <c r="L34" s="289">
        <f>L29</f>
        <v>7</v>
      </c>
      <c r="M34" s="324">
        <f>Q34*R19*1000/(10^6)*$N$7</f>
        <v>0.0007477839487</v>
      </c>
      <c r="N34" s="309">
        <f t="shared" ref="N34:O34" si="6">N29</f>
        <v>0.362</v>
      </c>
      <c r="O34" s="309">
        <f t="shared" si="6"/>
        <v>0.207</v>
      </c>
      <c r="P34" s="309">
        <f>N34*O34</f>
        <v>0.074934</v>
      </c>
      <c r="Q34" s="300">
        <f>P34*L34</f>
        <v>0.524538</v>
      </c>
      <c r="R34" s="289">
        <v>0.05</v>
      </c>
      <c r="S34" s="325">
        <v>1.0</v>
      </c>
      <c r="T34" s="289"/>
      <c r="U34" s="289"/>
      <c r="V34" s="288"/>
      <c r="W34" s="288"/>
      <c r="X34" s="288"/>
      <c r="Y34" s="288"/>
      <c r="Z34" s="288"/>
      <c r="AA34" s="288"/>
    </row>
    <row r="35" ht="15.75" customHeight="1">
      <c r="A35" s="288"/>
      <c r="B35" s="289"/>
      <c r="C35" s="289"/>
      <c r="D35" s="289"/>
      <c r="E35" s="289"/>
      <c r="F35" s="289"/>
      <c r="G35" s="289"/>
      <c r="H35" s="319"/>
      <c r="I35" s="289"/>
      <c r="J35" s="289"/>
      <c r="K35" s="289"/>
      <c r="Q35" s="289"/>
      <c r="T35" s="289"/>
      <c r="U35" s="289"/>
      <c r="V35" s="288"/>
      <c r="W35" s="288"/>
      <c r="X35" s="288"/>
      <c r="Y35" s="288"/>
      <c r="Z35" s="288"/>
      <c r="AA35" s="288"/>
    </row>
    <row r="36" ht="15.75" customHeight="1">
      <c r="A36" s="288"/>
      <c r="B36" s="289"/>
      <c r="C36" s="289"/>
      <c r="D36" s="289"/>
      <c r="E36" s="289"/>
      <c r="F36" s="289"/>
      <c r="G36" s="289"/>
      <c r="H36" s="319"/>
      <c r="I36" s="289"/>
      <c r="J36" s="289"/>
      <c r="K36" s="289"/>
      <c r="L36" s="303" t="s">
        <v>243</v>
      </c>
      <c r="O36" s="332" t="s">
        <v>5</v>
      </c>
      <c r="Q36" s="288"/>
      <c r="R36" s="289"/>
      <c r="S36" s="289"/>
      <c r="T36" s="289"/>
      <c r="U36" s="289"/>
      <c r="V36" s="288"/>
      <c r="W36" s="288"/>
      <c r="X36" s="288"/>
      <c r="Y36" s="288"/>
      <c r="Z36" s="288"/>
      <c r="AA36" s="288"/>
    </row>
    <row r="37" ht="15.75" customHeight="1">
      <c r="A37" s="288"/>
      <c r="B37" s="289"/>
      <c r="C37" s="289"/>
      <c r="D37" s="289"/>
      <c r="E37" s="289"/>
      <c r="F37" s="289"/>
      <c r="G37" s="289"/>
      <c r="H37" s="319"/>
      <c r="I37" s="289"/>
      <c r="J37" s="289"/>
      <c r="K37" s="289"/>
      <c r="L37" s="333" t="s">
        <v>235</v>
      </c>
      <c r="O37" s="300">
        <f>Q11</f>
        <v>396.0013641</v>
      </c>
      <c r="Q37" s="288"/>
      <c r="R37" s="289"/>
      <c r="S37" s="289"/>
      <c r="T37" s="289"/>
      <c r="U37" s="289"/>
      <c r="V37" s="288"/>
      <c r="W37" s="288"/>
      <c r="X37" s="288"/>
      <c r="Y37" s="288"/>
      <c r="Z37" s="288"/>
      <c r="AA37" s="288"/>
    </row>
    <row r="38" ht="15.75" customHeight="1">
      <c r="A38" s="5"/>
      <c r="B38" s="334"/>
      <c r="C38" s="334"/>
      <c r="D38" s="334"/>
      <c r="E38" s="334"/>
      <c r="F38" s="334"/>
      <c r="G38" s="334"/>
      <c r="H38" s="335"/>
      <c r="I38" s="334"/>
      <c r="J38" s="334"/>
      <c r="K38" s="334"/>
      <c r="L38" s="333" t="s">
        <v>236</v>
      </c>
      <c r="O38" s="300">
        <f>(O11-N11)*P11*2</f>
        <v>13.74082604</v>
      </c>
      <c r="Q38" s="319"/>
      <c r="R38" s="289"/>
      <c r="S38" s="289"/>
      <c r="T38" s="289"/>
      <c r="U38" s="336"/>
    </row>
    <row r="39" ht="15.75" customHeight="1">
      <c r="A39" s="5"/>
      <c r="B39" s="334"/>
      <c r="C39" s="334"/>
      <c r="D39" s="334"/>
      <c r="E39" s="334"/>
      <c r="F39" s="334"/>
      <c r="G39" s="334"/>
      <c r="H39" s="335"/>
      <c r="I39" s="334"/>
      <c r="J39" s="334"/>
      <c r="K39" s="334"/>
      <c r="L39" s="333" t="s">
        <v>237</v>
      </c>
      <c r="O39" s="300">
        <f>pi()*N11*P11</f>
        <v>2.398226563</v>
      </c>
      <c r="Q39" s="289"/>
      <c r="R39" s="289"/>
      <c r="S39" s="289"/>
      <c r="T39" s="289"/>
      <c r="U39" s="336"/>
    </row>
    <row r="40" ht="15.75" customHeight="1">
      <c r="A40" s="5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3" t="s">
        <v>238</v>
      </c>
      <c r="O40" s="300">
        <f>SUM(O37:O39)</f>
        <v>412.1404167</v>
      </c>
      <c r="Q40" s="289"/>
      <c r="R40" s="289"/>
      <c r="S40" s="289"/>
      <c r="T40" s="289"/>
      <c r="U40" s="336"/>
    </row>
    <row r="41" ht="15.75" customHeight="1">
      <c r="A41" s="5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3" t="s">
        <v>240</v>
      </c>
      <c r="O41" s="308">
        <f>O40*$N$7</f>
        <v>1236.42125</v>
      </c>
      <c r="Q41" s="289"/>
      <c r="R41" s="289"/>
      <c r="S41" s="289"/>
      <c r="T41" s="289"/>
      <c r="U41" s="336"/>
    </row>
    <row r="42" ht="15.75" customHeight="1">
      <c r="A42" s="5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Q42" s="289"/>
      <c r="R42" s="289"/>
      <c r="S42" s="289"/>
      <c r="T42" s="289"/>
      <c r="U42" s="336"/>
    </row>
    <row r="43" ht="15.75" customHeight="1">
      <c r="A43" s="5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11" t="s">
        <v>244</v>
      </c>
      <c r="O43" s="337" t="s">
        <v>5</v>
      </c>
      <c r="Q43" s="289"/>
      <c r="R43" s="289"/>
      <c r="S43" s="289"/>
      <c r="T43" s="289"/>
      <c r="U43" s="336"/>
    </row>
    <row r="44" ht="15.75" customHeight="1">
      <c r="A44" s="5"/>
      <c r="B44" s="334"/>
      <c r="C44" s="334"/>
      <c r="D44" s="334"/>
      <c r="E44" s="334"/>
      <c r="F44" s="334"/>
      <c r="G44" s="334"/>
      <c r="H44" s="334"/>
      <c r="I44" s="334"/>
      <c r="J44" s="334"/>
      <c r="K44" s="334"/>
      <c r="L44" s="338" t="s">
        <v>235</v>
      </c>
      <c r="O44" s="300">
        <f>Q15</f>
        <v>39.60013641</v>
      </c>
      <c r="Q44" s="289"/>
      <c r="R44" s="289"/>
      <c r="S44" s="289"/>
      <c r="T44" s="289"/>
      <c r="U44" s="336"/>
    </row>
    <row r="45" ht="15.75" customHeight="1">
      <c r="A45" s="5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8" t="s">
        <v>236</v>
      </c>
      <c r="O45" s="300">
        <f>(O15-N15)*P15*2</f>
        <v>4.345230721</v>
      </c>
      <c r="Q45" s="289"/>
      <c r="R45" s="289"/>
      <c r="S45" s="289"/>
      <c r="T45" s="336"/>
      <c r="U45" s="336"/>
    </row>
    <row r="46" ht="15.75" customHeight="1">
      <c r="A46" s="5"/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8" t="s">
        <v>237</v>
      </c>
      <c r="O46" s="300">
        <f>pi()*N15*P15</f>
        <v>0.7583858283</v>
      </c>
      <c r="P46" s="289"/>
      <c r="Q46" s="289"/>
      <c r="R46" s="289"/>
      <c r="S46" s="289"/>
      <c r="T46" s="336"/>
      <c r="U46" s="336"/>
    </row>
    <row r="47" ht="15.75" customHeight="1">
      <c r="A47" s="5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8" t="s">
        <v>238</v>
      </c>
      <c r="O47" s="300">
        <f>SUM(O44:O46)</f>
        <v>44.70375296</v>
      </c>
      <c r="P47" s="289"/>
      <c r="Q47" s="289"/>
      <c r="R47" s="289"/>
      <c r="S47" s="289"/>
      <c r="T47" s="336"/>
      <c r="U47" s="336"/>
    </row>
    <row r="48" ht="15.75" customHeight="1">
      <c r="A48" s="5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8" t="s">
        <v>240</v>
      </c>
      <c r="O48" s="308">
        <f>O47*$N$7</f>
        <v>134.1112589</v>
      </c>
      <c r="P48" s="289"/>
      <c r="Q48" s="289"/>
      <c r="R48" s="289"/>
      <c r="S48" s="289"/>
      <c r="T48" s="336"/>
      <c r="U48" s="336"/>
    </row>
    <row r="49" ht="15.75" customHeight="1">
      <c r="A49" s="5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P49" s="289"/>
      <c r="Q49" s="289"/>
      <c r="R49" s="289"/>
      <c r="S49" s="289"/>
      <c r="T49" s="336"/>
      <c r="U49" s="336"/>
    </row>
    <row r="50" ht="15.75" customHeight="1">
      <c r="A50" s="5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16" t="s">
        <v>245</v>
      </c>
      <c r="O50" s="339" t="s">
        <v>5</v>
      </c>
      <c r="P50" s="289"/>
      <c r="Q50" s="336"/>
      <c r="R50" s="336"/>
      <c r="S50" s="336"/>
      <c r="T50" s="336"/>
      <c r="U50" s="336"/>
    </row>
    <row r="51" ht="15.75" customHeight="1">
      <c r="A51" s="5"/>
      <c r="B51" s="334"/>
      <c r="C51" s="334"/>
      <c r="D51" s="334"/>
      <c r="E51" s="334"/>
      <c r="F51" s="334"/>
      <c r="G51" s="334"/>
      <c r="H51" s="334"/>
      <c r="I51" s="334"/>
      <c r="J51" s="334"/>
      <c r="K51" s="334"/>
      <c r="L51" s="340" t="s">
        <v>235</v>
      </c>
      <c r="O51" s="300">
        <f>Q19</f>
        <v>3.960013641</v>
      </c>
      <c r="P51" s="289"/>
      <c r="Q51" s="336"/>
      <c r="R51" s="336"/>
      <c r="S51" s="336"/>
      <c r="T51" s="336"/>
      <c r="U51" s="336"/>
    </row>
    <row r="52" ht="15.75" customHeight="1">
      <c r="A52" s="5"/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40" t="s">
        <v>236</v>
      </c>
      <c r="O52" s="300">
        <f>(O19-N19)*P19*2</f>
        <v>1.374082604</v>
      </c>
      <c r="P52" s="289"/>
      <c r="Q52" s="336"/>
      <c r="R52" s="336"/>
      <c r="S52" s="336"/>
      <c r="T52" s="336"/>
      <c r="U52" s="336"/>
    </row>
    <row r="53" ht="15.75" customHeight="1">
      <c r="A53" s="5"/>
      <c r="B53" s="334"/>
      <c r="C53" s="334"/>
      <c r="D53" s="334"/>
      <c r="E53" s="334"/>
      <c r="F53" s="334"/>
      <c r="G53" s="334"/>
      <c r="H53" s="334"/>
      <c r="I53" s="334"/>
      <c r="J53" s="334"/>
      <c r="K53" s="334"/>
      <c r="L53" s="340" t="s">
        <v>237</v>
      </c>
      <c r="O53" s="300">
        <f>pi()*N19*P19</f>
        <v>0.2398226563</v>
      </c>
      <c r="P53" s="289"/>
      <c r="Q53" s="336"/>
      <c r="R53" s="336"/>
      <c r="S53" s="336"/>
      <c r="T53" s="336"/>
      <c r="U53" s="336"/>
    </row>
    <row r="54" ht="15.75" customHeight="1">
      <c r="A54" s="5"/>
      <c r="B54" s="334"/>
      <c r="C54" s="334"/>
      <c r="D54" s="334"/>
      <c r="E54" s="334"/>
      <c r="F54" s="334"/>
      <c r="G54" s="334"/>
      <c r="H54" s="334"/>
      <c r="I54" s="334"/>
      <c r="J54" s="334"/>
      <c r="K54" s="334"/>
      <c r="L54" s="340" t="s">
        <v>238</v>
      </c>
      <c r="O54" s="300">
        <f>SUM(O51:O53)</f>
        <v>5.573918901</v>
      </c>
      <c r="P54" s="289"/>
      <c r="Q54" s="336"/>
      <c r="R54" s="336"/>
      <c r="S54" s="336"/>
      <c r="T54" s="336"/>
      <c r="U54" s="336"/>
    </row>
    <row r="55" ht="15.75" customHeight="1">
      <c r="A55" s="5"/>
      <c r="B55" s="334"/>
      <c r="C55" s="334"/>
      <c r="D55" s="334"/>
      <c r="E55" s="334"/>
      <c r="F55" s="334"/>
      <c r="G55" s="334"/>
      <c r="H55" s="334"/>
      <c r="I55" s="334"/>
      <c r="J55" s="334"/>
      <c r="K55" s="334"/>
      <c r="L55" s="340" t="s">
        <v>240</v>
      </c>
      <c r="O55" s="308">
        <f>O54*$N$7</f>
        <v>16.7217567</v>
      </c>
      <c r="P55" s="336"/>
      <c r="Q55" s="336"/>
      <c r="R55" s="336"/>
      <c r="S55" s="336"/>
      <c r="T55" s="336"/>
      <c r="U55" s="336"/>
    </row>
    <row r="56" ht="15.75" customHeight="1">
      <c r="A56" s="5"/>
      <c r="B56" s="334"/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34"/>
      <c r="P56" s="336"/>
      <c r="Q56" s="336"/>
      <c r="R56" s="336"/>
      <c r="S56" s="336"/>
      <c r="T56" s="336"/>
      <c r="U56" s="336"/>
    </row>
    <row r="57" ht="15.75" customHeight="1">
      <c r="A57" s="5"/>
      <c r="B57" s="334"/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6"/>
      <c r="Q57" s="336"/>
      <c r="R57" s="336"/>
      <c r="S57" s="336"/>
      <c r="T57" s="336"/>
      <c r="U57" s="336"/>
    </row>
    <row r="58" ht="15.75" customHeight="1">
      <c r="A58" s="5"/>
      <c r="B58" s="334"/>
      <c r="C58" s="334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334"/>
      <c r="O58" s="334"/>
      <c r="P58" s="336"/>
      <c r="Q58" s="336"/>
      <c r="R58" s="336"/>
      <c r="S58" s="336"/>
      <c r="T58" s="336"/>
      <c r="U58" s="336"/>
    </row>
    <row r="59" ht="15.75" customHeight="1">
      <c r="A59" s="5"/>
      <c r="B59" s="334"/>
      <c r="C59" s="334"/>
      <c r="D59" s="334"/>
      <c r="E59" s="334"/>
      <c r="F59" s="334"/>
      <c r="G59" s="334"/>
      <c r="H59" s="334"/>
      <c r="I59" s="334"/>
      <c r="J59" s="334"/>
      <c r="K59" s="334"/>
      <c r="L59" s="334"/>
      <c r="M59" s="334"/>
      <c r="N59" s="334"/>
      <c r="O59" s="334"/>
      <c r="P59" s="336"/>
      <c r="Q59" s="336"/>
      <c r="R59" s="336"/>
      <c r="S59" s="336"/>
      <c r="T59" s="336"/>
      <c r="U59" s="336"/>
    </row>
    <row r="60" ht="15.75" customHeight="1">
      <c r="A60" s="5"/>
      <c r="B60" s="334"/>
      <c r="C60" s="334"/>
      <c r="D60" s="334"/>
      <c r="E60" s="334"/>
      <c r="F60" s="334"/>
      <c r="G60" s="334"/>
      <c r="H60" s="334"/>
      <c r="I60" s="334"/>
      <c r="J60" s="334"/>
      <c r="K60" s="334"/>
      <c r="L60" s="334"/>
      <c r="M60" s="334"/>
      <c r="N60" s="334"/>
      <c r="O60" s="334"/>
      <c r="P60" s="336"/>
      <c r="Q60" s="336"/>
      <c r="R60" s="336"/>
      <c r="S60" s="336"/>
      <c r="T60" s="336"/>
      <c r="U60" s="336"/>
    </row>
    <row r="61" ht="15.75" customHeight="1">
      <c r="A61" s="5"/>
      <c r="B61" s="334"/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4"/>
      <c r="O61" s="334"/>
      <c r="P61" s="336"/>
      <c r="Q61" s="336"/>
      <c r="R61" s="336"/>
      <c r="S61" s="336"/>
      <c r="T61" s="336"/>
      <c r="U61" s="336"/>
    </row>
    <row r="62" ht="15.75" customHeight="1">
      <c r="A62" s="5"/>
      <c r="B62" s="334"/>
      <c r="C62" s="334"/>
      <c r="D62" s="334"/>
      <c r="E62" s="334"/>
      <c r="F62" s="334"/>
      <c r="G62" s="334"/>
      <c r="H62" s="334"/>
      <c r="I62" s="334"/>
      <c r="J62" s="334"/>
      <c r="K62" s="334"/>
      <c r="L62" s="334"/>
      <c r="M62" s="334"/>
      <c r="N62" s="334"/>
      <c r="O62" s="334"/>
      <c r="P62" s="336"/>
      <c r="Q62" s="336"/>
      <c r="R62" s="336"/>
      <c r="S62" s="336"/>
      <c r="T62" s="336"/>
      <c r="U62" s="336"/>
    </row>
    <row r="63" ht="15.75" customHeight="1">
      <c r="A63" s="5"/>
      <c r="B63" s="334"/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6"/>
      <c r="Q63" s="336"/>
      <c r="R63" s="336"/>
      <c r="S63" s="336"/>
      <c r="T63" s="336"/>
      <c r="U63" s="336"/>
    </row>
    <row r="64" ht="15.75" customHeight="1">
      <c r="A64" s="5"/>
      <c r="B64" s="334"/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6"/>
      <c r="Q64" s="336"/>
      <c r="R64" s="336"/>
      <c r="S64" s="336"/>
      <c r="T64" s="336"/>
      <c r="U64" s="336"/>
    </row>
    <row r="65" ht="15.75" customHeight="1">
      <c r="A65" s="5"/>
      <c r="B65" s="334"/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34"/>
      <c r="P65" s="336"/>
      <c r="Q65" s="336"/>
      <c r="R65" s="336"/>
      <c r="S65" s="336"/>
      <c r="T65" s="336"/>
      <c r="U65" s="336"/>
    </row>
    <row r="66" ht="15.75" customHeight="1">
      <c r="A66" s="5"/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6"/>
      <c r="Q66" s="336"/>
      <c r="R66" s="336"/>
      <c r="S66" s="336"/>
      <c r="T66" s="336"/>
      <c r="U66" s="336"/>
    </row>
    <row r="67" ht="15.75" customHeight="1">
      <c r="A67" s="5"/>
      <c r="B67" s="334"/>
      <c r="C67" s="334"/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34"/>
      <c r="O67" s="334"/>
      <c r="P67" s="336"/>
      <c r="Q67" s="336"/>
      <c r="R67" s="336"/>
      <c r="S67" s="336"/>
      <c r="T67" s="336"/>
      <c r="U67" s="336"/>
    </row>
    <row r="68" ht="15.75" customHeight="1">
      <c r="A68" s="5"/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6"/>
      <c r="Q68" s="336"/>
      <c r="R68" s="336"/>
      <c r="S68" s="336"/>
      <c r="T68" s="336"/>
      <c r="U68" s="336"/>
    </row>
    <row r="69" ht="15.75" customHeight="1">
      <c r="A69" s="5"/>
      <c r="B69" s="334"/>
      <c r="C69" s="334"/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6"/>
      <c r="Q69" s="336"/>
      <c r="R69" s="336"/>
      <c r="S69" s="336"/>
      <c r="T69" s="336"/>
      <c r="U69" s="336"/>
    </row>
    <row r="70" ht="15.75" customHeight="1">
      <c r="A70" s="5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6"/>
      <c r="Q70" s="336"/>
      <c r="R70" s="336"/>
      <c r="S70" s="336"/>
      <c r="T70" s="336"/>
      <c r="U70" s="336"/>
    </row>
    <row r="71" ht="15.75" customHeight="1">
      <c r="A71" s="5"/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6"/>
      <c r="Q71" s="336"/>
      <c r="R71" s="336"/>
      <c r="S71" s="336"/>
      <c r="T71" s="336"/>
      <c r="U71" s="336"/>
    </row>
    <row r="72" ht="15.75" customHeight="1">
      <c r="A72" s="5"/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6"/>
      <c r="Q72" s="336"/>
      <c r="R72" s="336"/>
      <c r="S72" s="336"/>
      <c r="T72" s="336"/>
      <c r="U72" s="336"/>
    </row>
    <row r="73" ht="15.75" customHeight="1">
      <c r="A73" s="5"/>
      <c r="B73" s="334"/>
      <c r="C73" s="334"/>
      <c r="D73" s="334"/>
      <c r="E73" s="334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6"/>
      <c r="Q73" s="336"/>
      <c r="R73" s="336"/>
      <c r="S73" s="336"/>
      <c r="T73" s="336"/>
      <c r="U73" s="336"/>
    </row>
    <row r="74" ht="15.75" customHeight="1">
      <c r="A74" s="5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6"/>
      <c r="Q74" s="336"/>
      <c r="R74" s="336"/>
      <c r="S74" s="336"/>
      <c r="T74" s="336"/>
      <c r="U74" s="336"/>
    </row>
    <row r="75" ht="15.75" customHeight="1">
      <c r="A75" s="5"/>
      <c r="B75" s="334"/>
      <c r="C75" s="33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6"/>
      <c r="Q75" s="336"/>
      <c r="R75" s="336"/>
      <c r="S75" s="336"/>
      <c r="T75" s="336"/>
      <c r="U75" s="336"/>
    </row>
    <row r="76" ht="15.75" customHeight="1">
      <c r="A76" s="5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6"/>
      <c r="Q76" s="336"/>
      <c r="R76" s="336"/>
      <c r="S76" s="336"/>
      <c r="T76" s="336"/>
      <c r="U76" s="336"/>
    </row>
    <row r="77" ht="15.75" customHeight="1">
      <c r="A77" s="5"/>
      <c r="B77" s="334"/>
      <c r="C77" s="334"/>
      <c r="D77" s="334"/>
      <c r="E77" s="334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6"/>
      <c r="Q77" s="336"/>
      <c r="R77" s="336"/>
      <c r="S77" s="336"/>
      <c r="T77" s="336"/>
      <c r="U77" s="336"/>
    </row>
    <row r="78" ht="15.75" customHeight="1">
      <c r="A78" s="5"/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6"/>
      <c r="Q78" s="336"/>
      <c r="R78" s="336"/>
      <c r="S78" s="336"/>
      <c r="T78" s="336"/>
      <c r="U78" s="336"/>
    </row>
    <row r="79" ht="15.75" customHeight="1">
      <c r="A79" s="5"/>
      <c r="B79" s="334"/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6"/>
      <c r="Q79" s="336"/>
      <c r="R79" s="336"/>
      <c r="S79" s="336"/>
      <c r="T79" s="336"/>
      <c r="U79" s="336"/>
    </row>
    <row r="80" ht="15.75" customHeight="1">
      <c r="A80" s="5"/>
      <c r="B80" s="334"/>
      <c r="C80" s="334"/>
      <c r="D80" s="334"/>
      <c r="E80" s="334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6"/>
      <c r="Q80" s="336"/>
      <c r="R80" s="336"/>
      <c r="S80" s="336"/>
      <c r="T80" s="336"/>
      <c r="U80" s="336"/>
    </row>
    <row r="81" ht="15.75" customHeight="1">
      <c r="A81" s="5"/>
      <c r="B81" s="334"/>
      <c r="C81" s="334"/>
      <c r="D81" s="334"/>
      <c r="E81" s="334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6"/>
      <c r="Q81" s="336"/>
      <c r="R81" s="336"/>
      <c r="S81" s="336"/>
      <c r="T81" s="336"/>
      <c r="U81" s="336"/>
    </row>
    <row r="82" ht="15.75" customHeight="1">
      <c r="A82" s="5"/>
      <c r="B82" s="334"/>
      <c r="C82" s="334"/>
      <c r="D82" s="334"/>
      <c r="E82" s="334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6"/>
      <c r="Q82" s="336"/>
      <c r="R82" s="336"/>
      <c r="S82" s="336"/>
      <c r="T82" s="336"/>
      <c r="U82" s="336"/>
    </row>
    <row r="83" ht="15.75" customHeight="1">
      <c r="A83" s="5"/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6"/>
      <c r="Q83" s="336"/>
      <c r="R83" s="336"/>
      <c r="S83" s="336"/>
      <c r="T83" s="336"/>
      <c r="U83" s="336"/>
    </row>
    <row r="84" ht="15.75" customHeight="1">
      <c r="A84" s="5"/>
      <c r="B84" s="334"/>
      <c r="C84" s="334"/>
      <c r="D84" s="334"/>
      <c r="E84" s="334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6"/>
      <c r="Q84" s="336"/>
      <c r="R84" s="336"/>
      <c r="S84" s="336"/>
      <c r="T84" s="336"/>
      <c r="U84" s="336"/>
    </row>
    <row r="85" ht="15.75" customHeight="1">
      <c r="A85" s="5"/>
      <c r="B85" s="334"/>
      <c r="C85" s="334"/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6"/>
      <c r="Q85" s="336"/>
      <c r="R85" s="336"/>
      <c r="S85" s="336"/>
      <c r="T85" s="336"/>
      <c r="U85" s="336"/>
    </row>
    <row r="86" ht="15.75" customHeight="1">
      <c r="A86" s="5"/>
      <c r="B86" s="334"/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6"/>
      <c r="Q86" s="336"/>
      <c r="R86" s="336"/>
      <c r="S86" s="336"/>
      <c r="T86" s="336"/>
      <c r="U86" s="336"/>
    </row>
    <row r="87" ht="15.75" customHeight="1">
      <c r="A87" s="5"/>
      <c r="B87" s="334"/>
      <c r="C87" s="334"/>
      <c r="D87" s="334"/>
      <c r="E87" s="334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6"/>
      <c r="Q87" s="336"/>
      <c r="R87" s="336"/>
      <c r="S87" s="336"/>
      <c r="T87" s="336"/>
      <c r="U87" s="336"/>
    </row>
    <row r="88" ht="15.75" customHeight="1">
      <c r="A88" s="5"/>
      <c r="B88" s="334"/>
      <c r="C88" s="334"/>
      <c r="D88" s="334"/>
      <c r="E88" s="334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6"/>
      <c r="Q88" s="336"/>
      <c r="R88" s="336"/>
      <c r="S88" s="336"/>
      <c r="T88" s="336"/>
      <c r="U88" s="336"/>
    </row>
    <row r="89" ht="15.75" customHeight="1">
      <c r="A89" s="5"/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6"/>
      <c r="Q89" s="336"/>
      <c r="R89" s="336"/>
      <c r="S89" s="336"/>
      <c r="T89" s="336"/>
      <c r="U89" s="336"/>
    </row>
    <row r="90" ht="15.75" customHeight="1">
      <c r="A90" s="5"/>
      <c r="B90" s="334"/>
      <c r="C90" s="334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6"/>
      <c r="Q90" s="336"/>
      <c r="R90" s="336"/>
      <c r="S90" s="336"/>
      <c r="T90" s="336"/>
      <c r="U90" s="336"/>
    </row>
    <row r="91" ht="15.75" customHeight="1">
      <c r="A91" s="5"/>
      <c r="B91" s="334"/>
      <c r="C91" s="334"/>
      <c r="D91" s="334"/>
      <c r="E91" s="334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6"/>
      <c r="Q91" s="336"/>
      <c r="R91" s="336"/>
      <c r="S91" s="336"/>
      <c r="T91" s="336"/>
      <c r="U91" s="336"/>
    </row>
    <row r="92" ht="15.75" customHeight="1">
      <c r="A92" s="5"/>
      <c r="B92" s="334"/>
      <c r="C92" s="334"/>
      <c r="D92" s="334"/>
      <c r="E92" s="334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6"/>
      <c r="Q92" s="336"/>
      <c r="R92" s="336"/>
      <c r="S92" s="336"/>
      <c r="T92" s="336"/>
      <c r="U92" s="336"/>
    </row>
    <row r="93" ht="15.75" customHeight="1">
      <c r="A93" s="5"/>
      <c r="B93" s="334"/>
      <c r="C93" s="334"/>
      <c r="D93" s="334"/>
      <c r="E93" s="334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6"/>
      <c r="Q93" s="336"/>
      <c r="R93" s="336"/>
      <c r="S93" s="336"/>
      <c r="T93" s="336"/>
      <c r="U93" s="336"/>
    </row>
    <row r="94" ht="15.75" customHeight="1">
      <c r="A94" s="5"/>
      <c r="B94" s="334"/>
      <c r="C94" s="334"/>
      <c r="D94" s="334"/>
      <c r="E94" s="334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6"/>
      <c r="Q94" s="336"/>
      <c r="R94" s="336"/>
      <c r="S94" s="336"/>
      <c r="T94" s="336"/>
      <c r="U94" s="336"/>
    </row>
    <row r="95" ht="15.75" customHeight="1">
      <c r="A95" s="5"/>
      <c r="B95" s="334"/>
      <c r="C95" s="334"/>
      <c r="D95" s="334"/>
      <c r="E95" s="334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6"/>
      <c r="Q95" s="336"/>
      <c r="R95" s="336"/>
      <c r="S95" s="336"/>
      <c r="T95" s="336"/>
      <c r="U95" s="336"/>
    </row>
    <row r="96" ht="15.75" customHeight="1">
      <c r="A96" s="5"/>
      <c r="B96" s="334"/>
      <c r="C96" s="334"/>
      <c r="D96" s="334"/>
      <c r="E96" s="334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6"/>
      <c r="Q96" s="336"/>
      <c r="R96" s="336"/>
      <c r="S96" s="336"/>
      <c r="T96" s="336"/>
      <c r="U96" s="336"/>
    </row>
    <row r="97" ht="15.75" customHeight="1">
      <c r="A97" s="5"/>
      <c r="B97" s="334"/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6"/>
      <c r="Q97" s="336"/>
      <c r="R97" s="336"/>
      <c r="S97" s="336"/>
      <c r="T97" s="336"/>
      <c r="U97" s="336"/>
    </row>
    <row r="98" ht="15.75" customHeight="1">
      <c r="A98" s="5"/>
      <c r="B98" s="334"/>
      <c r="C98" s="334"/>
      <c r="D98" s="334"/>
      <c r="E98" s="334"/>
      <c r="F98" s="334"/>
      <c r="G98" s="334"/>
      <c r="H98" s="334"/>
      <c r="I98" s="334"/>
      <c r="J98" s="334"/>
      <c r="K98" s="334"/>
      <c r="L98" s="334"/>
      <c r="M98" s="334"/>
      <c r="N98" s="334"/>
      <c r="O98" s="334"/>
      <c r="P98" s="336"/>
      <c r="Q98" s="336"/>
      <c r="R98" s="336"/>
      <c r="S98" s="336"/>
      <c r="T98" s="336"/>
      <c r="U98" s="336"/>
    </row>
    <row r="99" ht="15.75" customHeight="1">
      <c r="A99" s="5"/>
      <c r="B99" s="334"/>
      <c r="C99" s="334"/>
      <c r="D99" s="334"/>
      <c r="E99" s="334"/>
      <c r="F99" s="334"/>
      <c r="G99" s="334"/>
      <c r="H99" s="334"/>
      <c r="I99" s="334"/>
      <c r="J99" s="334"/>
      <c r="K99" s="334"/>
      <c r="L99" s="334"/>
      <c r="M99" s="334"/>
      <c r="N99" s="334"/>
      <c r="O99" s="334"/>
      <c r="P99" s="336"/>
      <c r="Q99" s="336"/>
      <c r="R99" s="336"/>
      <c r="S99" s="336"/>
      <c r="T99" s="336"/>
      <c r="U99" s="336"/>
    </row>
    <row r="100" ht="15.75" customHeight="1">
      <c r="A100" s="5"/>
      <c r="B100" s="334"/>
      <c r="C100" s="334"/>
      <c r="D100" s="334"/>
      <c r="E100" s="334"/>
      <c r="F100" s="334"/>
      <c r="G100" s="334"/>
      <c r="H100" s="334"/>
      <c r="I100" s="334"/>
      <c r="J100" s="334"/>
      <c r="K100" s="334"/>
      <c r="L100" s="334"/>
      <c r="M100" s="334"/>
      <c r="N100" s="334"/>
      <c r="O100" s="334"/>
      <c r="P100" s="336"/>
      <c r="Q100" s="336"/>
      <c r="R100" s="336"/>
      <c r="S100" s="336"/>
      <c r="T100" s="336"/>
      <c r="U100" s="336"/>
    </row>
    <row r="101" ht="15.75" customHeight="1">
      <c r="A101" s="5"/>
      <c r="B101" s="334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6"/>
      <c r="Q101" s="336"/>
      <c r="R101" s="336"/>
      <c r="S101" s="336"/>
      <c r="T101" s="336"/>
      <c r="U101" s="336"/>
    </row>
    <row r="102" ht="15.75" customHeight="1">
      <c r="A102" s="5"/>
      <c r="B102" s="334"/>
      <c r="C102" s="334"/>
      <c r="D102" s="334"/>
      <c r="E102" s="334"/>
      <c r="F102" s="334"/>
      <c r="G102" s="334"/>
      <c r="H102" s="334"/>
      <c r="I102" s="334"/>
      <c r="J102" s="334"/>
      <c r="K102" s="334"/>
      <c r="L102" s="334"/>
      <c r="M102" s="334"/>
      <c r="N102" s="334"/>
      <c r="O102" s="334"/>
      <c r="P102" s="336"/>
      <c r="Q102" s="336"/>
      <c r="R102" s="336"/>
      <c r="S102" s="336"/>
      <c r="T102" s="336"/>
      <c r="U102" s="336"/>
    </row>
    <row r="103" ht="15.75" customHeight="1">
      <c r="A103" s="5"/>
      <c r="B103" s="334"/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334"/>
      <c r="O103" s="334"/>
      <c r="P103" s="336"/>
      <c r="Q103" s="336"/>
      <c r="R103" s="336"/>
      <c r="S103" s="336"/>
      <c r="T103" s="336"/>
      <c r="U103" s="336"/>
    </row>
    <row r="104" ht="15.75" customHeight="1">
      <c r="A104" s="5"/>
      <c r="B104" s="334"/>
      <c r="C104" s="334"/>
      <c r="D104" s="334"/>
      <c r="E104" s="334"/>
      <c r="F104" s="334"/>
      <c r="G104" s="334"/>
      <c r="H104" s="334"/>
      <c r="I104" s="334"/>
      <c r="J104" s="334"/>
      <c r="K104" s="334"/>
      <c r="L104" s="334"/>
      <c r="M104" s="334"/>
      <c r="N104" s="334"/>
      <c r="O104" s="334"/>
      <c r="P104" s="336"/>
      <c r="Q104" s="336"/>
      <c r="R104" s="336"/>
      <c r="S104" s="336"/>
      <c r="T104" s="336"/>
      <c r="U104" s="336"/>
    </row>
    <row r="105" ht="15.75" customHeight="1">
      <c r="A105" s="5"/>
      <c r="B105" s="334"/>
      <c r="C105" s="334"/>
      <c r="D105" s="334"/>
      <c r="E105" s="334"/>
      <c r="F105" s="334"/>
      <c r="G105" s="334"/>
      <c r="H105" s="334"/>
      <c r="I105" s="334"/>
      <c r="J105" s="334"/>
      <c r="K105" s="334"/>
      <c r="L105" s="334"/>
      <c r="M105" s="334"/>
      <c r="N105" s="334"/>
      <c r="O105" s="334"/>
      <c r="P105" s="336"/>
      <c r="Q105" s="336"/>
      <c r="R105" s="336"/>
      <c r="S105" s="336"/>
      <c r="T105" s="336"/>
      <c r="U105" s="336"/>
    </row>
    <row r="106" ht="15.75" customHeight="1">
      <c r="A106" s="5"/>
      <c r="B106" s="334"/>
      <c r="C106" s="334"/>
      <c r="D106" s="334"/>
      <c r="E106" s="334"/>
      <c r="F106" s="334"/>
      <c r="G106" s="334"/>
      <c r="H106" s="334"/>
      <c r="I106" s="334"/>
      <c r="J106" s="334"/>
      <c r="K106" s="334"/>
      <c r="L106" s="334"/>
      <c r="M106" s="334"/>
      <c r="N106" s="334"/>
      <c r="O106" s="334"/>
      <c r="P106" s="336"/>
      <c r="Q106" s="336"/>
      <c r="R106" s="336"/>
      <c r="S106" s="336"/>
      <c r="T106" s="336"/>
      <c r="U106" s="336"/>
    </row>
    <row r="107" ht="15.75" customHeight="1">
      <c r="A107" s="5"/>
      <c r="B107" s="334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334"/>
      <c r="P107" s="336"/>
      <c r="Q107" s="336"/>
      <c r="R107" s="336"/>
      <c r="S107" s="336"/>
      <c r="T107" s="336"/>
      <c r="U107" s="336"/>
    </row>
    <row r="108" ht="15.75" customHeight="1">
      <c r="A108" s="5"/>
      <c r="B108" s="334"/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/>
      <c r="N108" s="334"/>
      <c r="O108" s="334"/>
      <c r="P108" s="336"/>
      <c r="Q108" s="336"/>
      <c r="R108" s="336"/>
      <c r="S108" s="336"/>
      <c r="T108" s="336"/>
      <c r="U108" s="336"/>
    </row>
    <row r="109" ht="15.75" customHeight="1">
      <c r="A109" s="5"/>
      <c r="B109" s="334"/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6"/>
      <c r="Q109" s="336"/>
      <c r="R109" s="336"/>
      <c r="S109" s="336"/>
      <c r="T109" s="336"/>
      <c r="U109" s="336"/>
    </row>
    <row r="110" ht="15.75" customHeight="1">
      <c r="A110" s="5"/>
      <c r="B110" s="334"/>
      <c r="C110" s="334"/>
      <c r="D110" s="334"/>
      <c r="E110" s="334"/>
      <c r="F110" s="334"/>
      <c r="G110" s="334"/>
      <c r="H110" s="334"/>
      <c r="I110" s="334"/>
      <c r="J110" s="334"/>
      <c r="K110" s="334"/>
      <c r="L110" s="334"/>
      <c r="M110" s="334"/>
      <c r="N110" s="334"/>
      <c r="O110" s="334"/>
      <c r="P110" s="336"/>
      <c r="Q110" s="336"/>
      <c r="R110" s="336"/>
      <c r="S110" s="336"/>
      <c r="T110" s="336"/>
      <c r="U110" s="336"/>
    </row>
    <row r="111" ht="15.75" customHeight="1">
      <c r="A111" s="5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6"/>
      <c r="Q111" s="336"/>
      <c r="R111" s="336"/>
      <c r="S111" s="336"/>
      <c r="T111" s="336"/>
      <c r="U111" s="336"/>
    </row>
    <row r="112" ht="15.75" customHeight="1">
      <c r="A112" s="5"/>
      <c r="B112" s="334"/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34"/>
      <c r="O112" s="334"/>
      <c r="P112" s="336"/>
      <c r="Q112" s="336"/>
      <c r="R112" s="336"/>
      <c r="S112" s="336"/>
      <c r="T112" s="336"/>
      <c r="U112" s="336"/>
    </row>
    <row r="113" ht="15.75" customHeight="1">
      <c r="A113" s="5"/>
      <c r="B113" s="334"/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34"/>
      <c r="O113" s="334"/>
      <c r="P113" s="336"/>
      <c r="Q113" s="336"/>
      <c r="R113" s="336"/>
      <c r="S113" s="336"/>
      <c r="T113" s="336"/>
      <c r="U113" s="336"/>
    </row>
    <row r="114" ht="15.75" customHeight="1">
      <c r="A114" s="5"/>
      <c r="B114" s="334"/>
      <c r="C114" s="334"/>
      <c r="D114" s="334"/>
      <c r="E114" s="334"/>
      <c r="F114" s="334"/>
      <c r="G114" s="334"/>
      <c r="H114" s="334"/>
      <c r="I114" s="334"/>
      <c r="J114" s="334"/>
      <c r="K114" s="334"/>
      <c r="L114" s="334"/>
      <c r="M114" s="334"/>
      <c r="N114" s="334"/>
      <c r="O114" s="334"/>
      <c r="P114" s="336"/>
      <c r="Q114" s="336"/>
      <c r="R114" s="336"/>
      <c r="S114" s="336"/>
      <c r="T114" s="336"/>
      <c r="U114" s="336"/>
    </row>
    <row r="115" ht="15.75" customHeight="1">
      <c r="A115" s="5"/>
      <c r="B115" s="334"/>
      <c r="C115" s="334"/>
      <c r="D115" s="334"/>
      <c r="E115" s="334"/>
      <c r="F115" s="334"/>
      <c r="G115" s="334"/>
      <c r="H115" s="334"/>
      <c r="I115" s="334"/>
      <c r="J115" s="334"/>
      <c r="K115" s="334"/>
      <c r="L115" s="334"/>
      <c r="M115" s="334"/>
      <c r="N115" s="334"/>
      <c r="O115" s="334"/>
      <c r="P115" s="336"/>
      <c r="Q115" s="336"/>
      <c r="R115" s="336"/>
      <c r="S115" s="336"/>
      <c r="T115" s="336"/>
      <c r="U115" s="336"/>
    </row>
    <row r="116" ht="15.75" customHeight="1">
      <c r="A116" s="5"/>
      <c r="B116" s="334"/>
      <c r="C116" s="334"/>
      <c r="D116" s="334"/>
      <c r="E116" s="334"/>
      <c r="F116" s="334"/>
      <c r="G116" s="334"/>
      <c r="H116" s="334"/>
      <c r="I116" s="334"/>
      <c r="J116" s="334"/>
      <c r="K116" s="334"/>
      <c r="L116" s="334"/>
      <c r="M116" s="334"/>
      <c r="N116" s="334"/>
      <c r="O116" s="334"/>
      <c r="P116" s="336"/>
      <c r="Q116" s="336"/>
      <c r="R116" s="336"/>
      <c r="S116" s="336"/>
      <c r="T116" s="336"/>
      <c r="U116" s="336"/>
    </row>
    <row r="117" ht="15.75" customHeight="1">
      <c r="A117" s="5"/>
      <c r="B117" s="334"/>
      <c r="C117" s="334"/>
      <c r="D117" s="334"/>
      <c r="E117" s="334"/>
      <c r="F117" s="334"/>
      <c r="G117" s="334"/>
      <c r="H117" s="334"/>
      <c r="I117" s="334"/>
      <c r="J117" s="334"/>
      <c r="K117" s="334"/>
      <c r="L117" s="334"/>
      <c r="M117" s="334"/>
      <c r="N117" s="334"/>
      <c r="O117" s="334"/>
      <c r="P117" s="336"/>
      <c r="Q117" s="336"/>
      <c r="R117" s="336"/>
      <c r="S117" s="336"/>
      <c r="T117" s="336"/>
      <c r="U117" s="336"/>
    </row>
    <row r="118" ht="15.75" customHeight="1">
      <c r="A118" s="5"/>
      <c r="B118" s="334"/>
      <c r="C118" s="334"/>
      <c r="D118" s="334"/>
      <c r="E118" s="334"/>
      <c r="F118" s="334"/>
      <c r="G118" s="334"/>
      <c r="H118" s="334"/>
      <c r="I118" s="334"/>
      <c r="J118" s="334"/>
      <c r="K118" s="334"/>
      <c r="L118" s="334"/>
      <c r="M118" s="334"/>
      <c r="N118" s="334"/>
      <c r="O118" s="334"/>
      <c r="P118" s="336"/>
      <c r="Q118" s="336"/>
      <c r="R118" s="336"/>
      <c r="S118" s="336"/>
      <c r="T118" s="336"/>
      <c r="U118" s="336"/>
    </row>
    <row r="119" ht="15.75" customHeight="1">
      <c r="A119" s="5"/>
      <c r="B119" s="334"/>
      <c r="C119" s="334"/>
      <c r="D119" s="334"/>
      <c r="E119" s="334"/>
      <c r="F119" s="334"/>
      <c r="G119" s="334"/>
      <c r="H119" s="334"/>
      <c r="I119" s="334"/>
      <c r="J119" s="334"/>
      <c r="K119" s="334"/>
      <c r="L119" s="334"/>
      <c r="M119" s="334"/>
      <c r="N119" s="334"/>
      <c r="O119" s="334"/>
      <c r="P119" s="336"/>
      <c r="Q119" s="336"/>
      <c r="R119" s="336"/>
      <c r="S119" s="336"/>
      <c r="T119" s="336"/>
      <c r="U119" s="336"/>
    </row>
    <row r="120" ht="15.75" customHeight="1">
      <c r="A120" s="5"/>
      <c r="B120" s="334"/>
      <c r="C120" s="334"/>
      <c r="D120" s="334"/>
      <c r="E120" s="334"/>
      <c r="F120" s="334"/>
      <c r="G120" s="334"/>
      <c r="H120" s="334"/>
      <c r="I120" s="334"/>
      <c r="J120" s="334"/>
      <c r="K120" s="334"/>
      <c r="L120" s="334"/>
      <c r="M120" s="334"/>
      <c r="N120" s="334"/>
      <c r="O120" s="334"/>
      <c r="P120" s="336"/>
      <c r="Q120" s="336"/>
      <c r="R120" s="336"/>
      <c r="S120" s="336"/>
      <c r="T120" s="336"/>
      <c r="U120" s="336"/>
    </row>
    <row r="121" ht="15.75" customHeight="1">
      <c r="A121" s="5"/>
      <c r="B121" s="334"/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334"/>
      <c r="O121" s="334"/>
      <c r="P121" s="336"/>
      <c r="Q121" s="336"/>
      <c r="R121" s="336"/>
      <c r="S121" s="336"/>
      <c r="T121" s="336"/>
      <c r="U121" s="336"/>
    </row>
    <row r="122" ht="15.75" customHeight="1">
      <c r="A122" s="5"/>
      <c r="B122" s="334"/>
      <c r="C122" s="334"/>
      <c r="D122" s="334"/>
      <c r="E122" s="334"/>
      <c r="F122" s="334"/>
      <c r="G122" s="334"/>
      <c r="H122" s="334"/>
      <c r="I122" s="334"/>
      <c r="J122" s="334"/>
      <c r="K122" s="334"/>
      <c r="L122" s="334"/>
      <c r="M122" s="334"/>
      <c r="N122" s="334"/>
      <c r="O122" s="334"/>
      <c r="P122" s="336"/>
      <c r="Q122" s="336"/>
      <c r="R122" s="336"/>
      <c r="S122" s="336"/>
      <c r="T122" s="336"/>
      <c r="U122" s="336"/>
    </row>
    <row r="123" ht="15.75" customHeight="1">
      <c r="A123" s="5"/>
      <c r="B123" s="334"/>
      <c r="C123" s="334"/>
      <c r="D123" s="334"/>
      <c r="E123" s="334"/>
      <c r="F123" s="334"/>
      <c r="G123" s="334"/>
      <c r="H123" s="334"/>
      <c r="I123" s="334"/>
      <c r="J123" s="334"/>
      <c r="K123" s="334"/>
      <c r="L123" s="334"/>
      <c r="M123" s="334"/>
      <c r="N123" s="334"/>
      <c r="O123" s="334"/>
      <c r="P123" s="336"/>
      <c r="Q123" s="336"/>
      <c r="R123" s="336"/>
      <c r="S123" s="336"/>
      <c r="T123" s="336"/>
      <c r="U123" s="336"/>
    </row>
    <row r="124" ht="15.75" customHeight="1">
      <c r="A124" s="5"/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36"/>
      <c r="Q124" s="336"/>
      <c r="R124" s="336"/>
      <c r="S124" s="336"/>
      <c r="T124" s="336"/>
      <c r="U124" s="336"/>
    </row>
    <row r="125" ht="15.75" customHeight="1">
      <c r="A125" s="5"/>
      <c r="B125" s="334"/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334"/>
      <c r="O125" s="334"/>
      <c r="P125" s="336"/>
      <c r="Q125" s="336"/>
      <c r="R125" s="336"/>
      <c r="S125" s="336"/>
      <c r="T125" s="336"/>
      <c r="U125" s="336"/>
    </row>
    <row r="126" ht="15.75" customHeight="1">
      <c r="A126" s="5"/>
      <c r="B126" s="334"/>
      <c r="C126" s="334"/>
      <c r="D126" s="334"/>
      <c r="E126" s="334"/>
      <c r="F126" s="334"/>
      <c r="G126" s="334"/>
      <c r="H126" s="334"/>
      <c r="I126" s="334"/>
      <c r="J126" s="334"/>
      <c r="K126" s="334"/>
      <c r="L126" s="334"/>
      <c r="M126" s="334"/>
      <c r="N126" s="334"/>
      <c r="O126" s="334"/>
      <c r="P126" s="336"/>
      <c r="Q126" s="336"/>
      <c r="R126" s="336"/>
      <c r="S126" s="336"/>
      <c r="T126" s="336"/>
      <c r="U126" s="336"/>
    </row>
    <row r="127" ht="15.75" customHeight="1">
      <c r="A127" s="5"/>
      <c r="B127" s="334"/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6"/>
      <c r="Q127" s="336"/>
      <c r="R127" s="336"/>
      <c r="S127" s="336"/>
      <c r="T127" s="336"/>
      <c r="U127" s="336"/>
    </row>
    <row r="128" ht="15.75" customHeight="1">
      <c r="A128" s="5"/>
      <c r="B128" s="334"/>
      <c r="C128" s="334"/>
      <c r="D128" s="334"/>
      <c r="E128" s="334"/>
      <c r="F128" s="334"/>
      <c r="G128" s="334"/>
      <c r="H128" s="334"/>
      <c r="I128" s="334"/>
      <c r="J128" s="334"/>
      <c r="K128" s="334"/>
      <c r="L128" s="334"/>
      <c r="M128" s="334"/>
      <c r="N128" s="334"/>
      <c r="O128" s="334"/>
      <c r="P128" s="336"/>
      <c r="Q128" s="336"/>
      <c r="R128" s="336"/>
      <c r="S128" s="336"/>
      <c r="T128" s="336"/>
      <c r="U128" s="336"/>
    </row>
    <row r="129" ht="15.75" customHeight="1">
      <c r="A129" s="5"/>
      <c r="B129" s="334"/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34"/>
      <c r="O129" s="334"/>
      <c r="P129" s="336"/>
      <c r="Q129" s="336"/>
      <c r="R129" s="336"/>
      <c r="S129" s="336"/>
      <c r="T129" s="336"/>
      <c r="U129" s="336"/>
    </row>
    <row r="130" ht="15.75" customHeight="1">
      <c r="A130" s="5"/>
      <c r="B130" s="334"/>
      <c r="C130" s="334"/>
      <c r="D130" s="334"/>
      <c r="E130" s="334"/>
      <c r="F130" s="334"/>
      <c r="G130" s="334"/>
      <c r="H130" s="334"/>
      <c r="I130" s="334"/>
      <c r="J130" s="334"/>
      <c r="K130" s="334"/>
      <c r="L130" s="334"/>
      <c r="M130" s="334"/>
      <c r="N130" s="334"/>
      <c r="O130" s="334"/>
      <c r="P130" s="336"/>
      <c r="Q130" s="336"/>
      <c r="R130" s="336"/>
      <c r="S130" s="336"/>
      <c r="T130" s="336"/>
      <c r="U130" s="336"/>
    </row>
    <row r="131" ht="15.75" customHeight="1">
      <c r="A131" s="5"/>
      <c r="B131" s="334"/>
      <c r="C131" s="334"/>
      <c r="D131" s="334"/>
      <c r="E131" s="334"/>
      <c r="F131" s="334"/>
      <c r="G131" s="334"/>
      <c r="H131" s="334"/>
      <c r="I131" s="334"/>
      <c r="J131" s="334"/>
      <c r="K131" s="334"/>
      <c r="L131" s="334"/>
      <c r="M131" s="334"/>
      <c r="N131" s="334"/>
      <c r="O131" s="334"/>
      <c r="P131" s="336"/>
      <c r="Q131" s="336"/>
      <c r="R131" s="336"/>
      <c r="S131" s="336"/>
      <c r="T131" s="336"/>
      <c r="U131" s="336"/>
    </row>
    <row r="132" ht="15.75" customHeight="1">
      <c r="A132" s="5"/>
      <c r="B132" s="334"/>
      <c r="C132" s="334"/>
      <c r="D132" s="334"/>
      <c r="E132" s="334"/>
      <c r="F132" s="334"/>
      <c r="G132" s="334"/>
      <c r="H132" s="334"/>
      <c r="I132" s="334"/>
      <c r="J132" s="334"/>
      <c r="K132" s="334"/>
      <c r="L132" s="334"/>
      <c r="M132" s="334"/>
      <c r="N132" s="334"/>
      <c r="O132" s="334"/>
      <c r="P132" s="336"/>
      <c r="Q132" s="336"/>
      <c r="R132" s="336"/>
      <c r="S132" s="336"/>
      <c r="T132" s="336"/>
      <c r="U132" s="336"/>
    </row>
    <row r="133" ht="15.75" customHeight="1">
      <c r="A133" s="5"/>
      <c r="B133" s="334"/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334"/>
      <c r="O133" s="334"/>
      <c r="P133" s="336"/>
      <c r="Q133" s="336"/>
      <c r="R133" s="336"/>
      <c r="S133" s="336"/>
      <c r="T133" s="336"/>
      <c r="U133" s="336"/>
    </row>
    <row r="134" ht="15.75" customHeight="1">
      <c r="A134" s="5"/>
      <c r="B134" s="334"/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6"/>
      <c r="Q134" s="336"/>
      <c r="R134" s="336"/>
      <c r="S134" s="336"/>
      <c r="T134" s="336"/>
      <c r="U134" s="336"/>
    </row>
    <row r="135" ht="15.75" customHeight="1">
      <c r="A135" s="5"/>
      <c r="B135" s="334"/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  <c r="M135" s="334"/>
      <c r="N135" s="334"/>
      <c r="O135" s="334"/>
      <c r="P135" s="336"/>
      <c r="Q135" s="336"/>
      <c r="R135" s="336"/>
      <c r="S135" s="336"/>
      <c r="T135" s="336"/>
      <c r="U135" s="336"/>
    </row>
    <row r="136" ht="15.75" customHeight="1">
      <c r="A136" s="5"/>
      <c r="B136" s="334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6"/>
      <c r="Q136" s="336"/>
      <c r="R136" s="336"/>
      <c r="S136" s="336"/>
      <c r="T136" s="336"/>
      <c r="U136" s="336"/>
    </row>
    <row r="137" ht="15.75" customHeight="1">
      <c r="A137" s="5"/>
      <c r="B137" s="334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34"/>
      <c r="O137" s="334"/>
      <c r="P137" s="336"/>
      <c r="Q137" s="336"/>
      <c r="R137" s="336"/>
      <c r="S137" s="336"/>
      <c r="T137" s="336"/>
      <c r="U137" s="336"/>
    </row>
    <row r="138" ht="15.75" customHeight="1">
      <c r="A138" s="5"/>
      <c r="B138" s="334"/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34"/>
      <c r="O138" s="334"/>
      <c r="P138" s="336"/>
      <c r="Q138" s="336"/>
      <c r="R138" s="336"/>
      <c r="S138" s="336"/>
      <c r="T138" s="336"/>
      <c r="U138" s="336"/>
    </row>
    <row r="139" ht="15.75" customHeight="1">
      <c r="A139" s="5"/>
      <c r="B139" s="334"/>
      <c r="C139" s="334"/>
      <c r="D139" s="334"/>
      <c r="E139" s="334"/>
      <c r="F139" s="334"/>
      <c r="G139" s="334"/>
      <c r="H139" s="334"/>
      <c r="I139" s="334"/>
      <c r="J139" s="334"/>
      <c r="K139" s="334"/>
      <c r="L139" s="334"/>
      <c r="M139" s="334"/>
      <c r="N139" s="334"/>
      <c r="O139" s="334"/>
      <c r="P139" s="336"/>
      <c r="Q139" s="336"/>
      <c r="R139" s="336"/>
      <c r="S139" s="336"/>
      <c r="T139" s="336"/>
      <c r="U139" s="336"/>
    </row>
    <row r="140" ht="15.75" customHeight="1">
      <c r="A140" s="5"/>
      <c r="B140" s="334"/>
      <c r="C140" s="334"/>
      <c r="D140" s="334"/>
      <c r="E140" s="334"/>
      <c r="F140" s="334"/>
      <c r="G140" s="334"/>
      <c r="H140" s="334"/>
      <c r="I140" s="334"/>
      <c r="J140" s="334"/>
      <c r="K140" s="334"/>
      <c r="L140" s="334"/>
      <c r="M140" s="334"/>
      <c r="N140" s="334"/>
      <c r="O140" s="334"/>
      <c r="P140" s="336"/>
      <c r="Q140" s="336"/>
      <c r="R140" s="336"/>
      <c r="S140" s="336"/>
      <c r="T140" s="336"/>
      <c r="U140" s="336"/>
    </row>
    <row r="141" ht="15.75" customHeight="1">
      <c r="A141" s="5"/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6"/>
      <c r="Q141" s="336"/>
      <c r="R141" s="336"/>
      <c r="S141" s="336"/>
      <c r="T141" s="336"/>
      <c r="U141" s="336"/>
    </row>
    <row r="142" ht="15.75" customHeight="1">
      <c r="A142" s="5"/>
      <c r="B142" s="334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34"/>
      <c r="O142" s="334"/>
      <c r="P142" s="336"/>
      <c r="Q142" s="336"/>
      <c r="R142" s="336"/>
      <c r="S142" s="336"/>
      <c r="T142" s="336"/>
      <c r="U142" s="336"/>
    </row>
    <row r="143" ht="15.75" customHeight="1">
      <c r="A143" s="5"/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6"/>
      <c r="Q143" s="336"/>
      <c r="R143" s="336"/>
      <c r="S143" s="336"/>
      <c r="T143" s="336"/>
      <c r="U143" s="336"/>
    </row>
    <row r="144" ht="15.75" customHeight="1">
      <c r="A144" s="5"/>
      <c r="B144" s="334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6"/>
      <c r="Q144" s="336"/>
      <c r="R144" s="336"/>
      <c r="S144" s="336"/>
      <c r="T144" s="336"/>
      <c r="U144" s="336"/>
    </row>
    <row r="145" ht="15.75" customHeight="1">
      <c r="A145" s="5"/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6"/>
      <c r="Q145" s="336"/>
      <c r="R145" s="336"/>
      <c r="S145" s="336"/>
      <c r="T145" s="336"/>
      <c r="U145" s="336"/>
    </row>
    <row r="146" ht="15.75" customHeight="1">
      <c r="A146" s="5"/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6"/>
      <c r="Q146" s="336"/>
      <c r="R146" s="336"/>
      <c r="S146" s="336"/>
      <c r="T146" s="336"/>
      <c r="U146" s="336"/>
    </row>
    <row r="147" ht="15.75" customHeight="1">
      <c r="A147" s="5"/>
      <c r="B147" s="334"/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6"/>
      <c r="Q147" s="336"/>
      <c r="R147" s="336"/>
      <c r="S147" s="336"/>
      <c r="T147" s="336"/>
      <c r="U147" s="336"/>
    </row>
    <row r="148" ht="15.75" customHeight="1">
      <c r="A148" s="5"/>
      <c r="B148" s="334"/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6"/>
      <c r="Q148" s="336"/>
      <c r="R148" s="336"/>
      <c r="S148" s="336"/>
      <c r="T148" s="336"/>
      <c r="U148" s="336"/>
    </row>
    <row r="149" ht="15.75" customHeight="1">
      <c r="A149" s="5"/>
      <c r="B149" s="334"/>
      <c r="C149" s="334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6"/>
      <c r="Q149" s="336"/>
      <c r="R149" s="336"/>
      <c r="S149" s="336"/>
      <c r="T149" s="336"/>
      <c r="U149" s="336"/>
    </row>
    <row r="150" ht="15.75" customHeight="1">
      <c r="A150" s="5"/>
      <c r="B150" s="334"/>
      <c r="C150" s="334"/>
      <c r="D150" s="334"/>
      <c r="E150" s="334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6"/>
      <c r="Q150" s="336"/>
      <c r="R150" s="336"/>
      <c r="S150" s="336"/>
      <c r="T150" s="336"/>
      <c r="U150" s="336"/>
    </row>
    <row r="151" ht="15.75" customHeight="1">
      <c r="A151" s="5"/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6"/>
      <c r="Q151" s="336"/>
      <c r="R151" s="336"/>
      <c r="S151" s="336"/>
      <c r="T151" s="336"/>
      <c r="U151" s="336"/>
    </row>
    <row r="152" ht="15.75" customHeight="1">
      <c r="A152" s="5"/>
      <c r="B152" s="334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6"/>
      <c r="Q152" s="336"/>
      <c r="R152" s="336"/>
      <c r="S152" s="336"/>
      <c r="T152" s="336"/>
      <c r="U152" s="336"/>
    </row>
    <row r="153" ht="15.75" customHeight="1">
      <c r="A153" s="5"/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6"/>
      <c r="Q153" s="336"/>
      <c r="R153" s="336"/>
      <c r="S153" s="336"/>
      <c r="T153" s="336"/>
      <c r="U153" s="336"/>
    </row>
    <row r="154" ht="15.75" customHeight="1">
      <c r="A154" s="5"/>
      <c r="B154" s="334"/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6"/>
      <c r="Q154" s="336"/>
      <c r="R154" s="336"/>
      <c r="S154" s="336"/>
      <c r="T154" s="336"/>
      <c r="U154" s="336"/>
    </row>
    <row r="155" ht="15.75" customHeight="1">
      <c r="A155" s="5"/>
      <c r="B155" s="334"/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334"/>
      <c r="O155" s="334"/>
      <c r="P155" s="336"/>
      <c r="Q155" s="336"/>
      <c r="R155" s="336"/>
      <c r="S155" s="336"/>
      <c r="T155" s="336"/>
      <c r="U155" s="336"/>
    </row>
    <row r="156" ht="15.75" customHeight="1">
      <c r="A156" s="5"/>
      <c r="B156" s="334"/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6"/>
      <c r="Q156" s="336"/>
      <c r="R156" s="336"/>
      <c r="S156" s="336"/>
      <c r="T156" s="336"/>
      <c r="U156" s="336"/>
    </row>
    <row r="157" ht="15.75" customHeight="1">
      <c r="A157" s="5"/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6"/>
      <c r="Q157" s="336"/>
      <c r="R157" s="336"/>
      <c r="S157" s="336"/>
      <c r="T157" s="336"/>
      <c r="U157" s="336"/>
    </row>
    <row r="158" ht="15.75" customHeight="1">
      <c r="A158" s="5"/>
      <c r="B158" s="334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6"/>
      <c r="Q158" s="336"/>
      <c r="R158" s="336"/>
      <c r="S158" s="336"/>
      <c r="T158" s="336"/>
      <c r="U158" s="336"/>
    </row>
    <row r="159" ht="15.75" customHeight="1">
      <c r="A159" s="5"/>
      <c r="B159" s="334"/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6"/>
      <c r="Q159" s="336"/>
      <c r="R159" s="336"/>
      <c r="S159" s="336"/>
      <c r="T159" s="336"/>
      <c r="U159" s="336"/>
    </row>
    <row r="160" ht="15.75" customHeight="1">
      <c r="A160" s="5"/>
      <c r="B160" s="334"/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6"/>
      <c r="Q160" s="336"/>
      <c r="R160" s="336"/>
      <c r="S160" s="336"/>
      <c r="T160" s="336"/>
      <c r="U160" s="336"/>
    </row>
    <row r="161" ht="15.75" customHeight="1">
      <c r="A161" s="5"/>
      <c r="B161" s="334"/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6"/>
      <c r="Q161" s="336"/>
      <c r="R161" s="336"/>
      <c r="S161" s="336"/>
      <c r="T161" s="336"/>
      <c r="U161" s="336"/>
    </row>
    <row r="162" ht="15.75" customHeight="1">
      <c r="A162" s="5"/>
      <c r="B162" s="334"/>
      <c r="C162" s="334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6"/>
      <c r="Q162" s="336"/>
      <c r="R162" s="336"/>
      <c r="S162" s="336"/>
      <c r="T162" s="336"/>
      <c r="U162" s="336"/>
    </row>
    <row r="163" ht="15.75" customHeight="1">
      <c r="A163" s="5"/>
      <c r="B163" s="334"/>
      <c r="C163" s="334"/>
      <c r="D163" s="334"/>
      <c r="E163" s="334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6"/>
      <c r="Q163" s="336"/>
      <c r="R163" s="336"/>
      <c r="S163" s="336"/>
      <c r="T163" s="336"/>
      <c r="U163" s="336"/>
    </row>
    <row r="164" ht="15.75" customHeight="1">
      <c r="A164" s="5"/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6"/>
      <c r="Q164" s="336"/>
      <c r="R164" s="336"/>
      <c r="S164" s="336"/>
      <c r="T164" s="336"/>
      <c r="U164" s="336"/>
    </row>
    <row r="165" ht="15.75" customHeight="1">
      <c r="A165" s="5"/>
      <c r="B165" s="334"/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6"/>
      <c r="Q165" s="336"/>
      <c r="R165" s="336"/>
      <c r="S165" s="336"/>
      <c r="T165" s="336"/>
      <c r="U165" s="336"/>
    </row>
    <row r="166" ht="15.75" customHeight="1">
      <c r="A166" s="5"/>
      <c r="B166" s="334"/>
      <c r="C166" s="334"/>
      <c r="D166" s="334"/>
      <c r="E166" s="334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6"/>
      <c r="Q166" s="336"/>
      <c r="R166" s="336"/>
      <c r="S166" s="336"/>
      <c r="T166" s="336"/>
      <c r="U166" s="336"/>
    </row>
    <row r="167" ht="15.75" customHeight="1">
      <c r="A167" s="5"/>
      <c r="B167" s="334"/>
      <c r="C167" s="334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6"/>
      <c r="Q167" s="336"/>
      <c r="R167" s="336"/>
      <c r="S167" s="336"/>
      <c r="T167" s="336"/>
      <c r="U167" s="336"/>
    </row>
    <row r="168" ht="15.75" customHeight="1">
      <c r="A168" s="5"/>
      <c r="B168" s="334"/>
      <c r="C168" s="334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6"/>
      <c r="Q168" s="336"/>
      <c r="R168" s="336"/>
      <c r="S168" s="336"/>
      <c r="T168" s="336"/>
      <c r="U168" s="336"/>
    </row>
    <row r="169" ht="15.75" customHeight="1">
      <c r="A169" s="5"/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6"/>
      <c r="Q169" s="336"/>
      <c r="R169" s="336"/>
      <c r="S169" s="336"/>
      <c r="T169" s="336"/>
      <c r="U169" s="336"/>
    </row>
    <row r="170" ht="15.75" customHeight="1">
      <c r="A170" s="5"/>
      <c r="B170" s="334"/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/>
      <c r="N170" s="334"/>
      <c r="O170" s="334"/>
      <c r="P170" s="336"/>
      <c r="Q170" s="336"/>
      <c r="R170" s="336"/>
      <c r="S170" s="336"/>
      <c r="T170" s="336"/>
      <c r="U170" s="336"/>
    </row>
    <row r="171" ht="15.75" customHeight="1">
      <c r="A171" s="5"/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6"/>
      <c r="Q171" s="336"/>
      <c r="R171" s="336"/>
      <c r="S171" s="336"/>
      <c r="T171" s="336"/>
      <c r="U171" s="336"/>
    </row>
    <row r="172" ht="15.75" customHeight="1">
      <c r="A172" s="5"/>
      <c r="B172" s="334"/>
      <c r="C172" s="334"/>
      <c r="D172" s="334"/>
      <c r="E172" s="334"/>
      <c r="F172" s="334"/>
      <c r="G172" s="334"/>
      <c r="H172" s="334"/>
      <c r="I172" s="334"/>
      <c r="J172" s="334"/>
      <c r="K172" s="334"/>
      <c r="L172" s="334"/>
      <c r="M172" s="334"/>
      <c r="N172" s="334"/>
      <c r="O172" s="334"/>
      <c r="P172" s="336"/>
      <c r="Q172" s="336"/>
      <c r="R172" s="336"/>
      <c r="S172" s="336"/>
      <c r="T172" s="336"/>
      <c r="U172" s="336"/>
    </row>
    <row r="173" ht="15.75" customHeight="1">
      <c r="A173" s="5"/>
      <c r="B173" s="334"/>
      <c r="C173" s="334"/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6"/>
      <c r="Q173" s="336"/>
      <c r="R173" s="336"/>
      <c r="S173" s="336"/>
      <c r="T173" s="336"/>
      <c r="U173" s="336"/>
    </row>
    <row r="174" ht="15.75" customHeight="1">
      <c r="A174" s="5"/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6"/>
      <c r="Q174" s="336"/>
      <c r="R174" s="336"/>
      <c r="S174" s="336"/>
      <c r="T174" s="336"/>
      <c r="U174" s="336"/>
    </row>
    <row r="175" ht="15.75" customHeight="1">
      <c r="A175" s="5"/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6"/>
      <c r="Q175" s="336"/>
      <c r="R175" s="336"/>
      <c r="S175" s="336"/>
      <c r="T175" s="336"/>
      <c r="U175" s="336"/>
    </row>
    <row r="176" ht="15.75" customHeight="1">
      <c r="A176" s="5"/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6"/>
      <c r="Q176" s="336"/>
      <c r="R176" s="336"/>
      <c r="S176" s="336"/>
      <c r="T176" s="336"/>
      <c r="U176" s="336"/>
    </row>
    <row r="177" ht="15.75" customHeight="1">
      <c r="A177" s="5"/>
      <c r="B177" s="334"/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36"/>
      <c r="Q177" s="336"/>
      <c r="R177" s="336"/>
      <c r="S177" s="336"/>
      <c r="T177" s="336"/>
      <c r="U177" s="336"/>
    </row>
    <row r="178" ht="15.75" customHeight="1">
      <c r="A178" s="5"/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6"/>
      <c r="Q178" s="336"/>
      <c r="R178" s="336"/>
      <c r="S178" s="336"/>
      <c r="T178" s="336"/>
      <c r="U178" s="336"/>
    </row>
    <row r="179" ht="15.75" customHeight="1">
      <c r="A179" s="5"/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6"/>
      <c r="Q179" s="336"/>
      <c r="R179" s="336"/>
      <c r="S179" s="336"/>
      <c r="T179" s="336"/>
      <c r="U179" s="336"/>
    </row>
    <row r="180" ht="15.75" customHeight="1">
      <c r="A180" s="5"/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6"/>
      <c r="Q180" s="336"/>
      <c r="R180" s="336"/>
      <c r="S180" s="336"/>
      <c r="T180" s="336"/>
      <c r="U180" s="336"/>
    </row>
    <row r="181" ht="15.75" customHeight="1">
      <c r="A181" s="5"/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6"/>
      <c r="Q181" s="336"/>
      <c r="R181" s="336"/>
      <c r="S181" s="336"/>
      <c r="T181" s="336"/>
      <c r="U181" s="336"/>
    </row>
    <row r="182" ht="15.75" customHeight="1">
      <c r="A182" s="5"/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6"/>
      <c r="Q182" s="336"/>
      <c r="R182" s="336"/>
      <c r="S182" s="336"/>
      <c r="T182" s="336"/>
      <c r="U182" s="336"/>
    </row>
    <row r="183" ht="15.75" customHeight="1">
      <c r="A183" s="5"/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6"/>
      <c r="Q183" s="336"/>
      <c r="R183" s="336"/>
      <c r="S183" s="336"/>
      <c r="T183" s="336"/>
      <c r="U183" s="336"/>
    </row>
    <row r="184" ht="15.75" customHeight="1">
      <c r="A184" s="5"/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6"/>
      <c r="Q184" s="336"/>
      <c r="R184" s="336"/>
      <c r="S184" s="336"/>
      <c r="T184" s="336"/>
      <c r="U184" s="336"/>
    </row>
    <row r="185" ht="15.75" customHeight="1">
      <c r="A185" s="5"/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6"/>
      <c r="Q185" s="336"/>
      <c r="R185" s="336"/>
      <c r="S185" s="336"/>
      <c r="T185" s="336"/>
      <c r="U185" s="336"/>
    </row>
    <row r="186" ht="15.75" customHeight="1">
      <c r="A186" s="5"/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6"/>
      <c r="Q186" s="336"/>
      <c r="R186" s="336"/>
      <c r="S186" s="336"/>
      <c r="T186" s="336"/>
      <c r="U186" s="336"/>
    </row>
    <row r="187" ht="15.75" customHeight="1">
      <c r="A187" s="5"/>
      <c r="B187" s="334"/>
      <c r="C187" s="334"/>
      <c r="D187" s="334"/>
      <c r="E187" s="334"/>
      <c r="F187" s="334"/>
      <c r="G187" s="334"/>
      <c r="H187" s="334"/>
      <c r="I187" s="334"/>
      <c r="J187" s="334"/>
      <c r="K187" s="334"/>
      <c r="L187" s="334"/>
      <c r="M187" s="334"/>
      <c r="N187" s="334"/>
      <c r="O187" s="334"/>
      <c r="P187" s="336"/>
      <c r="Q187" s="336"/>
      <c r="R187" s="336"/>
      <c r="S187" s="336"/>
      <c r="T187" s="336"/>
      <c r="U187" s="336"/>
    </row>
    <row r="188" ht="15.75" customHeight="1">
      <c r="A188" s="5"/>
      <c r="B188" s="334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6"/>
      <c r="Q188" s="336"/>
      <c r="R188" s="336"/>
      <c r="S188" s="336"/>
      <c r="T188" s="336"/>
      <c r="U188" s="336"/>
    </row>
    <row r="189" ht="15.75" customHeight="1">
      <c r="A189" s="5"/>
      <c r="B189" s="334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6"/>
      <c r="Q189" s="336"/>
      <c r="R189" s="336"/>
      <c r="S189" s="336"/>
      <c r="T189" s="336"/>
      <c r="U189" s="336"/>
    </row>
    <row r="190" ht="15.75" customHeight="1">
      <c r="A190" s="5"/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  <c r="M190" s="334"/>
      <c r="N190" s="334"/>
      <c r="O190" s="334"/>
      <c r="P190" s="336"/>
      <c r="Q190" s="336"/>
      <c r="R190" s="336"/>
      <c r="S190" s="336"/>
      <c r="T190" s="336"/>
      <c r="U190" s="336"/>
    </row>
    <row r="191" ht="15.75" customHeight="1">
      <c r="A191" s="5"/>
      <c r="B191" s="334"/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334"/>
      <c r="O191" s="334"/>
      <c r="P191" s="336"/>
      <c r="Q191" s="336"/>
      <c r="R191" s="336"/>
      <c r="S191" s="336"/>
      <c r="T191" s="336"/>
      <c r="U191" s="336"/>
    </row>
    <row r="192" ht="15.75" customHeight="1">
      <c r="A192" s="5"/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6"/>
      <c r="Q192" s="336"/>
      <c r="R192" s="336"/>
      <c r="S192" s="336"/>
      <c r="T192" s="336"/>
      <c r="U192" s="336"/>
    </row>
    <row r="193" ht="15.75" customHeight="1">
      <c r="A193" s="5"/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6"/>
      <c r="Q193" s="336"/>
      <c r="R193" s="336"/>
      <c r="S193" s="336"/>
      <c r="T193" s="336"/>
      <c r="U193" s="336"/>
    </row>
    <row r="194" ht="15.75" customHeight="1">
      <c r="A194" s="5"/>
      <c r="B194" s="334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334"/>
      <c r="O194" s="334"/>
      <c r="P194" s="336"/>
      <c r="Q194" s="336"/>
      <c r="R194" s="336"/>
      <c r="S194" s="336"/>
      <c r="T194" s="336"/>
      <c r="U194" s="336"/>
    </row>
    <row r="195" ht="15.75" customHeight="1">
      <c r="A195" s="5"/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6"/>
      <c r="Q195" s="336"/>
      <c r="R195" s="336"/>
      <c r="S195" s="336"/>
      <c r="T195" s="336"/>
      <c r="U195" s="336"/>
    </row>
    <row r="196" ht="15.75" customHeight="1">
      <c r="A196" s="5"/>
      <c r="B196" s="334"/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6"/>
      <c r="Q196" s="336"/>
      <c r="R196" s="336"/>
      <c r="S196" s="336"/>
      <c r="T196" s="336"/>
      <c r="U196" s="336"/>
    </row>
    <row r="197" ht="15.75" customHeight="1">
      <c r="A197" s="5"/>
      <c r="B197" s="334"/>
      <c r="C197" s="334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6"/>
      <c r="Q197" s="336"/>
      <c r="R197" s="336"/>
      <c r="S197" s="336"/>
      <c r="T197" s="336"/>
      <c r="U197" s="336"/>
    </row>
    <row r="198" ht="15.75" customHeight="1">
      <c r="A198" s="5"/>
      <c r="B198" s="334"/>
      <c r="C198" s="334"/>
      <c r="D198" s="334"/>
      <c r="E198" s="334"/>
      <c r="F198" s="334"/>
      <c r="G198" s="334"/>
      <c r="H198" s="334"/>
      <c r="I198" s="334"/>
      <c r="J198" s="334"/>
      <c r="K198" s="334"/>
      <c r="L198" s="334"/>
      <c r="M198" s="334"/>
      <c r="N198" s="334"/>
      <c r="O198" s="334"/>
      <c r="P198" s="336"/>
      <c r="Q198" s="336"/>
      <c r="R198" s="336"/>
      <c r="S198" s="336"/>
      <c r="T198" s="336"/>
      <c r="U198" s="336"/>
    </row>
    <row r="199" ht="15.75" customHeight="1">
      <c r="A199" s="5"/>
      <c r="B199" s="334"/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6"/>
      <c r="Q199" s="336"/>
      <c r="R199" s="336"/>
      <c r="S199" s="336"/>
      <c r="T199" s="336"/>
      <c r="U199" s="336"/>
    </row>
    <row r="200" ht="15.75" customHeight="1">
      <c r="A200" s="5"/>
      <c r="B200" s="334"/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6"/>
      <c r="Q200" s="336"/>
      <c r="R200" s="336"/>
      <c r="S200" s="336"/>
      <c r="T200" s="336"/>
      <c r="U200" s="336"/>
    </row>
    <row r="201" ht="15.75" customHeight="1">
      <c r="A201" s="5"/>
      <c r="B201" s="334"/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334"/>
      <c r="O201" s="334"/>
      <c r="P201" s="336"/>
      <c r="Q201" s="336"/>
      <c r="R201" s="336"/>
      <c r="S201" s="336"/>
      <c r="T201" s="336"/>
      <c r="U201" s="336"/>
    </row>
    <row r="202" ht="15.75" customHeight="1">
      <c r="A202" s="5"/>
      <c r="B202" s="334"/>
      <c r="C202" s="334"/>
      <c r="D202" s="334"/>
      <c r="E202" s="334"/>
      <c r="F202" s="334"/>
      <c r="G202" s="334"/>
      <c r="H202" s="334"/>
      <c r="I202" s="334"/>
      <c r="J202" s="334"/>
      <c r="K202" s="334"/>
      <c r="L202" s="334"/>
      <c r="M202" s="334"/>
      <c r="N202" s="334"/>
      <c r="O202" s="334"/>
      <c r="P202" s="336"/>
      <c r="Q202" s="336"/>
      <c r="R202" s="336"/>
      <c r="S202" s="336"/>
      <c r="T202" s="336"/>
      <c r="U202" s="336"/>
    </row>
    <row r="203" ht="15.75" customHeight="1">
      <c r="A203" s="5"/>
      <c r="B203" s="334"/>
      <c r="C203" s="334"/>
      <c r="D203" s="334"/>
      <c r="E203" s="334"/>
      <c r="F203" s="334"/>
      <c r="G203" s="334"/>
      <c r="H203" s="334"/>
      <c r="I203" s="334"/>
      <c r="J203" s="334"/>
      <c r="K203" s="334"/>
      <c r="L203" s="334"/>
      <c r="M203" s="334"/>
      <c r="N203" s="334"/>
      <c r="O203" s="334"/>
      <c r="P203" s="336"/>
      <c r="Q203" s="336"/>
      <c r="R203" s="336"/>
      <c r="S203" s="336"/>
      <c r="T203" s="336"/>
      <c r="U203" s="336"/>
    </row>
    <row r="204" ht="15.75" customHeight="1">
      <c r="A204" s="5"/>
      <c r="B204" s="334"/>
      <c r="C204" s="334"/>
      <c r="D204" s="334"/>
      <c r="E204" s="334"/>
      <c r="F204" s="334"/>
      <c r="G204" s="334"/>
      <c r="H204" s="334"/>
      <c r="I204" s="334"/>
      <c r="J204" s="334"/>
      <c r="K204" s="334"/>
      <c r="L204" s="334"/>
      <c r="M204" s="334"/>
      <c r="N204" s="334"/>
      <c r="O204" s="334"/>
      <c r="P204" s="336"/>
      <c r="Q204" s="336"/>
      <c r="R204" s="336"/>
      <c r="S204" s="336"/>
      <c r="T204" s="336"/>
      <c r="U204" s="336"/>
    </row>
    <row r="205" ht="15.75" customHeight="1">
      <c r="A205" s="5"/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6"/>
      <c r="Q205" s="336"/>
      <c r="R205" s="336"/>
      <c r="S205" s="336"/>
      <c r="T205" s="336"/>
      <c r="U205" s="336"/>
    </row>
    <row r="206" ht="15.75" customHeight="1">
      <c r="A206" s="5"/>
      <c r="B206" s="334"/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334"/>
      <c r="O206" s="334"/>
      <c r="P206" s="336"/>
      <c r="Q206" s="336"/>
      <c r="R206" s="336"/>
      <c r="S206" s="336"/>
      <c r="T206" s="336"/>
      <c r="U206" s="336"/>
    </row>
    <row r="207" ht="15.75" customHeight="1">
      <c r="A207" s="5"/>
      <c r="B207" s="334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6"/>
      <c r="Q207" s="336"/>
      <c r="R207" s="336"/>
      <c r="S207" s="336"/>
      <c r="T207" s="336"/>
      <c r="U207" s="336"/>
    </row>
    <row r="208" ht="15.75" customHeight="1">
      <c r="A208" s="5"/>
      <c r="B208" s="334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6"/>
      <c r="Q208" s="336"/>
      <c r="R208" s="336"/>
      <c r="S208" s="336"/>
      <c r="T208" s="336"/>
      <c r="U208" s="336"/>
    </row>
    <row r="209" ht="15.75" customHeight="1">
      <c r="A209" s="5"/>
      <c r="B209" s="334"/>
      <c r="C209" s="334"/>
      <c r="D209" s="334"/>
      <c r="E209" s="334"/>
      <c r="F209" s="334"/>
      <c r="G209" s="334"/>
      <c r="H209" s="334"/>
      <c r="I209" s="334"/>
      <c r="J209" s="334"/>
      <c r="K209" s="334"/>
      <c r="L209" s="334"/>
      <c r="M209" s="334"/>
      <c r="N209" s="334"/>
      <c r="O209" s="334"/>
      <c r="P209" s="336"/>
      <c r="Q209" s="336"/>
      <c r="R209" s="336"/>
      <c r="S209" s="336"/>
      <c r="T209" s="336"/>
      <c r="U209" s="336"/>
    </row>
    <row r="210" ht="15.75" customHeight="1">
      <c r="A210" s="5"/>
      <c r="B210" s="334"/>
      <c r="C210" s="334"/>
      <c r="D210" s="334"/>
      <c r="E210" s="334"/>
      <c r="F210" s="334"/>
      <c r="G210" s="334"/>
      <c r="H210" s="334"/>
      <c r="I210" s="334"/>
      <c r="J210" s="334"/>
      <c r="K210" s="334"/>
      <c r="L210" s="334"/>
      <c r="M210" s="334"/>
      <c r="N210" s="334"/>
      <c r="O210" s="334"/>
      <c r="P210" s="336"/>
      <c r="Q210" s="336"/>
      <c r="R210" s="336"/>
      <c r="S210" s="336"/>
      <c r="T210" s="336"/>
      <c r="U210" s="336"/>
    </row>
    <row r="211" ht="15.75" customHeight="1">
      <c r="A211" s="5"/>
      <c r="B211" s="334"/>
      <c r="C211" s="334"/>
      <c r="D211" s="334"/>
      <c r="E211" s="334"/>
      <c r="F211" s="334"/>
      <c r="G211" s="334"/>
      <c r="H211" s="334"/>
      <c r="I211" s="334"/>
      <c r="J211" s="334"/>
      <c r="K211" s="334"/>
      <c r="L211" s="334"/>
      <c r="M211" s="334"/>
      <c r="N211" s="334"/>
      <c r="O211" s="334"/>
      <c r="P211" s="336"/>
      <c r="Q211" s="336"/>
      <c r="R211" s="336"/>
      <c r="S211" s="336"/>
      <c r="T211" s="336"/>
      <c r="U211" s="336"/>
    </row>
    <row r="212" ht="15.75" customHeight="1">
      <c r="A212" s="5"/>
      <c r="B212" s="334"/>
      <c r="C212" s="334"/>
      <c r="D212" s="334"/>
      <c r="E212" s="334"/>
      <c r="F212" s="334"/>
      <c r="G212" s="334"/>
      <c r="H212" s="334"/>
      <c r="I212" s="334"/>
      <c r="J212" s="334"/>
      <c r="K212" s="334"/>
      <c r="L212" s="334"/>
      <c r="M212" s="334"/>
      <c r="N212" s="334"/>
      <c r="O212" s="334"/>
      <c r="P212" s="336"/>
      <c r="Q212" s="336"/>
      <c r="R212" s="336"/>
      <c r="S212" s="336"/>
      <c r="T212" s="336"/>
      <c r="U212" s="336"/>
    </row>
    <row r="213" ht="15.75" customHeight="1">
      <c r="A213" s="5"/>
      <c r="B213" s="334"/>
      <c r="C213" s="334"/>
      <c r="D213" s="334"/>
      <c r="E213" s="334"/>
      <c r="F213" s="334"/>
      <c r="G213" s="334"/>
      <c r="H213" s="334"/>
      <c r="I213" s="334"/>
      <c r="J213" s="334"/>
      <c r="K213" s="334"/>
      <c r="L213" s="334"/>
      <c r="M213" s="334"/>
      <c r="N213" s="334"/>
      <c r="O213" s="334"/>
      <c r="P213" s="336"/>
      <c r="Q213" s="336"/>
      <c r="R213" s="336"/>
      <c r="S213" s="336"/>
      <c r="T213" s="336"/>
      <c r="U213" s="336"/>
    </row>
    <row r="214" ht="15.75" customHeight="1">
      <c r="A214" s="5"/>
      <c r="B214" s="334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334"/>
      <c r="O214" s="334"/>
      <c r="P214" s="336"/>
      <c r="Q214" s="336"/>
      <c r="R214" s="336"/>
      <c r="S214" s="336"/>
      <c r="T214" s="336"/>
      <c r="U214" s="336"/>
    </row>
    <row r="215" ht="15.75" customHeight="1">
      <c r="A215" s="5"/>
      <c r="B215" s="334"/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334"/>
      <c r="O215" s="334"/>
      <c r="P215" s="336"/>
      <c r="Q215" s="336"/>
      <c r="R215" s="336"/>
      <c r="S215" s="336"/>
      <c r="T215" s="336"/>
      <c r="U215" s="336"/>
    </row>
    <row r="216" ht="15.75" customHeight="1">
      <c r="A216" s="5"/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334"/>
      <c r="O216" s="334"/>
      <c r="P216" s="336"/>
      <c r="Q216" s="336"/>
      <c r="R216" s="336"/>
      <c r="S216" s="336"/>
      <c r="T216" s="336"/>
      <c r="U216" s="336"/>
    </row>
    <row r="217" ht="15.75" customHeight="1">
      <c r="A217" s="5"/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6"/>
      <c r="Q217" s="336"/>
      <c r="R217" s="336"/>
      <c r="S217" s="336"/>
      <c r="T217" s="336"/>
      <c r="U217" s="336"/>
    </row>
    <row r="218" ht="15.75" customHeight="1">
      <c r="A218" s="5"/>
      <c r="B218" s="334"/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  <c r="M218" s="334"/>
      <c r="N218" s="334"/>
      <c r="O218" s="334"/>
      <c r="P218" s="336"/>
      <c r="Q218" s="336"/>
      <c r="R218" s="336"/>
      <c r="S218" s="336"/>
      <c r="T218" s="336"/>
      <c r="U218" s="336"/>
    </row>
    <row r="219" ht="15.75" customHeight="1">
      <c r="A219" s="5"/>
      <c r="B219" s="334"/>
      <c r="C219" s="334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334"/>
      <c r="O219" s="334"/>
      <c r="P219" s="336"/>
      <c r="Q219" s="336"/>
      <c r="R219" s="336"/>
      <c r="S219" s="336"/>
      <c r="T219" s="336"/>
      <c r="U219" s="336"/>
    </row>
    <row r="220" ht="15.75" customHeight="1">
      <c r="A220" s="5"/>
      <c r="B220" s="334"/>
      <c r="C220" s="334"/>
      <c r="D220" s="334"/>
      <c r="E220" s="334"/>
      <c r="F220" s="334"/>
      <c r="G220" s="334"/>
      <c r="H220" s="334"/>
      <c r="I220" s="334"/>
      <c r="J220" s="334"/>
      <c r="K220" s="334"/>
      <c r="L220" s="334"/>
      <c r="M220" s="334"/>
      <c r="N220" s="334"/>
      <c r="O220" s="334"/>
      <c r="P220" s="336"/>
      <c r="Q220" s="336"/>
      <c r="R220" s="336"/>
      <c r="S220" s="336"/>
      <c r="T220" s="336"/>
      <c r="U220" s="336"/>
    </row>
    <row r="221" ht="15.75" customHeight="1">
      <c r="A221" s="5"/>
      <c r="B221" s="334"/>
      <c r="C221" s="334"/>
      <c r="D221" s="334"/>
      <c r="E221" s="334"/>
      <c r="F221" s="334"/>
      <c r="G221" s="334"/>
      <c r="H221" s="334"/>
      <c r="I221" s="334"/>
      <c r="J221" s="334"/>
      <c r="K221" s="334"/>
      <c r="L221" s="334"/>
      <c r="M221" s="334"/>
      <c r="N221" s="334"/>
      <c r="O221" s="334"/>
      <c r="P221" s="336"/>
      <c r="Q221" s="336"/>
      <c r="R221" s="336"/>
      <c r="S221" s="336"/>
      <c r="T221" s="336"/>
      <c r="U221" s="336"/>
    </row>
    <row r="222" ht="15.75" customHeight="1">
      <c r="A222" s="5"/>
      <c r="B222" s="334"/>
      <c r="C222" s="334"/>
      <c r="D222" s="334"/>
      <c r="E222" s="334"/>
      <c r="F222" s="334"/>
      <c r="G222" s="334"/>
      <c r="H222" s="334"/>
      <c r="I222" s="334"/>
      <c r="J222" s="334"/>
      <c r="K222" s="334"/>
      <c r="L222" s="334"/>
      <c r="M222" s="334"/>
      <c r="N222" s="334"/>
      <c r="O222" s="334"/>
      <c r="P222" s="336"/>
      <c r="Q222" s="336"/>
      <c r="R222" s="336"/>
      <c r="S222" s="336"/>
      <c r="T222" s="336"/>
      <c r="U222" s="336"/>
    </row>
    <row r="223" ht="15.75" customHeight="1">
      <c r="A223" s="5"/>
      <c r="B223" s="334"/>
      <c r="C223" s="334"/>
      <c r="D223" s="334"/>
      <c r="E223" s="334"/>
      <c r="F223" s="334"/>
      <c r="G223" s="334"/>
      <c r="H223" s="334"/>
      <c r="I223" s="334"/>
      <c r="J223" s="334"/>
      <c r="K223" s="334"/>
      <c r="L223" s="334"/>
      <c r="M223" s="334"/>
      <c r="N223" s="334"/>
      <c r="O223" s="334"/>
      <c r="P223" s="336"/>
      <c r="Q223" s="336"/>
      <c r="R223" s="336"/>
      <c r="S223" s="336"/>
      <c r="T223" s="336"/>
      <c r="U223" s="336"/>
    </row>
    <row r="224" ht="15.75" customHeight="1">
      <c r="A224" s="5"/>
      <c r="B224" s="334"/>
      <c r="C224" s="334"/>
      <c r="D224" s="334"/>
      <c r="E224" s="334"/>
      <c r="F224" s="334"/>
      <c r="G224" s="334"/>
      <c r="H224" s="334"/>
      <c r="I224" s="334"/>
      <c r="J224" s="334"/>
      <c r="K224" s="334"/>
      <c r="L224" s="334"/>
      <c r="M224" s="334"/>
      <c r="N224" s="334"/>
      <c r="O224" s="334"/>
      <c r="P224" s="336"/>
      <c r="Q224" s="336"/>
      <c r="R224" s="336"/>
      <c r="S224" s="336"/>
      <c r="T224" s="336"/>
      <c r="U224" s="336"/>
    </row>
    <row r="225" ht="15.75" customHeight="1">
      <c r="A225" s="5"/>
      <c r="B225" s="334"/>
      <c r="C225" s="334"/>
      <c r="D225" s="334"/>
      <c r="E225" s="334"/>
      <c r="F225" s="334"/>
      <c r="G225" s="334"/>
      <c r="H225" s="334"/>
      <c r="I225" s="334"/>
      <c r="J225" s="334"/>
      <c r="K225" s="334"/>
      <c r="L225" s="334"/>
      <c r="M225" s="334"/>
      <c r="N225" s="334"/>
      <c r="O225" s="334"/>
      <c r="P225" s="336"/>
      <c r="Q225" s="336"/>
      <c r="R225" s="336"/>
      <c r="S225" s="336"/>
      <c r="T225" s="336"/>
      <c r="U225" s="336"/>
    </row>
    <row r="226" ht="15.75" customHeight="1">
      <c r="A226" s="5"/>
      <c r="B226" s="334"/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334"/>
      <c r="N226" s="334"/>
      <c r="O226" s="334"/>
      <c r="P226" s="336"/>
      <c r="Q226" s="336"/>
      <c r="R226" s="336"/>
      <c r="S226" s="336"/>
      <c r="T226" s="336"/>
      <c r="U226" s="336"/>
    </row>
    <row r="227" ht="15.75" customHeight="1">
      <c r="A227" s="5"/>
      <c r="B227" s="334"/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334"/>
      <c r="O227" s="334"/>
      <c r="P227" s="336"/>
      <c r="Q227" s="336"/>
      <c r="R227" s="336"/>
      <c r="S227" s="336"/>
      <c r="T227" s="336"/>
      <c r="U227" s="336"/>
    </row>
    <row r="228" ht="15.75" customHeight="1">
      <c r="A228" s="5"/>
      <c r="B228" s="334"/>
      <c r="C228" s="334"/>
      <c r="D228" s="334"/>
      <c r="E228" s="334"/>
      <c r="F228" s="334"/>
      <c r="G228" s="334"/>
      <c r="H228" s="334"/>
      <c r="I228" s="334"/>
      <c r="J228" s="334"/>
      <c r="K228" s="334"/>
      <c r="L228" s="334"/>
      <c r="M228" s="334"/>
      <c r="N228" s="334"/>
      <c r="O228" s="334"/>
      <c r="P228" s="336"/>
      <c r="Q228" s="336"/>
      <c r="R228" s="336"/>
      <c r="S228" s="336"/>
      <c r="T228" s="336"/>
      <c r="U228" s="336"/>
    </row>
    <row r="229" ht="15.75" customHeight="1">
      <c r="A229" s="5"/>
      <c r="B229" s="334"/>
      <c r="C229" s="334"/>
      <c r="D229" s="334"/>
      <c r="E229" s="334"/>
      <c r="F229" s="334"/>
      <c r="G229" s="334"/>
      <c r="H229" s="334"/>
      <c r="I229" s="334"/>
      <c r="J229" s="334"/>
      <c r="K229" s="334"/>
      <c r="L229" s="334"/>
      <c r="M229" s="334"/>
      <c r="N229" s="334"/>
      <c r="O229" s="334"/>
      <c r="P229" s="336"/>
      <c r="Q229" s="336"/>
      <c r="R229" s="336"/>
      <c r="S229" s="336"/>
      <c r="T229" s="336"/>
      <c r="U229" s="336"/>
    </row>
    <row r="230" ht="15.75" customHeight="1">
      <c r="A230" s="5"/>
      <c r="B230" s="334"/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334"/>
      <c r="O230" s="334"/>
      <c r="P230" s="336"/>
      <c r="Q230" s="336"/>
      <c r="R230" s="336"/>
      <c r="S230" s="336"/>
      <c r="T230" s="336"/>
      <c r="U230" s="336"/>
    </row>
    <row r="231" ht="15.75" customHeight="1">
      <c r="A231" s="5"/>
      <c r="B231" s="334"/>
      <c r="C231" s="334"/>
      <c r="D231" s="334"/>
      <c r="E231" s="334"/>
      <c r="F231" s="334"/>
      <c r="G231" s="334"/>
      <c r="H231" s="334"/>
      <c r="I231" s="334"/>
      <c r="J231" s="334"/>
      <c r="K231" s="334"/>
      <c r="L231" s="334"/>
      <c r="M231" s="334"/>
      <c r="N231" s="334"/>
      <c r="O231" s="334"/>
      <c r="P231" s="336"/>
      <c r="Q231" s="336"/>
      <c r="R231" s="336"/>
      <c r="S231" s="336"/>
      <c r="T231" s="336"/>
      <c r="U231" s="336"/>
    </row>
    <row r="232" ht="15.75" customHeight="1">
      <c r="B232" s="334"/>
      <c r="C232" s="334"/>
      <c r="D232" s="334"/>
      <c r="E232" s="334"/>
      <c r="F232" s="334"/>
      <c r="G232" s="334"/>
      <c r="H232" s="334"/>
      <c r="I232" s="334"/>
      <c r="J232" s="334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</row>
    <row r="233" ht="15.75" customHeight="1">
      <c r="B233" s="334"/>
      <c r="C233" s="334"/>
      <c r="D233" s="334"/>
      <c r="E233" s="334"/>
      <c r="F233" s="334"/>
      <c r="G233" s="334"/>
      <c r="H233" s="334"/>
      <c r="I233" s="334"/>
      <c r="J233" s="334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</row>
    <row r="234" ht="15.75" customHeight="1">
      <c r="B234" s="334"/>
      <c r="C234" s="334"/>
      <c r="D234" s="334"/>
      <c r="E234" s="334"/>
      <c r="F234" s="334"/>
      <c r="G234" s="334"/>
      <c r="H234" s="334"/>
      <c r="I234" s="334"/>
      <c r="J234" s="334"/>
      <c r="K234" s="336"/>
      <c r="L234" s="336"/>
      <c r="M234" s="336"/>
      <c r="N234" s="336"/>
      <c r="O234" s="336"/>
      <c r="P234" s="336"/>
      <c r="Q234" s="336"/>
      <c r="R234" s="336"/>
      <c r="S234" s="336"/>
      <c r="T234" s="336"/>
      <c r="U234" s="336"/>
    </row>
    <row r="235" ht="15.75" customHeight="1">
      <c r="B235" s="334"/>
      <c r="C235" s="334"/>
      <c r="D235" s="334"/>
      <c r="E235" s="334"/>
      <c r="F235" s="334"/>
      <c r="G235" s="334"/>
      <c r="H235" s="334"/>
      <c r="I235" s="334"/>
      <c r="J235" s="334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</row>
    <row r="236" ht="15.75" customHeight="1">
      <c r="B236" s="334"/>
      <c r="C236" s="334"/>
      <c r="D236" s="334"/>
      <c r="E236" s="334"/>
      <c r="F236" s="334"/>
      <c r="G236" s="334"/>
      <c r="H236" s="334"/>
      <c r="I236" s="334"/>
      <c r="J236" s="334"/>
      <c r="K236" s="336"/>
      <c r="L236" s="336"/>
      <c r="M236" s="336"/>
      <c r="N236" s="336"/>
      <c r="O236" s="336"/>
      <c r="P236" s="336"/>
      <c r="Q236" s="336"/>
      <c r="R236" s="336"/>
      <c r="S236" s="336"/>
      <c r="T236" s="336"/>
      <c r="U236" s="336"/>
    </row>
    <row r="237" ht="15.75" customHeight="1">
      <c r="B237" s="334"/>
      <c r="C237" s="334"/>
      <c r="D237" s="334"/>
      <c r="E237" s="334"/>
      <c r="F237" s="334"/>
      <c r="G237" s="334"/>
      <c r="H237" s="334"/>
      <c r="I237" s="334"/>
      <c r="J237" s="334"/>
      <c r="K237" s="336"/>
      <c r="L237" s="336"/>
      <c r="M237" s="336"/>
      <c r="N237" s="336"/>
      <c r="O237" s="336"/>
      <c r="P237" s="336"/>
      <c r="Q237" s="336"/>
      <c r="R237" s="336"/>
      <c r="S237" s="336"/>
      <c r="T237" s="336"/>
      <c r="U237" s="336"/>
    </row>
    <row r="238" ht="15.75" customHeight="1">
      <c r="B238" s="334"/>
      <c r="C238" s="334"/>
      <c r="D238" s="334"/>
      <c r="E238" s="334"/>
      <c r="F238" s="334"/>
      <c r="G238" s="334"/>
      <c r="H238" s="334"/>
      <c r="I238" s="334"/>
      <c r="J238" s="334"/>
      <c r="K238" s="336"/>
      <c r="L238" s="336"/>
      <c r="M238" s="336"/>
      <c r="N238" s="336"/>
      <c r="O238" s="336"/>
      <c r="P238" s="336"/>
      <c r="Q238" s="336"/>
      <c r="R238" s="336"/>
      <c r="S238" s="336"/>
      <c r="T238" s="336"/>
      <c r="U238" s="336"/>
    </row>
    <row r="239" ht="15.75" customHeight="1">
      <c r="B239" s="334"/>
      <c r="C239" s="334"/>
      <c r="D239" s="334"/>
      <c r="E239" s="334"/>
      <c r="F239" s="334"/>
      <c r="G239" s="334"/>
      <c r="H239" s="334"/>
      <c r="I239" s="334"/>
      <c r="J239" s="334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6"/>
    </row>
    <row r="240" ht="15.75" customHeight="1">
      <c r="B240" s="334"/>
      <c r="C240" s="334"/>
      <c r="D240" s="334"/>
      <c r="E240" s="334"/>
      <c r="F240" s="334"/>
      <c r="G240" s="334"/>
      <c r="H240" s="334"/>
      <c r="I240" s="334"/>
      <c r="J240" s="334"/>
      <c r="K240" s="336"/>
      <c r="L240" s="336"/>
      <c r="M240" s="336"/>
      <c r="N240" s="336"/>
      <c r="O240" s="336"/>
      <c r="P240" s="336"/>
      <c r="Q240" s="336"/>
      <c r="R240" s="336"/>
      <c r="S240" s="336"/>
      <c r="T240" s="336"/>
      <c r="U240" s="336"/>
    </row>
    <row r="241" ht="15.75" customHeight="1">
      <c r="B241" s="334"/>
      <c r="C241" s="334"/>
      <c r="D241" s="334"/>
      <c r="E241" s="334"/>
      <c r="F241" s="334"/>
      <c r="G241" s="334"/>
      <c r="H241" s="334"/>
      <c r="I241" s="334"/>
      <c r="J241" s="334"/>
      <c r="K241" s="336"/>
      <c r="L241" s="336"/>
      <c r="M241" s="336"/>
      <c r="N241" s="336"/>
      <c r="O241" s="336"/>
      <c r="P241" s="336"/>
      <c r="Q241" s="336"/>
      <c r="R241" s="336"/>
      <c r="S241" s="336"/>
      <c r="T241" s="336"/>
      <c r="U241" s="336"/>
    </row>
    <row r="242" ht="15.75" customHeight="1">
      <c r="B242" s="334"/>
      <c r="C242" s="334"/>
      <c r="D242" s="334"/>
      <c r="E242" s="334"/>
      <c r="F242" s="334"/>
      <c r="G242" s="334"/>
      <c r="H242" s="334"/>
      <c r="I242" s="334"/>
      <c r="J242" s="334"/>
      <c r="K242" s="336"/>
      <c r="L242" s="336"/>
      <c r="M242" s="336"/>
      <c r="N242" s="336"/>
      <c r="O242" s="336"/>
      <c r="P242" s="336"/>
      <c r="Q242" s="336"/>
      <c r="R242" s="336"/>
      <c r="S242" s="336"/>
      <c r="T242" s="336"/>
      <c r="U242" s="336"/>
    </row>
    <row r="243" ht="15.75" customHeight="1">
      <c r="B243" s="334"/>
      <c r="C243" s="334"/>
      <c r="D243" s="334"/>
      <c r="E243" s="334"/>
      <c r="F243" s="334"/>
      <c r="G243" s="334"/>
      <c r="H243" s="334"/>
      <c r="I243" s="334"/>
      <c r="J243" s="334"/>
      <c r="K243" s="336"/>
      <c r="L243" s="336"/>
      <c r="M243" s="336"/>
      <c r="N243" s="336"/>
      <c r="O243" s="336"/>
      <c r="P243" s="336"/>
      <c r="Q243" s="336"/>
      <c r="R243" s="336"/>
      <c r="S243" s="336"/>
      <c r="T243" s="336"/>
      <c r="U243" s="336"/>
    </row>
    <row r="244" ht="15.75" customHeight="1">
      <c r="B244" s="334"/>
      <c r="C244" s="334"/>
      <c r="D244" s="334"/>
      <c r="E244" s="334"/>
      <c r="F244" s="334"/>
      <c r="G244" s="334"/>
      <c r="H244" s="334"/>
      <c r="I244" s="334"/>
      <c r="J244" s="334"/>
      <c r="K244" s="336"/>
      <c r="L244" s="336"/>
      <c r="M244" s="336"/>
      <c r="N244" s="336"/>
      <c r="O244" s="336"/>
      <c r="P244" s="336"/>
      <c r="Q244" s="336"/>
      <c r="R244" s="336"/>
      <c r="S244" s="336"/>
      <c r="T244" s="336"/>
      <c r="U244" s="336"/>
    </row>
    <row r="245" ht="15.75" customHeight="1">
      <c r="B245" s="334"/>
      <c r="C245" s="334"/>
      <c r="D245" s="334"/>
      <c r="E245" s="334"/>
      <c r="F245" s="334"/>
      <c r="G245" s="334"/>
      <c r="H245" s="334"/>
      <c r="I245" s="334"/>
      <c r="J245" s="334"/>
      <c r="K245" s="336"/>
      <c r="L245" s="336"/>
      <c r="M245" s="336"/>
      <c r="N245" s="336"/>
      <c r="O245" s="336"/>
      <c r="P245" s="336"/>
      <c r="Q245" s="336"/>
      <c r="R245" s="336"/>
      <c r="S245" s="336"/>
      <c r="T245" s="336"/>
      <c r="U245" s="336"/>
    </row>
    <row r="246" ht="15.75" customHeight="1">
      <c r="B246" s="334"/>
      <c r="C246" s="334"/>
      <c r="D246" s="334"/>
      <c r="E246" s="334"/>
      <c r="F246" s="334"/>
      <c r="G246" s="334"/>
      <c r="H246" s="334"/>
      <c r="I246" s="334"/>
      <c r="J246" s="334"/>
      <c r="K246" s="336"/>
      <c r="L246" s="336"/>
      <c r="M246" s="336"/>
      <c r="N246" s="336"/>
      <c r="O246" s="336"/>
      <c r="P246" s="336"/>
      <c r="Q246" s="336"/>
      <c r="R246" s="336"/>
      <c r="S246" s="336"/>
      <c r="T246" s="336"/>
      <c r="U246" s="336"/>
    </row>
    <row r="247" ht="15.75" customHeight="1">
      <c r="B247" s="334"/>
      <c r="C247" s="334"/>
      <c r="D247" s="334"/>
      <c r="E247" s="334"/>
      <c r="F247" s="334"/>
      <c r="G247" s="334"/>
      <c r="H247" s="334"/>
      <c r="I247" s="334"/>
      <c r="J247" s="334"/>
      <c r="K247" s="336"/>
      <c r="L247" s="336"/>
      <c r="M247" s="336"/>
      <c r="N247" s="336"/>
      <c r="O247" s="336"/>
      <c r="P247" s="336"/>
      <c r="Q247" s="336"/>
      <c r="R247" s="336"/>
      <c r="S247" s="336"/>
      <c r="T247" s="336"/>
      <c r="U247" s="336"/>
    </row>
    <row r="248" ht="15.75" customHeight="1">
      <c r="B248" s="334"/>
      <c r="C248" s="334"/>
      <c r="D248" s="334"/>
      <c r="E248" s="334"/>
      <c r="F248" s="334"/>
      <c r="G248" s="334"/>
      <c r="H248" s="334"/>
      <c r="I248" s="334"/>
      <c r="J248" s="334"/>
      <c r="K248" s="336"/>
      <c r="L248" s="336"/>
      <c r="M248" s="336"/>
      <c r="N248" s="336"/>
      <c r="O248" s="336"/>
      <c r="P248" s="336"/>
      <c r="Q248" s="336"/>
      <c r="R248" s="336"/>
      <c r="S248" s="336"/>
      <c r="T248" s="336"/>
      <c r="U248" s="336"/>
    </row>
    <row r="249" ht="15.75" customHeight="1">
      <c r="B249" s="334"/>
      <c r="C249" s="334"/>
      <c r="D249" s="334"/>
      <c r="E249" s="334"/>
      <c r="F249" s="334"/>
      <c r="G249" s="334"/>
      <c r="H249" s="334"/>
      <c r="I249" s="334"/>
      <c r="J249" s="334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</row>
    <row r="250" ht="15.75" customHeight="1">
      <c r="B250" s="334"/>
      <c r="C250" s="334"/>
      <c r="D250" s="334"/>
      <c r="E250" s="334"/>
      <c r="F250" s="334"/>
      <c r="G250" s="334"/>
      <c r="H250" s="334"/>
      <c r="I250" s="334"/>
      <c r="J250" s="334"/>
      <c r="K250" s="336"/>
      <c r="L250" s="336"/>
      <c r="M250" s="336"/>
      <c r="N250" s="336"/>
      <c r="O250" s="336"/>
      <c r="P250" s="336"/>
      <c r="Q250" s="336"/>
      <c r="R250" s="336"/>
      <c r="S250" s="336"/>
      <c r="T250" s="336"/>
      <c r="U250" s="336"/>
    </row>
    <row r="251" ht="15.75" customHeight="1">
      <c r="B251" s="334"/>
      <c r="C251" s="334"/>
      <c r="D251" s="334"/>
      <c r="E251" s="334"/>
      <c r="F251" s="334"/>
      <c r="G251" s="334"/>
      <c r="H251" s="334"/>
      <c r="I251" s="334"/>
      <c r="J251" s="334"/>
      <c r="K251" s="336"/>
      <c r="L251" s="336"/>
      <c r="M251" s="336"/>
      <c r="N251" s="336"/>
      <c r="O251" s="336"/>
      <c r="P251" s="336"/>
      <c r="Q251" s="336"/>
      <c r="R251" s="336"/>
      <c r="S251" s="336"/>
      <c r="T251" s="336"/>
      <c r="U251" s="336"/>
    </row>
    <row r="252" ht="15.75" customHeight="1">
      <c r="B252" s="334"/>
      <c r="C252" s="334"/>
      <c r="D252" s="334"/>
      <c r="E252" s="334"/>
      <c r="F252" s="334"/>
      <c r="G252" s="334"/>
      <c r="H252" s="334"/>
      <c r="I252" s="334"/>
      <c r="J252" s="334"/>
      <c r="K252" s="336"/>
      <c r="L252" s="336"/>
      <c r="M252" s="336"/>
      <c r="N252" s="336"/>
      <c r="O252" s="336"/>
      <c r="P252" s="336"/>
      <c r="Q252" s="336"/>
      <c r="R252" s="336"/>
      <c r="S252" s="336"/>
      <c r="T252" s="336"/>
      <c r="U252" s="336"/>
    </row>
    <row r="253" ht="15.75" customHeight="1">
      <c r="B253" s="334"/>
      <c r="C253" s="334"/>
      <c r="D253" s="334"/>
      <c r="E253" s="334"/>
      <c r="F253" s="334"/>
      <c r="G253" s="334"/>
      <c r="H253" s="334"/>
      <c r="I253" s="334"/>
      <c r="J253" s="334"/>
      <c r="K253" s="336"/>
      <c r="L253" s="336"/>
      <c r="M253" s="336"/>
      <c r="N253" s="336"/>
      <c r="O253" s="336"/>
      <c r="P253" s="336"/>
      <c r="Q253" s="336"/>
      <c r="R253" s="336"/>
      <c r="S253" s="336"/>
      <c r="T253" s="336"/>
      <c r="U253" s="336"/>
    </row>
    <row r="254" ht="15.75" customHeight="1">
      <c r="B254" s="334"/>
      <c r="C254" s="334"/>
      <c r="D254" s="334"/>
      <c r="E254" s="334"/>
      <c r="F254" s="334"/>
      <c r="G254" s="334"/>
      <c r="H254" s="334"/>
      <c r="I254" s="334"/>
      <c r="J254" s="334"/>
      <c r="K254" s="336"/>
      <c r="L254" s="336"/>
      <c r="M254" s="336"/>
      <c r="N254" s="336"/>
      <c r="O254" s="336"/>
      <c r="P254" s="336"/>
      <c r="Q254" s="336"/>
      <c r="R254" s="336"/>
      <c r="S254" s="336"/>
      <c r="T254" s="336"/>
      <c r="U254" s="336"/>
    </row>
    <row r="255" ht="15.75" customHeight="1">
      <c r="B255" s="334"/>
      <c r="C255" s="334"/>
      <c r="D255" s="334"/>
      <c r="E255" s="334"/>
      <c r="F255" s="334"/>
      <c r="G255" s="334"/>
      <c r="H255" s="334"/>
      <c r="I255" s="334"/>
      <c r="J255" s="334"/>
      <c r="K255" s="336"/>
      <c r="L255" s="336"/>
      <c r="M255" s="336"/>
      <c r="N255" s="336"/>
      <c r="O255" s="336"/>
      <c r="P255" s="336"/>
      <c r="Q255" s="336"/>
      <c r="R255" s="336"/>
      <c r="S255" s="336"/>
      <c r="T255" s="336"/>
      <c r="U255" s="33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R22:R23"/>
    <mergeCell ref="S22:S23"/>
    <mergeCell ref="L26:S26"/>
    <mergeCell ref="L27:L28"/>
    <mergeCell ref="M27:M28"/>
    <mergeCell ref="N27:N28"/>
    <mergeCell ref="O27:O28"/>
    <mergeCell ref="S27:S28"/>
    <mergeCell ref="L31:S31"/>
    <mergeCell ref="L32:L33"/>
    <mergeCell ref="M32:M33"/>
    <mergeCell ref="N32:N33"/>
    <mergeCell ref="O32:O33"/>
    <mergeCell ref="P32:Q32"/>
    <mergeCell ref="L36:N36"/>
    <mergeCell ref="L37:N37"/>
    <mergeCell ref="L38:N38"/>
    <mergeCell ref="L39:N39"/>
    <mergeCell ref="L40:N40"/>
    <mergeCell ref="L41:N41"/>
    <mergeCell ref="L43:N43"/>
    <mergeCell ref="L52:N52"/>
    <mergeCell ref="L53:N53"/>
    <mergeCell ref="L54:N54"/>
    <mergeCell ref="L55:N55"/>
    <mergeCell ref="L44:N44"/>
    <mergeCell ref="L45:N45"/>
    <mergeCell ref="L46:N46"/>
    <mergeCell ref="L47:N47"/>
    <mergeCell ref="L48:N48"/>
    <mergeCell ref="L50:N50"/>
    <mergeCell ref="L51:N51"/>
    <mergeCell ref="B3:J3"/>
    <mergeCell ref="L3:T3"/>
    <mergeCell ref="B5:J5"/>
    <mergeCell ref="L5:L6"/>
    <mergeCell ref="M5:M6"/>
    <mergeCell ref="N5:N6"/>
    <mergeCell ref="L9:X9"/>
    <mergeCell ref="B9:I9"/>
    <mergeCell ref="B10:B11"/>
    <mergeCell ref="C10:C11"/>
    <mergeCell ref="D10:D11"/>
    <mergeCell ref="F10:G10"/>
    <mergeCell ref="H10:I10"/>
    <mergeCell ref="L13:X13"/>
    <mergeCell ref="L17:X17"/>
    <mergeCell ref="L21:S21"/>
    <mergeCell ref="L22:L23"/>
    <mergeCell ref="M22:M23"/>
    <mergeCell ref="N22:N23"/>
    <mergeCell ref="O22:O23"/>
    <mergeCell ref="P22:Q22"/>
    <mergeCell ref="D21:D22"/>
    <mergeCell ref="B27:D27"/>
    <mergeCell ref="B28:D28"/>
    <mergeCell ref="B29:D29"/>
    <mergeCell ref="B30:D30"/>
    <mergeCell ref="B31:D31"/>
    <mergeCell ref="B32:D32"/>
    <mergeCell ref="E10:E11"/>
    <mergeCell ref="B15:E15"/>
    <mergeCell ref="C18:D18"/>
    <mergeCell ref="B20:F20"/>
    <mergeCell ref="B21:C21"/>
    <mergeCell ref="E21:E22"/>
    <mergeCell ref="F21:F22"/>
    <mergeCell ref="P27:Q27"/>
    <mergeCell ref="R27:R28"/>
    <mergeCell ref="R32:R33"/>
    <mergeCell ref="S32:S3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3.13"/>
    <col customWidth="1" min="4" max="4" width="12.13"/>
    <col customWidth="1" min="5" max="5" width="11.5"/>
    <col customWidth="1" min="6" max="6" width="18.25"/>
    <col customWidth="1" min="7" max="7" width="5.75"/>
    <col customWidth="1" min="8" max="8" width="10.5"/>
    <col customWidth="1" min="9" max="9" width="13.88"/>
    <col customWidth="1" min="10" max="10" width="5.75"/>
    <col customWidth="1" min="11" max="11" width="16.38"/>
    <col customWidth="1" min="12" max="12" width="19.63"/>
    <col customWidth="1" min="13" max="13" width="5.75"/>
    <col customWidth="1" min="14" max="14" width="11.38"/>
  </cols>
  <sheetData>
    <row r="2">
      <c r="B2" s="341" t="s">
        <v>246</v>
      </c>
    </row>
    <row r="3">
      <c r="B3" s="342" t="s">
        <v>247</v>
      </c>
    </row>
    <row r="4">
      <c r="B4" s="343" t="s">
        <v>248</v>
      </c>
      <c r="C4" s="344" t="s">
        <v>249</v>
      </c>
      <c r="D4" s="344" t="s">
        <v>250</v>
      </c>
      <c r="E4" s="344" t="s">
        <v>204</v>
      </c>
      <c r="F4" s="344" t="s">
        <v>251</v>
      </c>
      <c r="G4" s="345"/>
      <c r="H4" s="344" t="s">
        <v>252</v>
      </c>
      <c r="I4" s="344" t="s">
        <v>253</v>
      </c>
      <c r="J4" s="346"/>
      <c r="K4" s="344" t="s">
        <v>254</v>
      </c>
      <c r="L4" s="344" t="s">
        <v>255</v>
      </c>
      <c r="M4" s="345"/>
      <c r="N4" s="344" t="s">
        <v>256</v>
      </c>
    </row>
    <row r="5">
      <c r="B5" s="257" t="s">
        <v>257</v>
      </c>
      <c r="C5" s="347">
        <f>'Sys Volume &amp; Area'!C23</f>
        <v>32788.91295</v>
      </c>
      <c r="D5" s="347">
        <f>'Sys Volume &amp; Area'!G7*'Sys Volume &amp; Area'!E17</f>
        <v>273240.9412</v>
      </c>
      <c r="E5" s="348">
        <f>'Sys Volume &amp; Area'!E12</f>
        <v>0.207</v>
      </c>
      <c r="F5" s="347">
        <f>C5*E5</f>
        <v>6787.30498</v>
      </c>
      <c r="G5" s="346"/>
      <c r="H5" s="349">
        <v>0.7</v>
      </c>
      <c r="I5" s="350">
        <f>F5*(1-H5)</f>
        <v>2036.191494</v>
      </c>
      <c r="J5" s="346"/>
      <c r="K5" s="346">
        <v>10.0</v>
      </c>
      <c r="L5" s="347">
        <f>(K5/1000)*D5</f>
        <v>2732.409412</v>
      </c>
      <c r="M5" s="258"/>
      <c r="N5" s="350">
        <f>L5+I5</f>
        <v>4768.600907</v>
      </c>
    </row>
    <row r="8">
      <c r="B8" s="351" t="s">
        <v>258</v>
      </c>
    </row>
    <row r="9">
      <c r="B9" s="342" t="s">
        <v>259</v>
      </c>
      <c r="C9" s="258"/>
      <c r="D9" s="352"/>
      <c r="E9" s="353"/>
      <c r="F9" s="258"/>
      <c r="G9" s="258"/>
      <c r="H9" s="258"/>
      <c r="I9" s="258"/>
      <c r="J9" s="258"/>
      <c r="K9" s="258"/>
      <c r="L9" s="258"/>
    </row>
    <row r="10">
      <c r="B10" s="354" t="s">
        <v>260</v>
      </c>
      <c r="C10" s="354" t="s">
        <v>261</v>
      </c>
      <c r="D10" s="354" t="s">
        <v>262</v>
      </c>
      <c r="E10" s="354" t="s">
        <v>263</v>
      </c>
      <c r="F10" s="354" t="s">
        <v>264</v>
      </c>
      <c r="G10" s="258"/>
      <c r="H10" s="354" t="s">
        <v>265</v>
      </c>
      <c r="I10" s="354" t="s">
        <v>266</v>
      </c>
      <c r="J10" s="258"/>
      <c r="K10" s="354" t="s">
        <v>267</v>
      </c>
      <c r="L10" s="354" t="s">
        <v>268</v>
      </c>
      <c r="N10" s="354" t="s">
        <v>269</v>
      </c>
      <c r="O10" s="354" t="s">
        <v>270</v>
      </c>
      <c r="P10" s="354" t="s">
        <v>271</v>
      </c>
      <c r="Q10" s="354" t="s">
        <v>272</v>
      </c>
      <c r="R10" s="354" t="s">
        <v>273</v>
      </c>
    </row>
    <row r="11">
      <c r="B11" s="258" t="s">
        <v>274</v>
      </c>
      <c r="C11" s="258">
        <v>12.0107</v>
      </c>
      <c r="D11" s="346" t="s">
        <v>275</v>
      </c>
      <c r="E11" s="355" t="s">
        <v>276</v>
      </c>
      <c r="F11" s="258">
        <v>44.01</v>
      </c>
      <c r="G11" s="258"/>
      <c r="H11" s="356">
        <f>'System Control &amp; Outputs'!C31</f>
        <v>0.54</v>
      </c>
      <c r="I11" s="349">
        <v>0.3</v>
      </c>
      <c r="J11" s="258"/>
      <c r="K11" s="357">
        <f t="shared" ref="K11:K13" si="1">H11*(F11/C11)/I11</f>
        <v>6.595618906</v>
      </c>
      <c r="L11" s="358">
        <f>'Sys Volume &amp; Area'!$D$23*K11/'Sys Volume &amp; Area'!$B$12</f>
        <v>16.20546469</v>
      </c>
      <c r="N11" s="359">
        <v>0.3</v>
      </c>
      <c r="O11" s="358">
        <f t="shared" ref="O11:O13" si="2">L11*(1+N11)</f>
        <v>21.0671041</v>
      </c>
      <c r="P11" s="350">
        <f t="shared" ref="P11:P13" si="3">R11/1000</f>
        <v>6952.144353</v>
      </c>
      <c r="Q11" s="350">
        <f t="shared" ref="Q11:Q13" si="4">O11*1000</f>
        <v>21067.1041</v>
      </c>
      <c r="R11" s="350">
        <f t="shared" ref="R11:R13" si="5">Q11*330</f>
        <v>6952144.353</v>
      </c>
    </row>
    <row r="12">
      <c r="B12" s="258" t="s">
        <v>277</v>
      </c>
      <c r="C12" s="258">
        <v>14.0067</v>
      </c>
      <c r="D12" s="346" t="s">
        <v>278</v>
      </c>
      <c r="E12" s="258" t="s">
        <v>279</v>
      </c>
      <c r="F12" s="258">
        <v>101.1032</v>
      </c>
      <c r="G12" s="258"/>
      <c r="H12" s="356">
        <f>'System Control &amp; Outputs'!C32</f>
        <v>0.018</v>
      </c>
      <c r="I12" s="359">
        <v>1.0</v>
      </c>
      <c r="J12" s="258"/>
      <c r="K12" s="357">
        <f t="shared" si="1"/>
        <v>0.1299276489</v>
      </c>
      <c r="L12" s="358">
        <f>'Sys Volume &amp; Area'!$D$23*K12/'Sys Volume &amp; Area'!$B$12</f>
        <v>0.3192328054</v>
      </c>
      <c r="N12" s="359">
        <v>0.2</v>
      </c>
      <c r="O12" s="358">
        <f t="shared" si="2"/>
        <v>0.3830793665</v>
      </c>
      <c r="P12" s="350">
        <f t="shared" si="3"/>
        <v>126.416191</v>
      </c>
      <c r="Q12" s="350">
        <f t="shared" si="4"/>
        <v>383.0793665</v>
      </c>
      <c r="R12" s="350">
        <f t="shared" si="5"/>
        <v>126416.191</v>
      </c>
    </row>
    <row r="13">
      <c r="B13" s="258" t="s">
        <v>280</v>
      </c>
      <c r="C13" s="258">
        <v>30.973762</v>
      </c>
      <c r="D13" s="346" t="s">
        <v>281</v>
      </c>
      <c r="E13" s="258" t="s">
        <v>282</v>
      </c>
      <c r="F13" s="258">
        <v>132.06</v>
      </c>
      <c r="G13" s="258"/>
      <c r="H13" s="356">
        <f>'System Control &amp; Outputs'!C33</f>
        <v>0.0022</v>
      </c>
      <c r="I13" s="359">
        <v>1.0</v>
      </c>
      <c r="J13" s="258"/>
      <c r="K13" s="357">
        <f t="shared" si="1"/>
        <v>0.009379939059</v>
      </c>
      <c r="L13" s="358">
        <f>'Sys Volume &amp; Area'!$D$23*K13/'Sys Volume &amp; Area'!$B$12</f>
        <v>0.02304655157</v>
      </c>
      <c r="N13" s="359">
        <v>0.2</v>
      </c>
      <c r="O13" s="358">
        <f t="shared" si="2"/>
        <v>0.02765586188</v>
      </c>
      <c r="P13" s="350">
        <f t="shared" si="3"/>
        <v>9.126434421</v>
      </c>
      <c r="Q13" s="350">
        <f t="shared" si="4"/>
        <v>27.65586188</v>
      </c>
      <c r="R13" s="350">
        <f t="shared" si="5"/>
        <v>9126.434421</v>
      </c>
    </row>
    <row r="15">
      <c r="K15" s="360" t="s">
        <v>283</v>
      </c>
      <c r="L15" s="361"/>
    </row>
    <row r="16">
      <c r="K16" s="361" t="s">
        <v>284</v>
      </c>
      <c r="L16" s="362">
        <f>L11*I11*'System Control &amp; Outputs'!C6</f>
        <v>1604.341005</v>
      </c>
    </row>
    <row r="17">
      <c r="F17" s="363"/>
      <c r="K17" s="361" t="s">
        <v>285</v>
      </c>
      <c r="L17" s="362">
        <f>L16*C11/F11</f>
        <v>437.8381846</v>
      </c>
    </row>
    <row r="18">
      <c r="K18" s="361"/>
      <c r="L18" s="361"/>
    </row>
    <row r="19">
      <c r="K19" s="189" t="s">
        <v>286</v>
      </c>
      <c r="L19" s="364">
        <f>L16/'Sys Volume &amp; Area'!$E$23</f>
        <v>20.40251536</v>
      </c>
    </row>
    <row r="20">
      <c r="K20" s="189" t="s">
        <v>287</v>
      </c>
      <c r="L20" s="364">
        <f>L17/'Sys Volume &amp; Area'!$E$23</f>
        <v>5.568018432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N2"/>
    <mergeCell ref="B8:O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0"/>
    <col customWidth="1" min="3" max="3" width="20.0"/>
    <col customWidth="1" min="4" max="4" width="12.38"/>
    <col customWidth="1" min="5" max="6" width="10.5"/>
    <col customWidth="1" min="7" max="8" width="12.38"/>
    <col customWidth="1" min="10" max="10" width="6.25"/>
    <col customWidth="1" min="11" max="11" width="15.63"/>
  </cols>
  <sheetData>
    <row r="1" ht="15.75" customHeight="1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B2" s="365" t="s">
        <v>288</v>
      </c>
    </row>
    <row r="3" ht="15.7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5.75" customHeight="1">
      <c r="B4" s="366" t="s">
        <v>289</v>
      </c>
      <c r="C4" s="366"/>
      <c r="D4" s="366"/>
      <c r="E4" s="366"/>
      <c r="F4" s="366"/>
      <c r="G4" s="5"/>
      <c r="H4" s="5"/>
      <c r="I4" s="5"/>
      <c r="J4" s="366" t="s">
        <v>290</v>
      </c>
    </row>
    <row r="5" ht="15.75" customHeight="1">
      <c r="B5" s="367" t="s">
        <v>291</v>
      </c>
      <c r="C5" s="368" t="s">
        <v>292</v>
      </c>
      <c r="D5" s="351" t="s">
        <v>293</v>
      </c>
      <c r="E5" s="351" t="s">
        <v>294</v>
      </c>
      <c r="F5" s="351" t="s">
        <v>295</v>
      </c>
      <c r="G5" s="351" t="s">
        <v>296</v>
      </c>
      <c r="H5" s="351" t="s">
        <v>297</v>
      </c>
      <c r="I5" s="5"/>
      <c r="J5" s="368" t="s">
        <v>298</v>
      </c>
      <c r="L5" s="367" t="s">
        <v>299</v>
      </c>
      <c r="N5" s="367" t="s">
        <v>296</v>
      </c>
      <c r="P5" s="367" t="s">
        <v>297</v>
      </c>
    </row>
    <row r="6" ht="15.75" customHeight="1">
      <c r="B6" s="369">
        <v>1.0</v>
      </c>
      <c r="C6" s="369" t="s">
        <v>300</v>
      </c>
      <c r="D6" s="370">
        <f>'Inputs Details'!F7</f>
        <v>338333.0135</v>
      </c>
      <c r="E6" s="371">
        <f>'Inputs Details'!I7/'Sys Volume &amp; Area'!$E$17</f>
        <v>0.05797101449</v>
      </c>
      <c r="F6" s="369">
        <f>E6*'Sys Volume &amp; Area'!$E$17</f>
        <v>4</v>
      </c>
      <c r="G6" s="370">
        <f>'Inputs Details'!J7</f>
        <v>1353332.054</v>
      </c>
      <c r="H6" s="372">
        <f t="shared" ref="H6:H15" si="1">G6/F$17</f>
        <v>0.4679441097</v>
      </c>
      <c r="I6" s="5"/>
      <c r="L6" s="367" t="s">
        <v>21</v>
      </c>
      <c r="M6" s="367" t="s">
        <v>301</v>
      </c>
      <c r="N6" s="367" t="s">
        <v>21</v>
      </c>
      <c r="O6" s="367" t="s">
        <v>301</v>
      </c>
      <c r="P6" s="367" t="s">
        <v>21</v>
      </c>
      <c r="Q6" s="367" t="s">
        <v>301</v>
      </c>
    </row>
    <row r="7" ht="15.75" customHeight="1">
      <c r="B7" s="369">
        <f t="shared" ref="B7:B16" si="3">B6+1</f>
        <v>2</v>
      </c>
      <c r="C7" s="369" t="s">
        <v>302</v>
      </c>
      <c r="D7" s="370">
        <f>'Inputs Details'!F11</f>
        <v>1345.713</v>
      </c>
      <c r="E7" s="371">
        <f>'Inputs Details'!I11/'Sys Volume &amp; Area'!$E$17</f>
        <v>0.05797101449</v>
      </c>
      <c r="F7" s="369">
        <f>E7*'Sys Volume &amp; Area'!$E$17</f>
        <v>4</v>
      </c>
      <c r="G7" s="370">
        <f>'Inputs Details'!J11</f>
        <v>5382.852</v>
      </c>
      <c r="H7" s="372">
        <f t="shared" si="1"/>
        <v>0.001861238621</v>
      </c>
      <c r="I7" s="5"/>
      <c r="J7" s="373" t="s">
        <v>303</v>
      </c>
      <c r="K7" s="374"/>
      <c r="L7" s="375" t="s">
        <v>304</v>
      </c>
      <c r="M7" s="375" t="s">
        <v>304</v>
      </c>
      <c r="N7" s="376">
        <f>SUM(N8:N16)</f>
        <v>6246893.97</v>
      </c>
      <c r="O7" s="376">
        <f>SUM(O8:O16)+N8</f>
        <v>10209044.31</v>
      </c>
      <c r="P7" s="377">
        <f t="shared" ref="P7:Q7" si="2">N7/N$23</f>
        <v>0.7826086957</v>
      </c>
      <c r="Q7" s="377">
        <f t="shared" si="2"/>
        <v>0.8247663551</v>
      </c>
    </row>
    <row r="8" ht="15.75" customHeight="1">
      <c r="B8" s="369">
        <f t="shared" si="3"/>
        <v>3</v>
      </c>
      <c r="C8" s="369" t="s">
        <v>305</v>
      </c>
      <c r="D8" s="370">
        <f>'Inputs Details'!F15</f>
        <v>44345</v>
      </c>
      <c r="E8" s="371">
        <f>1/'Sys Volume &amp; Area'!$E$17</f>
        <v>0.01449275362</v>
      </c>
      <c r="F8" s="369">
        <f>E8*'Sys Volume &amp; Area'!$E$17</f>
        <v>1</v>
      </c>
      <c r="G8" s="370">
        <f>'Inputs Details'!J15</f>
        <v>487795</v>
      </c>
      <c r="H8" s="372">
        <f t="shared" si="1"/>
        <v>0.1686657729</v>
      </c>
      <c r="I8" s="5"/>
      <c r="J8" s="5"/>
      <c r="K8" s="378" t="s">
        <v>306</v>
      </c>
      <c r="L8" s="379" t="s">
        <v>304</v>
      </c>
      <c r="M8" s="379" t="s">
        <v>304</v>
      </c>
      <c r="N8" s="380">
        <f>F17</f>
        <v>2892080.542</v>
      </c>
      <c r="P8" s="381">
        <f t="shared" ref="P8:P16" si="5">N8/N$7</f>
        <v>0.462962963</v>
      </c>
      <c r="Q8" s="381">
        <f>N8/O$7</f>
        <v>0.283286119</v>
      </c>
    </row>
    <row r="9" ht="15.75" customHeight="1">
      <c r="B9" s="369">
        <f t="shared" si="3"/>
        <v>4</v>
      </c>
      <c r="C9" s="369" t="s">
        <v>307</v>
      </c>
      <c r="D9" s="370">
        <f>'Inputs Details'!E19</f>
        <v>238262.6856</v>
      </c>
      <c r="E9" s="382">
        <v>0.5</v>
      </c>
      <c r="F9" s="369">
        <f>E9*'Sys Volume &amp; Area'!$E$17</f>
        <v>34.5</v>
      </c>
      <c r="G9" s="370">
        <f>'Inputs Details'!J19</f>
        <v>338333.0135</v>
      </c>
      <c r="H9" s="372">
        <f t="shared" si="1"/>
        <v>0.1169860274</v>
      </c>
      <c r="I9" s="5"/>
      <c r="J9" s="5"/>
      <c r="K9" s="378" t="s">
        <v>308</v>
      </c>
      <c r="L9" s="379">
        <v>0.2</v>
      </c>
      <c r="M9" s="379">
        <v>0.5</v>
      </c>
      <c r="N9" s="383">
        <f t="shared" ref="N9:O9" si="4">L9*$N$8</f>
        <v>578416.1083</v>
      </c>
      <c r="O9" s="383">
        <f t="shared" si="4"/>
        <v>1446040.271</v>
      </c>
      <c r="P9" s="381">
        <f t="shared" si="5"/>
        <v>0.09259259259</v>
      </c>
      <c r="Q9" s="381">
        <f t="shared" ref="Q9:Q16" si="7">O9/O$7</f>
        <v>0.1416430595</v>
      </c>
    </row>
    <row r="10" ht="15.75" customHeight="1">
      <c r="B10" s="369">
        <f t="shared" si="3"/>
        <v>5</v>
      </c>
      <c r="C10" s="369" t="s">
        <v>309</v>
      </c>
      <c r="D10" s="370" t="str">
        <f>'Inputs Details'!E23</f>
        <v>-</v>
      </c>
      <c r="E10" s="382">
        <v>0.5</v>
      </c>
      <c r="F10" s="369">
        <f>E10*'Sys Volume &amp; Area'!$E$17</f>
        <v>34.5</v>
      </c>
      <c r="G10" s="370">
        <f>'Inputs Details'!J23</f>
        <v>1204.059</v>
      </c>
      <c r="H10" s="372">
        <f t="shared" si="1"/>
        <v>0.0004163296916</v>
      </c>
      <c r="I10" s="384"/>
      <c r="J10" s="5"/>
      <c r="K10" s="378" t="s">
        <v>310</v>
      </c>
      <c r="L10" s="379">
        <v>0.3</v>
      </c>
      <c r="M10" s="379">
        <v>0.4</v>
      </c>
      <c r="N10" s="383">
        <f t="shared" ref="N10:O10" si="6">L10*$N$8</f>
        <v>867624.1625</v>
      </c>
      <c r="O10" s="383">
        <f t="shared" si="6"/>
        <v>1156832.217</v>
      </c>
      <c r="P10" s="381">
        <f t="shared" si="5"/>
        <v>0.1388888889</v>
      </c>
      <c r="Q10" s="381">
        <f t="shared" si="7"/>
        <v>0.1133144476</v>
      </c>
    </row>
    <row r="11" ht="15.75" customHeight="1">
      <c r="B11" s="369">
        <f t="shared" si="3"/>
        <v>6</v>
      </c>
      <c r="C11" s="369" t="s">
        <v>311</v>
      </c>
      <c r="D11" s="370">
        <f>'Inputs Details'!F27</f>
        <v>504</v>
      </c>
      <c r="E11" s="382">
        <v>0.5</v>
      </c>
      <c r="F11" s="369">
        <f>E11*'Sys Volume &amp; Area'!$E$17</f>
        <v>34.5</v>
      </c>
      <c r="G11" s="370">
        <f>'Inputs Details'!J27</f>
        <v>17388</v>
      </c>
      <c r="H11" s="372">
        <f t="shared" si="1"/>
        <v>0.006012280692</v>
      </c>
      <c r="I11" s="384"/>
      <c r="J11" s="5"/>
      <c r="K11" s="378" t="s">
        <v>312</v>
      </c>
      <c r="L11" s="379">
        <v>0.2</v>
      </c>
      <c r="M11" s="379">
        <v>0.35</v>
      </c>
      <c r="N11" s="383">
        <f t="shared" ref="N11:O11" si="8">L11*$N$8</f>
        <v>578416.1083</v>
      </c>
      <c r="O11" s="383">
        <f t="shared" si="8"/>
        <v>1012228.19</v>
      </c>
      <c r="P11" s="381">
        <f t="shared" si="5"/>
        <v>0.09259259259</v>
      </c>
      <c r="Q11" s="381">
        <f t="shared" si="7"/>
        <v>0.09915014164</v>
      </c>
    </row>
    <row r="12" ht="15.75" customHeight="1">
      <c r="B12" s="369">
        <f t="shared" si="3"/>
        <v>7</v>
      </c>
      <c r="C12" s="369" t="s">
        <v>313</v>
      </c>
      <c r="D12" s="370">
        <f>'Inputs Details'!F31</f>
        <v>117</v>
      </c>
      <c r="E12" s="382">
        <v>0.5</v>
      </c>
      <c r="F12" s="369">
        <f>E12*'Sys Volume &amp; Area'!$E$17</f>
        <v>34.5</v>
      </c>
      <c r="G12" s="370">
        <f>'Inputs Details'!J31</f>
        <v>4036.5</v>
      </c>
      <c r="H12" s="372">
        <f t="shared" si="1"/>
        <v>0.001395708018</v>
      </c>
      <c r="I12" s="384"/>
      <c r="J12" s="5"/>
      <c r="K12" s="378" t="s">
        <v>314</v>
      </c>
      <c r="L12" s="379">
        <v>0.01</v>
      </c>
      <c r="M12" s="379">
        <v>0.03</v>
      </c>
      <c r="N12" s="383">
        <f t="shared" ref="N12:O12" si="9">L12*$N$8</f>
        <v>28920.80542</v>
      </c>
      <c r="O12" s="383">
        <f t="shared" si="9"/>
        <v>86762.41625</v>
      </c>
      <c r="P12" s="381">
        <f t="shared" si="5"/>
        <v>0.00462962963</v>
      </c>
      <c r="Q12" s="381">
        <f t="shared" si="7"/>
        <v>0.008498583569</v>
      </c>
    </row>
    <row r="13" ht="15.75" customHeight="1">
      <c r="B13" s="369">
        <f t="shared" si="3"/>
        <v>8</v>
      </c>
      <c r="C13" s="369" t="s">
        <v>315</v>
      </c>
      <c r="D13" s="370" t="str">
        <f>'Inputs Details'!E35</f>
        <v>-</v>
      </c>
      <c r="E13" s="382">
        <v>0.5</v>
      </c>
      <c r="F13" s="369">
        <f>E13*'Sys Volume &amp; Area'!$E$17</f>
        <v>34.5</v>
      </c>
      <c r="G13" s="370">
        <f>'Inputs Details'!J35</f>
        <v>1977.885</v>
      </c>
      <c r="H13" s="372">
        <f t="shared" si="1"/>
        <v>0.0006838969287</v>
      </c>
      <c r="I13" s="384"/>
      <c r="J13" s="5"/>
      <c r="K13" s="378" t="s">
        <v>316</v>
      </c>
      <c r="L13" s="379">
        <v>0.1</v>
      </c>
      <c r="M13" s="379">
        <v>0.15</v>
      </c>
      <c r="N13" s="383">
        <f t="shared" ref="N13:O13" si="10">L13*$N$8</f>
        <v>289208.0542</v>
      </c>
      <c r="O13" s="383">
        <f t="shared" si="10"/>
        <v>433812.0813</v>
      </c>
      <c r="P13" s="381">
        <f t="shared" si="5"/>
        <v>0.0462962963</v>
      </c>
      <c r="Q13" s="381">
        <f t="shared" si="7"/>
        <v>0.04249291785</v>
      </c>
    </row>
    <row r="14" ht="15.75" customHeight="1">
      <c r="B14" s="369">
        <f t="shared" si="3"/>
        <v>9</v>
      </c>
      <c r="C14" s="369" t="s">
        <v>317</v>
      </c>
      <c r="D14" s="370">
        <f>SUM('Inputs Details'!E39:F39)</f>
        <v>1467.19</v>
      </c>
      <c r="E14" s="382">
        <v>0.5</v>
      </c>
      <c r="F14" s="369">
        <f>E14*'Sys Volume &amp; Area'!$E$17</f>
        <v>34.5</v>
      </c>
      <c r="G14" s="370">
        <f>'Inputs Details'!J39</f>
        <v>50618.055</v>
      </c>
      <c r="H14" s="372">
        <f t="shared" si="1"/>
        <v>0.01750229783</v>
      </c>
      <c r="I14" s="384"/>
      <c r="J14" s="5"/>
      <c r="K14" s="378" t="s">
        <v>318</v>
      </c>
      <c r="L14" s="379">
        <v>0.1</v>
      </c>
      <c r="M14" s="379">
        <v>0.45</v>
      </c>
      <c r="N14" s="383">
        <f t="shared" ref="N14:O14" si="11">L14*$N$8</f>
        <v>289208.0542</v>
      </c>
      <c r="O14" s="383">
        <f t="shared" si="11"/>
        <v>1301436.244</v>
      </c>
      <c r="P14" s="381">
        <f t="shared" si="5"/>
        <v>0.0462962963</v>
      </c>
      <c r="Q14" s="381">
        <f t="shared" si="7"/>
        <v>0.1274787535</v>
      </c>
    </row>
    <row r="15" ht="15.75" customHeight="1">
      <c r="B15" s="369">
        <f t="shared" si="3"/>
        <v>10</v>
      </c>
      <c r="C15" s="369" t="s">
        <v>319</v>
      </c>
      <c r="D15" s="370">
        <f>'Inputs Details'!F43</f>
        <v>50000</v>
      </c>
      <c r="E15" s="385">
        <f>'Inputs Details'!I43/'Sys Volume &amp; Area'!$E$17</f>
        <v>0.1831922096</v>
      </c>
      <c r="F15" s="385">
        <f>E15*'Sys Volume &amp; Area'!$E$17</f>
        <v>12.64026246</v>
      </c>
      <c r="G15" s="370">
        <f>F15*D15</f>
        <v>632013.123</v>
      </c>
      <c r="H15" s="372">
        <f t="shared" si="1"/>
        <v>0.2185323382</v>
      </c>
      <c r="I15" s="384"/>
      <c r="J15" s="5"/>
      <c r="K15" s="378" t="s">
        <v>320</v>
      </c>
      <c r="L15" s="379">
        <v>0.05</v>
      </c>
      <c r="M15" s="379">
        <v>0.15</v>
      </c>
      <c r="N15" s="383">
        <f t="shared" ref="N15:O15" si="12">L15*$N$8</f>
        <v>144604.0271</v>
      </c>
      <c r="O15" s="383">
        <f t="shared" si="12"/>
        <v>433812.0813</v>
      </c>
      <c r="P15" s="381">
        <f t="shared" si="5"/>
        <v>0.02314814815</v>
      </c>
      <c r="Q15" s="381">
        <f t="shared" si="7"/>
        <v>0.04249291785</v>
      </c>
    </row>
    <row r="16" ht="15.75" customHeight="1">
      <c r="B16" s="369">
        <f t="shared" si="3"/>
        <v>11</v>
      </c>
      <c r="C16" s="369"/>
      <c r="D16" s="370"/>
      <c r="E16" s="371"/>
      <c r="F16" s="369"/>
      <c r="G16" s="370"/>
      <c r="H16" s="372"/>
      <c r="I16" s="384"/>
      <c r="J16" s="5"/>
      <c r="K16" s="378" t="s">
        <v>321</v>
      </c>
      <c r="L16" s="379">
        <v>0.2</v>
      </c>
      <c r="M16" s="379">
        <v>0.5</v>
      </c>
      <c r="N16" s="383">
        <f t="shared" ref="N16:O16" si="13">L16*$N$8</f>
        <v>578416.1083</v>
      </c>
      <c r="O16" s="383">
        <f t="shared" si="13"/>
        <v>1446040.271</v>
      </c>
      <c r="P16" s="381">
        <f t="shared" si="5"/>
        <v>0.09259259259</v>
      </c>
      <c r="Q16" s="381">
        <f t="shared" si="7"/>
        <v>0.1416430595</v>
      </c>
    </row>
    <row r="17" ht="15.75" customHeight="1">
      <c r="B17" s="386" t="s">
        <v>322</v>
      </c>
      <c r="F17" s="387">
        <f>SUM(G6:G16)</f>
        <v>2892080.542</v>
      </c>
      <c r="I17" s="5"/>
      <c r="J17" s="373" t="s">
        <v>323</v>
      </c>
      <c r="K17" s="374"/>
      <c r="L17" s="375" t="s">
        <v>304</v>
      </c>
      <c r="M17" s="388" t="s">
        <v>304</v>
      </c>
      <c r="N17" s="376">
        <f t="shared" ref="N17:O17" si="14">SUM(N18:N19)</f>
        <v>1446040.271</v>
      </c>
      <c r="O17" s="376">
        <f t="shared" si="14"/>
        <v>1735248.325</v>
      </c>
      <c r="P17" s="377">
        <f t="shared" ref="P17:Q17" si="15">N17/N$23</f>
        <v>0.1811594203</v>
      </c>
      <c r="Q17" s="377">
        <f t="shared" si="15"/>
        <v>0.1401869159</v>
      </c>
    </row>
    <row r="18" ht="15.75" customHeight="1">
      <c r="H18" s="283"/>
      <c r="I18" s="283"/>
      <c r="J18" s="5"/>
      <c r="K18" s="378" t="s">
        <v>324</v>
      </c>
      <c r="L18" s="379">
        <v>0.2</v>
      </c>
      <c r="M18" s="379">
        <v>0.25</v>
      </c>
      <c r="N18" s="383">
        <f t="shared" ref="N18:O18" si="16">L18*$N$8</f>
        <v>578416.1083</v>
      </c>
      <c r="O18" s="383">
        <f t="shared" si="16"/>
        <v>723020.1354</v>
      </c>
      <c r="P18" s="381">
        <f t="shared" ref="P18:Q18" si="17">N18/N$17</f>
        <v>0.4</v>
      </c>
      <c r="Q18" s="381">
        <f t="shared" si="17"/>
        <v>0.4166666667</v>
      </c>
    </row>
    <row r="19" ht="15.75" customHeight="1">
      <c r="B19" s="5"/>
      <c r="C19" s="5"/>
      <c r="D19" s="5"/>
      <c r="E19" s="5"/>
      <c r="F19" s="5"/>
      <c r="G19" s="5"/>
      <c r="H19" s="5"/>
      <c r="I19" s="384"/>
      <c r="J19" s="5"/>
      <c r="K19" s="378" t="s">
        <v>325</v>
      </c>
      <c r="L19" s="379">
        <v>0.3</v>
      </c>
      <c r="M19" s="379">
        <v>0.35</v>
      </c>
      <c r="N19" s="383">
        <f t="shared" ref="N19:O19" si="18">L19*$N$8</f>
        <v>867624.1625</v>
      </c>
      <c r="O19" s="383">
        <f t="shared" si="18"/>
        <v>1012228.19</v>
      </c>
      <c r="P19" s="381">
        <f t="shared" ref="P19:Q19" si="19">N19/N$17</f>
        <v>0.6</v>
      </c>
      <c r="Q19" s="381">
        <f t="shared" si="19"/>
        <v>0.5833333333</v>
      </c>
    </row>
    <row r="20" ht="15.75" customHeight="1">
      <c r="B20" s="5"/>
      <c r="C20" s="5"/>
      <c r="D20" s="5"/>
      <c r="E20" s="5"/>
      <c r="F20" s="5"/>
      <c r="G20" s="5"/>
      <c r="H20" s="5"/>
      <c r="I20" s="5"/>
      <c r="J20" s="389" t="s">
        <v>326</v>
      </c>
      <c r="K20" s="374"/>
      <c r="L20" s="375" t="s">
        <v>304</v>
      </c>
      <c r="M20" s="388" t="s">
        <v>304</v>
      </c>
      <c r="N20" s="376">
        <f t="shared" ref="N20:O20" si="20">SUM(N21:N22)</f>
        <v>289208.0542</v>
      </c>
      <c r="O20" s="376">
        <f t="shared" si="20"/>
        <v>433812.0813</v>
      </c>
      <c r="P20" s="377">
        <f t="shared" ref="P20:Q20" si="21">N20/N$23</f>
        <v>0.03623188406</v>
      </c>
      <c r="Q20" s="377">
        <f t="shared" si="21"/>
        <v>0.03504672897</v>
      </c>
    </row>
    <row r="21" ht="15.75" customHeight="1">
      <c r="B21" s="5"/>
      <c r="C21" s="5"/>
      <c r="D21" s="5"/>
      <c r="H21" s="5"/>
      <c r="I21" s="5"/>
      <c r="J21" s="5"/>
      <c r="K21" s="378" t="s">
        <v>327</v>
      </c>
      <c r="L21" s="379">
        <v>0.03</v>
      </c>
      <c r="M21" s="379">
        <v>0.05</v>
      </c>
      <c r="N21" s="383">
        <f t="shared" ref="N21:O21" si="22">L21*$N$8</f>
        <v>86762.41625</v>
      </c>
      <c r="O21" s="383">
        <f t="shared" si="22"/>
        <v>144604.0271</v>
      </c>
      <c r="P21" s="381">
        <f t="shared" ref="P21:Q21" si="23">N21/N$20</f>
        <v>0.3</v>
      </c>
      <c r="Q21" s="381">
        <f t="shared" si="23"/>
        <v>0.3333333333</v>
      </c>
    </row>
    <row r="22" ht="15.75" customHeight="1">
      <c r="B22" s="366"/>
      <c r="C22" s="366"/>
      <c r="D22" s="366"/>
      <c r="E22" s="366"/>
      <c r="F22" s="366"/>
      <c r="G22" s="366"/>
      <c r="H22" s="5"/>
      <c r="I22" s="5"/>
      <c r="J22" s="5"/>
      <c r="K22" s="378" t="s">
        <v>328</v>
      </c>
      <c r="L22" s="379">
        <v>0.07</v>
      </c>
      <c r="M22" s="379">
        <v>0.1</v>
      </c>
      <c r="N22" s="383">
        <f t="shared" ref="N22:O22" si="24">L22*$N$8</f>
        <v>202445.6379</v>
      </c>
      <c r="O22" s="383">
        <f t="shared" si="24"/>
        <v>289208.0542</v>
      </c>
      <c r="P22" s="381">
        <f t="shared" ref="P22:Q22" si="25">N22/N$20</f>
        <v>0.7</v>
      </c>
      <c r="Q22" s="381">
        <f t="shared" si="25"/>
        <v>0.6666666667</v>
      </c>
    </row>
    <row r="23" ht="15.75" customHeight="1">
      <c r="B23" s="366"/>
      <c r="C23" s="366"/>
      <c r="D23" s="366"/>
      <c r="E23" s="366"/>
      <c r="F23" s="366"/>
      <c r="G23" s="366"/>
      <c r="H23" s="283"/>
      <c r="I23" s="283"/>
      <c r="J23" s="386" t="s">
        <v>329</v>
      </c>
      <c r="N23" s="390">
        <f t="shared" ref="N23:O23" si="26">SUM(N7,N17,N20)</f>
        <v>7982142.295</v>
      </c>
      <c r="O23" s="390">
        <f t="shared" si="26"/>
        <v>12378104.72</v>
      </c>
      <c r="P23" s="368" t="s">
        <v>304</v>
      </c>
      <c r="Q23" s="368" t="s">
        <v>304</v>
      </c>
    </row>
    <row r="24" ht="15.75" customHeight="1">
      <c r="B24" s="366"/>
      <c r="C24" s="366"/>
      <c r="D24" s="366"/>
      <c r="E24" s="366"/>
      <c r="F24" s="366"/>
      <c r="G24" s="366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ht="15.75" customHeight="1">
      <c r="B25" s="366"/>
      <c r="C25" s="366"/>
      <c r="D25" s="366"/>
      <c r="E25" s="366"/>
      <c r="F25" s="366"/>
      <c r="G25" s="366"/>
      <c r="H25" s="5"/>
      <c r="I25" s="5"/>
      <c r="J25" s="391" t="s">
        <v>330</v>
      </c>
      <c r="K25" s="5"/>
      <c r="L25" s="5"/>
      <c r="M25" s="5"/>
      <c r="N25" s="5"/>
      <c r="O25" s="5"/>
      <c r="P25" s="5"/>
      <c r="Q25" s="5"/>
    </row>
    <row r="26" ht="15.75" customHeight="1">
      <c r="B26" s="366"/>
      <c r="C26" s="366"/>
      <c r="D26" s="366"/>
      <c r="E26" s="366"/>
      <c r="F26" s="366"/>
      <c r="G26" s="366"/>
      <c r="H26" s="5"/>
      <c r="I26" s="5"/>
      <c r="J26" s="368" t="s">
        <v>331</v>
      </c>
      <c r="L26" s="367" t="s">
        <v>332</v>
      </c>
      <c r="M26" s="5"/>
      <c r="N26" s="5"/>
      <c r="O26" s="5"/>
      <c r="P26" s="5"/>
      <c r="Q26" s="5"/>
    </row>
    <row r="27" ht="15.75" customHeight="1">
      <c r="B27" s="366"/>
      <c r="C27" s="366"/>
      <c r="D27" s="366"/>
      <c r="E27" s="366"/>
      <c r="F27" s="366"/>
      <c r="G27" s="366"/>
      <c r="H27" s="5"/>
      <c r="I27" s="5"/>
      <c r="J27" s="5" t="s">
        <v>169</v>
      </c>
      <c r="L27" s="288">
        <v>2.0</v>
      </c>
      <c r="M27" s="392" t="s">
        <v>333</v>
      </c>
      <c r="N27" s="5"/>
      <c r="O27" s="5"/>
      <c r="P27" s="5"/>
      <c r="Q27" s="5"/>
    </row>
    <row r="28" ht="15.75" customHeight="1">
      <c r="B28" s="366"/>
      <c r="C28" s="366"/>
      <c r="D28" s="366"/>
      <c r="E28" s="366"/>
      <c r="F28" s="366"/>
      <c r="G28" s="366"/>
      <c r="H28" s="5"/>
      <c r="I28" s="5"/>
      <c r="J28" s="5"/>
      <c r="K28" s="5"/>
      <c r="L28" s="5"/>
      <c r="M28" s="342"/>
      <c r="N28" s="5"/>
      <c r="O28" s="5"/>
      <c r="P28" s="5"/>
      <c r="Q28" s="5"/>
    </row>
    <row r="29" ht="15.75" customHeight="1">
      <c r="B29" s="5"/>
      <c r="C29" s="5"/>
      <c r="D29" s="5"/>
      <c r="E29" s="5"/>
      <c r="F29" s="5"/>
      <c r="G29" s="5"/>
      <c r="H29" s="5"/>
      <c r="I29" s="5"/>
      <c r="J29" s="368" t="s">
        <v>334</v>
      </c>
      <c r="L29" s="368" t="s">
        <v>335</v>
      </c>
      <c r="M29" s="367" t="s">
        <v>336</v>
      </c>
      <c r="N29" s="367" t="s">
        <v>296</v>
      </c>
      <c r="O29" s="5"/>
      <c r="P29" s="5"/>
      <c r="Q29" s="5"/>
    </row>
    <row r="30" ht="15.75" customHeight="1">
      <c r="B30" s="5"/>
      <c r="C30" s="5"/>
      <c r="D30" s="5"/>
      <c r="E30" s="5"/>
      <c r="F30" s="5"/>
      <c r="G30" s="5"/>
      <c r="H30" s="5"/>
      <c r="I30" s="5"/>
      <c r="J30" s="5" t="s">
        <v>337</v>
      </c>
      <c r="L30" s="5" t="s">
        <v>338</v>
      </c>
      <c r="M30" s="393">
        <v>3010.0</v>
      </c>
      <c r="N30" s="394">
        <f t="shared" ref="N30:N33" si="27">M30*L$27</f>
        <v>6020</v>
      </c>
      <c r="O30" s="5"/>
      <c r="P30" s="5"/>
      <c r="Q30" s="5"/>
    </row>
    <row r="31" ht="15.75" customHeight="1">
      <c r="B31" s="5"/>
      <c r="C31" s="5"/>
      <c r="D31" s="5"/>
      <c r="E31" s="5"/>
      <c r="F31" s="5"/>
      <c r="G31" s="5"/>
      <c r="H31" s="5"/>
      <c r="I31" s="5"/>
      <c r="J31" s="5" t="s">
        <v>339</v>
      </c>
      <c r="L31" s="5" t="s">
        <v>340</v>
      </c>
      <c r="M31" s="393">
        <v>3800.0</v>
      </c>
      <c r="N31" s="394">
        <f t="shared" si="27"/>
        <v>7600</v>
      </c>
      <c r="O31" s="392" t="s">
        <v>341</v>
      </c>
      <c r="P31" s="5"/>
      <c r="Q31" s="5"/>
    </row>
    <row r="32" ht="15.75" customHeight="1">
      <c r="B32" s="5"/>
      <c r="C32" s="5"/>
      <c r="D32" s="5"/>
      <c r="E32" s="5"/>
      <c r="F32" s="5"/>
      <c r="G32" s="5"/>
      <c r="H32" s="5"/>
      <c r="I32" s="5"/>
      <c r="J32" s="5" t="s">
        <v>342</v>
      </c>
      <c r="L32" s="5" t="s">
        <v>338</v>
      </c>
      <c r="M32" s="393">
        <v>417.0</v>
      </c>
      <c r="N32" s="394">
        <f t="shared" si="27"/>
        <v>834</v>
      </c>
      <c r="O32" s="5"/>
      <c r="P32" s="5"/>
      <c r="Q32" s="5"/>
    </row>
    <row r="33" ht="15.75" customHeight="1">
      <c r="B33" s="5"/>
      <c r="C33" s="5"/>
      <c r="D33" s="5"/>
      <c r="E33" s="5"/>
      <c r="F33" s="5"/>
      <c r="G33" s="5"/>
      <c r="H33" s="5"/>
      <c r="I33" s="5"/>
      <c r="J33" s="5" t="s">
        <v>343</v>
      </c>
      <c r="L33" s="5" t="s">
        <v>338</v>
      </c>
      <c r="M33" s="393">
        <v>1660.0</v>
      </c>
      <c r="N33" s="394">
        <f t="shared" si="27"/>
        <v>3320</v>
      </c>
      <c r="O33" s="5"/>
      <c r="P33" s="5"/>
      <c r="Q33" s="5"/>
    </row>
    <row r="34" ht="15.75" customHeight="1">
      <c r="B34" s="5"/>
      <c r="C34" s="5"/>
      <c r="D34" s="5"/>
      <c r="E34" s="5"/>
      <c r="F34" s="5"/>
      <c r="G34" s="5"/>
      <c r="H34" s="5"/>
      <c r="I34" s="5"/>
      <c r="J34" s="386" t="s">
        <v>344</v>
      </c>
      <c r="N34" s="390">
        <f>MIN(N30:N33)</f>
        <v>834</v>
      </c>
      <c r="O34" s="5"/>
      <c r="P34" s="5"/>
      <c r="Q34" s="5"/>
    </row>
    <row r="35" ht="15.75" customHeight="1">
      <c r="B35" s="5"/>
      <c r="C35" s="5"/>
      <c r="D35" s="5"/>
      <c r="E35" s="5"/>
      <c r="F35" s="5"/>
      <c r="G35" s="5"/>
      <c r="H35" s="5"/>
      <c r="I35" s="5"/>
      <c r="J35" s="386" t="s">
        <v>345</v>
      </c>
      <c r="N35" s="390">
        <f>MAX(N30:N33)</f>
        <v>7600</v>
      </c>
      <c r="O35" s="5"/>
      <c r="P35" s="5"/>
      <c r="Q35" s="5"/>
    </row>
    <row r="36" ht="15.7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ht="15.75" customHeight="1"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5"/>
      <c r="P38" s="5"/>
      <c r="Q38" s="5"/>
    </row>
    <row r="39" ht="15.75" customHeight="1">
      <c r="B39" s="365" t="s">
        <v>346</v>
      </c>
      <c r="O39" s="5"/>
      <c r="P39" s="5"/>
      <c r="Q39" s="5"/>
    </row>
    <row r="40" ht="15.7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ht="15.75" customHeight="1">
      <c r="B41" s="366" t="s">
        <v>347</v>
      </c>
      <c r="C41" s="366"/>
      <c r="D41" s="366"/>
      <c r="E41" s="366"/>
      <c r="F41" s="366"/>
      <c r="G41" s="5"/>
      <c r="H41" s="5"/>
      <c r="I41" s="5"/>
      <c r="J41" s="366" t="s">
        <v>348</v>
      </c>
      <c r="L41" s="5" t="s">
        <v>349</v>
      </c>
      <c r="M41" s="396"/>
      <c r="N41" s="397"/>
      <c r="O41" s="5"/>
      <c r="P41" s="5"/>
      <c r="Q41" s="5"/>
    </row>
    <row r="42" ht="15.75" customHeight="1">
      <c r="B42" s="367" t="s">
        <v>350</v>
      </c>
      <c r="C42" s="368" t="s">
        <v>292</v>
      </c>
      <c r="D42" s="351" t="s">
        <v>351</v>
      </c>
      <c r="E42" s="368" t="s">
        <v>352</v>
      </c>
      <c r="F42" s="351" t="s">
        <v>353</v>
      </c>
      <c r="G42" s="351" t="s">
        <v>297</v>
      </c>
      <c r="H42" s="5"/>
      <c r="I42" s="5"/>
      <c r="J42" s="368" t="s">
        <v>182</v>
      </c>
      <c r="L42" s="367" t="s">
        <v>354</v>
      </c>
      <c r="M42" s="367" t="s">
        <v>355</v>
      </c>
      <c r="N42" s="367" t="s">
        <v>356</v>
      </c>
      <c r="O42" s="5"/>
      <c r="P42" s="5"/>
      <c r="Q42" s="5"/>
    </row>
    <row r="43" ht="15.75" customHeight="1">
      <c r="B43" s="292">
        <v>1.0</v>
      </c>
      <c r="C43" s="398" t="s">
        <v>357</v>
      </c>
      <c r="D43" s="399">
        <f>'System Control &amp; Outputs'!C26</f>
        <v>0.1329050222</v>
      </c>
      <c r="E43" s="400">
        <f>'Water &amp; Nutrient Calcs'!N5*'Sys Volume &amp; Area'!B12</f>
        <v>1573638.299</v>
      </c>
      <c r="F43" s="370">
        <f t="shared" ref="F43:F47" si="28">D43*E43</f>
        <v>209144.433</v>
      </c>
      <c r="G43" s="401">
        <f t="shared" ref="G43:G47" si="29">F43/E$48</f>
        <v>0.07217054709</v>
      </c>
      <c r="H43" s="5"/>
      <c r="I43" s="5"/>
      <c r="J43" s="5" t="s">
        <v>358</v>
      </c>
      <c r="L43" s="288">
        <v>1.0</v>
      </c>
      <c r="M43" s="393">
        <f>M46*3</f>
        <v>219000</v>
      </c>
      <c r="N43" s="393">
        <f t="shared" ref="N43:N47" si="30">M43*L43</f>
        <v>219000</v>
      </c>
      <c r="O43" s="5"/>
      <c r="P43" s="5">
        <f t="shared" ref="P43:P47" si="31">M43/(50*40)</f>
        <v>109.5</v>
      </c>
      <c r="Q43" s="5"/>
    </row>
    <row r="44" ht="15.75" customHeight="1">
      <c r="B44" s="292">
        <f t="shared" ref="B44:B47" si="32">B43+1</f>
        <v>2</v>
      </c>
      <c r="C44" s="398" t="s">
        <v>359</v>
      </c>
      <c r="D44" s="399">
        <f>'System Control &amp; Outputs'!C22</f>
        <v>375</v>
      </c>
      <c r="E44" s="400">
        <f>'Water &amp; Nutrient Calcs'!O11*'Sys Volume &amp; Area'!B12</f>
        <v>6952.144353</v>
      </c>
      <c r="F44" s="370">
        <f t="shared" si="28"/>
        <v>2607054.132</v>
      </c>
      <c r="G44" s="401">
        <f t="shared" si="29"/>
        <v>0.8996296019</v>
      </c>
      <c r="H44" s="5"/>
      <c r="I44" s="5"/>
      <c r="J44" s="5" t="s">
        <v>360</v>
      </c>
      <c r="L44" s="288">
        <v>1.0</v>
      </c>
      <c r="M44" s="393">
        <f>M46*2.5</f>
        <v>182500</v>
      </c>
      <c r="N44" s="393">
        <f t="shared" si="30"/>
        <v>182500</v>
      </c>
      <c r="O44" s="5"/>
      <c r="P44" s="5">
        <f t="shared" si="31"/>
        <v>91.25</v>
      </c>
      <c r="Q44" s="5"/>
    </row>
    <row r="45" ht="15.75" customHeight="1">
      <c r="B45" s="292">
        <f t="shared" si="32"/>
        <v>3</v>
      </c>
      <c r="C45" s="398" t="s">
        <v>361</v>
      </c>
      <c r="D45" s="399">
        <f>'System Control &amp; Outputs'!C23</f>
        <v>600</v>
      </c>
      <c r="E45" s="400">
        <f>'Water &amp; Nutrient Calcs'!O12*'Sys Volume &amp; Area'!B12</f>
        <v>126.416191</v>
      </c>
      <c r="F45" s="370">
        <f t="shared" si="28"/>
        <v>75849.71457</v>
      </c>
      <c r="G45" s="401">
        <f t="shared" si="29"/>
        <v>0.02617385181</v>
      </c>
      <c r="H45" s="5"/>
      <c r="I45" s="5"/>
      <c r="J45" s="5" t="s">
        <v>362</v>
      </c>
      <c r="L45" s="288">
        <v>1.0</v>
      </c>
      <c r="M45" s="393">
        <f>M46*2</f>
        <v>146000</v>
      </c>
      <c r="N45" s="393">
        <f t="shared" si="30"/>
        <v>146000</v>
      </c>
      <c r="O45" s="5"/>
      <c r="P45" s="5">
        <f t="shared" si="31"/>
        <v>73</v>
      </c>
      <c r="Q45" s="5"/>
    </row>
    <row r="46" ht="15.75" customHeight="1">
      <c r="B46" s="292">
        <f t="shared" si="32"/>
        <v>4</v>
      </c>
      <c r="C46" s="402" t="s">
        <v>281</v>
      </c>
      <c r="D46" s="399">
        <f>'System Control &amp; Outputs'!C24</f>
        <v>600</v>
      </c>
      <c r="E46" s="400">
        <f>'Water &amp; Nutrient Calcs'!O13*'Sys Volume &amp; Area'!B12</f>
        <v>9.126434421</v>
      </c>
      <c r="F46" s="370">
        <f t="shared" si="28"/>
        <v>5475.860653</v>
      </c>
      <c r="G46" s="401">
        <f t="shared" si="29"/>
        <v>0.001889583449</v>
      </c>
      <c r="H46" s="5"/>
      <c r="I46" s="396" t="s">
        <v>363</v>
      </c>
      <c r="J46" s="5" t="s">
        <v>131</v>
      </c>
      <c r="L46" s="403">
        <v>1.0</v>
      </c>
      <c r="M46" s="393">
        <f>'System Control &amp; Outputs'!$C$27*40*50</f>
        <v>73000</v>
      </c>
      <c r="N46" s="393">
        <f t="shared" si="30"/>
        <v>73000</v>
      </c>
      <c r="O46" s="392" t="s">
        <v>364</v>
      </c>
      <c r="P46" s="5">
        <f t="shared" si="31"/>
        <v>36.5</v>
      </c>
      <c r="Q46" s="5"/>
    </row>
    <row r="47" ht="15.75" customHeight="1">
      <c r="B47" s="292">
        <f t="shared" si="32"/>
        <v>5</v>
      </c>
      <c r="C47" s="398" t="s">
        <v>326</v>
      </c>
      <c r="D47" s="399">
        <f>'System Control &amp; Outputs'!C25</f>
        <v>600</v>
      </c>
      <c r="E47" s="400">
        <f>E46*(E46/E45)</f>
        <v>0.6588697588</v>
      </c>
      <c r="F47" s="370">
        <f t="shared" si="28"/>
        <v>395.3218553</v>
      </c>
      <c r="G47" s="401">
        <f t="shared" si="29"/>
        <v>0.0001364157494</v>
      </c>
      <c r="H47" s="5"/>
      <c r="I47" s="396" t="s">
        <v>363</v>
      </c>
      <c r="J47" s="5" t="s">
        <v>135</v>
      </c>
      <c r="L47" s="403">
        <v>3.0</v>
      </c>
      <c r="M47" s="393">
        <f>'System Control &amp; Outputs'!$C$27*40*50</f>
        <v>73000</v>
      </c>
      <c r="N47" s="393">
        <f t="shared" si="30"/>
        <v>219000</v>
      </c>
      <c r="O47" s="392" t="s">
        <v>364</v>
      </c>
      <c r="P47" s="5">
        <f t="shared" si="31"/>
        <v>36.5</v>
      </c>
      <c r="Q47" s="5"/>
    </row>
    <row r="48" ht="15.75" customHeight="1">
      <c r="B48" s="386" t="s">
        <v>322</v>
      </c>
      <c r="E48" s="387">
        <f>SUM(F43:F47)</f>
        <v>2897919.463</v>
      </c>
      <c r="H48" s="5"/>
      <c r="I48" s="5"/>
      <c r="J48" s="386" t="s">
        <v>365</v>
      </c>
      <c r="L48" s="367">
        <f>SUM(L43:L47)</f>
        <v>7</v>
      </c>
      <c r="M48" s="404"/>
      <c r="N48" s="387">
        <f>SUM(N43:N47)</f>
        <v>839500</v>
      </c>
      <c r="O48" s="5"/>
      <c r="P48" s="5"/>
      <c r="Q48" s="5"/>
    </row>
    <row r="49" ht="15.75" customHeight="1">
      <c r="B49" s="5"/>
      <c r="C49" s="5"/>
      <c r="D49" s="5"/>
      <c r="E49" s="5"/>
      <c r="F49" s="5"/>
      <c r="G49" s="5"/>
      <c r="H49" s="5"/>
      <c r="I49" s="396" t="s">
        <v>363</v>
      </c>
      <c r="J49" s="5" t="s">
        <v>136</v>
      </c>
      <c r="L49" s="403">
        <f>L47*2</f>
        <v>6</v>
      </c>
      <c r="M49" s="393">
        <f>'System Control &amp; Outputs'!$C$27*40*50</f>
        <v>73000</v>
      </c>
      <c r="N49" s="393">
        <f>M49*L49</f>
        <v>438000</v>
      </c>
      <c r="O49" s="392" t="s">
        <v>364</v>
      </c>
      <c r="P49" s="5"/>
      <c r="Q49" s="5"/>
    </row>
    <row r="50" ht="15.75" customHeight="1">
      <c r="B50" s="5"/>
      <c r="C50" s="5"/>
      <c r="D50" s="5"/>
      <c r="E50" s="5"/>
      <c r="F50" s="5"/>
      <c r="G50" s="5"/>
      <c r="H50" s="5"/>
      <c r="I50" s="5"/>
      <c r="J50" s="386" t="s">
        <v>366</v>
      </c>
      <c r="L50" s="367">
        <f>SUM(L43:L46)+L49</f>
        <v>10</v>
      </c>
      <c r="M50" s="404"/>
      <c r="N50" s="387">
        <f>SUM(N43:N46)+N49</f>
        <v>1058500</v>
      </c>
      <c r="O50" s="5"/>
      <c r="P50" s="5"/>
      <c r="Q50" s="5"/>
    </row>
    <row r="51" ht="15.75" customHeight="1">
      <c r="B51" s="366" t="s">
        <v>367</v>
      </c>
      <c r="C51" s="366"/>
      <c r="D51" s="366"/>
      <c r="E51" s="366"/>
      <c r="F51" s="36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ht="15.75" customHeight="1">
      <c r="B52" s="367" t="s">
        <v>291</v>
      </c>
      <c r="C52" s="368" t="s">
        <v>292</v>
      </c>
      <c r="D52" s="351" t="s">
        <v>368</v>
      </c>
      <c r="E52" s="351" t="s">
        <v>352</v>
      </c>
      <c r="F52" s="351" t="s">
        <v>353</v>
      </c>
      <c r="G52" s="351" t="s">
        <v>297</v>
      </c>
      <c r="H52" s="5"/>
      <c r="I52" s="5"/>
      <c r="J52" s="5"/>
      <c r="K52" s="5"/>
      <c r="L52" s="5"/>
      <c r="M52" s="5"/>
      <c r="N52" s="5"/>
      <c r="O52" s="5"/>
      <c r="P52" s="5"/>
      <c r="Q52" s="5"/>
    </row>
    <row r="53" ht="15.75" customHeight="1">
      <c r="B53" s="292">
        <v>1.0</v>
      </c>
      <c r="C53" s="398" t="s">
        <v>300</v>
      </c>
      <c r="D53" s="369" t="s">
        <v>304</v>
      </c>
      <c r="E53" s="400">
        <f>'Inputs Details'!N7</f>
        <v>0</v>
      </c>
      <c r="F53" s="405">
        <f>'Inputs Details'!O7</f>
        <v>0</v>
      </c>
      <c r="G53" s="401">
        <f t="shared" ref="G53:G63" si="33">F53/E$64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</row>
    <row r="54" ht="15.75" customHeight="1">
      <c r="B54" s="292">
        <f t="shared" ref="B54:B63" si="34">B53+1</f>
        <v>2</v>
      </c>
      <c r="C54" s="398" t="s">
        <v>302</v>
      </c>
      <c r="D54" s="355" t="s">
        <v>369</v>
      </c>
      <c r="E54" s="406">
        <f>'Inputs Details'!N11</f>
        <v>13083.79108</v>
      </c>
      <c r="F54" s="407">
        <f>'Inputs Details'!O11</f>
        <v>20934.06574</v>
      </c>
      <c r="G54" s="401">
        <f t="shared" si="33"/>
        <v>0.5436779783</v>
      </c>
      <c r="H54" s="5"/>
      <c r="I54" s="5"/>
      <c r="J54" s="5"/>
      <c r="K54" s="5"/>
      <c r="L54" s="5"/>
      <c r="M54" s="5"/>
      <c r="N54" s="5"/>
      <c r="O54" s="5"/>
      <c r="P54" s="5"/>
      <c r="Q54" s="5"/>
    </row>
    <row r="55" ht="15.75" customHeight="1">
      <c r="B55" s="292">
        <f t="shared" si="34"/>
        <v>3</v>
      </c>
      <c r="C55" s="398" t="s">
        <v>305</v>
      </c>
      <c r="D55" s="355" t="s">
        <v>370</v>
      </c>
      <c r="E55" s="406">
        <f>'Inputs Details'!N15</f>
        <v>39600</v>
      </c>
      <c r="F55" s="407">
        <f>'Inputs Details'!O15</f>
        <v>15935.04</v>
      </c>
      <c r="G55" s="401">
        <f t="shared" si="33"/>
        <v>0.4138484345</v>
      </c>
      <c r="H55" s="5"/>
      <c r="I55" s="5"/>
      <c r="J55" s="5"/>
      <c r="K55" s="5"/>
      <c r="L55" s="5"/>
      <c r="M55" s="5"/>
      <c r="N55" s="5"/>
      <c r="O55" s="5"/>
      <c r="P55" s="5"/>
      <c r="Q55" s="5"/>
    </row>
    <row r="56" ht="15.75" customHeight="1">
      <c r="B56" s="292">
        <f t="shared" si="34"/>
        <v>4</v>
      </c>
      <c r="C56" s="398" t="s">
        <v>307</v>
      </c>
      <c r="D56" s="355" t="s">
        <v>304</v>
      </c>
      <c r="E56" s="406">
        <f>'Inputs Details'!N19</f>
        <v>0</v>
      </c>
      <c r="F56" s="407">
        <f>'Inputs Details'!O19</f>
        <v>0</v>
      </c>
      <c r="G56" s="401">
        <f t="shared" si="3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</row>
    <row r="57" ht="15.75" customHeight="1">
      <c r="B57" s="292">
        <f t="shared" si="34"/>
        <v>5</v>
      </c>
      <c r="C57" s="398" t="s">
        <v>309</v>
      </c>
      <c r="D57" s="355" t="s">
        <v>369</v>
      </c>
      <c r="E57" s="406">
        <f>'Inputs Details'!N23</f>
        <v>991.1962943</v>
      </c>
      <c r="F57" s="407">
        <f>'Inputs Details'!O23</f>
        <v>1585.914071</v>
      </c>
      <c r="G57" s="401">
        <f t="shared" si="33"/>
        <v>0.04118772563</v>
      </c>
      <c r="H57" s="5"/>
      <c r="I57" s="5"/>
      <c r="J57" s="5"/>
      <c r="K57" s="5"/>
      <c r="L57" s="5"/>
      <c r="M57" s="5"/>
      <c r="N57" s="5"/>
      <c r="O57" s="5"/>
      <c r="P57" s="5"/>
      <c r="Q57" s="5"/>
    </row>
    <row r="58" ht="15.75" customHeight="1">
      <c r="B58" s="292">
        <f t="shared" si="34"/>
        <v>6</v>
      </c>
      <c r="C58" s="398" t="s">
        <v>311</v>
      </c>
      <c r="D58" s="355" t="s">
        <v>304</v>
      </c>
      <c r="E58" s="406">
        <f>'Inputs Details'!N27</f>
        <v>0</v>
      </c>
      <c r="F58" s="407">
        <f>'Inputs Details'!O27</f>
        <v>0</v>
      </c>
      <c r="G58" s="401">
        <f t="shared" si="3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15.75" customHeight="1">
      <c r="B59" s="292">
        <f t="shared" si="34"/>
        <v>7</v>
      </c>
      <c r="C59" s="398" t="s">
        <v>313</v>
      </c>
      <c r="D59" s="355" t="s">
        <v>304</v>
      </c>
      <c r="E59" s="406">
        <f>'Inputs Details'!N31</f>
        <v>0</v>
      </c>
      <c r="F59" s="407">
        <f>'Inputs Details'!O31</f>
        <v>0</v>
      </c>
      <c r="G59" s="401">
        <f t="shared" si="3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15.75" customHeight="1">
      <c r="B60" s="292">
        <f t="shared" si="34"/>
        <v>8</v>
      </c>
      <c r="C60" s="398" t="s">
        <v>315</v>
      </c>
      <c r="D60" s="369" t="s">
        <v>304</v>
      </c>
      <c r="E60" s="400">
        <f>'Inputs Details'!N35</f>
        <v>0</v>
      </c>
      <c r="F60" s="405">
        <f>'Inputs Details'!O35</f>
        <v>0</v>
      </c>
      <c r="G60" s="401">
        <f t="shared" si="3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15.75" customHeight="1">
      <c r="B61" s="292">
        <f t="shared" si="34"/>
        <v>9</v>
      </c>
      <c r="C61" s="398" t="s">
        <v>317</v>
      </c>
      <c r="D61" s="369" t="s">
        <v>370</v>
      </c>
      <c r="E61" s="400">
        <f>'Inputs Details'!N39</f>
        <v>123.0405</v>
      </c>
      <c r="F61" s="405">
        <f>'Inputs Details'!O39</f>
        <v>49.5114972</v>
      </c>
      <c r="G61" s="401">
        <f t="shared" si="33"/>
        <v>0.001285861573</v>
      </c>
      <c r="H61" s="5"/>
      <c r="I61" s="5"/>
      <c r="J61" s="5"/>
      <c r="K61" s="5"/>
      <c r="L61" s="5"/>
      <c r="M61" s="5"/>
      <c r="N61" s="5"/>
      <c r="O61" s="5"/>
      <c r="P61" s="5"/>
      <c r="Q61" s="5"/>
    </row>
    <row r="62" ht="15.75" customHeight="1">
      <c r="B62" s="292">
        <f t="shared" si="34"/>
        <v>10</v>
      </c>
      <c r="C62" s="398" t="s">
        <v>371</v>
      </c>
      <c r="D62" s="369" t="s">
        <v>304</v>
      </c>
      <c r="E62" s="400">
        <v>0.0</v>
      </c>
      <c r="F62" s="405">
        <v>0.0</v>
      </c>
      <c r="G62" s="401">
        <f t="shared" si="33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</row>
    <row r="63" ht="15.75" customHeight="1">
      <c r="B63" s="292">
        <f t="shared" si="34"/>
        <v>11</v>
      </c>
      <c r="C63" s="398" t="s">
        <v>372</v>
      </c>
      <c r="D63" s="369" t="s">
        <v>304</v>
      </c>
      <c r="E63" s="400">
        <v>0.0</v>
      </c>
      <c r="F63" s="405">
        <v>0.0</v>
      </c>
      <c r="G63" s="401">
        <f t="shared" si="33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</row>
    <row r="64" ht="15.75" customHeight="1">
      <c r="B64" s="386" t="s">
        <v>322</v>
      </c>
      <c r="E64" s="387">
        <f>SUM(F53:F63)</f>
        <v>38504.5313</v>
      </c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15.75" customHeight="1">
      <c r="B65" s="5" t="s">
        <v>373</v>
      </c>
      <c r="E65" s="408">
        <f>SUM(E55,E61)</f>
        <v>39723.0405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15.75" customHeight="1">
      <c r="B66" s="5" t="s">
        <v>100</v>
      </c>
      <c r="E66" s="408">
        <f>SUM(E54,E57)</f>
        <v>14074.98738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5.75" customHeight="1">
      <c r="B68" s="366" t="s">
        <v>374</v>
      </c>
      <c r="C68" s="366"/>
      <c r="D68" s="366"/>
      <c r="E68" s="366"/>
      <c r="F68" s="36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5.75" customHeight="1">
      <c r="B69" s="367" t="s">
        <v>291</v>
      </c>
      <c r="C69" s="368" t="s">
        <v>292</v>
      </c>
      <c r="D69" s="368" t="s">
        <v>375</v>
      </c>
      <c r="E69" s="351" t="s">
        <v>376</v>
      </c>
      <c r="F69" s="351" t="s">
        <v>353</v>
      </c>
      <c r="G69" s="351" t="s">
        <v>297</v>
      </c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5.75" customHeight="1">
      <c r="B70" s="409">
        <v>1.0</v>
      </c>
      <c r="C70" s="410" t="s">
        <v>300</v>
      </c>
      <c r="D70" s="410" t="s">
        <v>21</v>
      </c>
      <c r="E70" s="411">
        <v>0.03</v>
      </c>
      <c r="F70" s="412">
        <f t="shared" ref="F70:F79" si="35">G6*E70</f>
        <v>40599.96162</v>
      </c>
      <c r="G70" s="413">
        <f t="shared" ref="G70:G81" si="36">F70/E$82</f>
        <v>0.2920461943</v>
      </c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5.75" customHeight="1">
      <c r="B71" s="414">
        <f t="shared" ref="B71:B81" si="37">B70+1</f>
        <v>2</v>
      </c>
      <c r="C71" s="415" t="s">
        <v>302</v>
      </c>
      <c r="D71" s="415" t="s">
        <v>377</v>
      </c>
      <c r="E71" s="416">
        <v>0.05</v>
      </c>
      <c r="F71" s="417">
        <f t="shared" si="35"/>
        <v>269.1426</v>
      </c>
      <c r="G71" s="418">
        <f t="shared" si="36"/>
        <v>0.001936013457</v>
      </c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5.75" customHeight="1">
      <c r="B72" s="409">
        <f t="shared" si="37"/>
        <v>3</v>
      </c>
      <c r="C72" s="410" t="s">
        <v>305</v>
      </c>
      <c r="D72" s="410" t="s">
        <v>22</v>
      </c>
      <c r="E72" s="411">
        <v>0.07</v>
      </c>
      <c r="F72" s="412">
        <f t="shared" si="35"/>
        <v>34145.65</v>
      </c>
      <c r="G72" s="413">
        <f t="shared" si="36"/>
        <v>0.2456186345</v>
      </c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5.75" customHeight="1">
      <c r="B73" s="414">
        <f t="shared" si="37"/>
        <v>4</v>
      </c>
      <c r="C73" s="415" t="s">
        <v>307</v>
      </c>
      <c r="D73" s="415" t="s">
        <v>21</v>
      </c>
      <c r="E73" s="416">
        <v>0.03</v>
      </c>
      <c r="F73" s="417">
        <f t="shared" si="35"/>
        <v>10149.99041</v>
      </c>
      <c r="G73" s="418">
        <f t="shared" si="36"/>
        <v>0.07301154857</v>
      </c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5.75" customHeight="1">
      <c r="B74" s="409">
        <f t="shared" si="37"/>
        <v>5</v>
      </c>
      <c r="C74" s="410" t="s">
        <v>309</v>
      </c>
      <c r="D74" s="410" t="s">
        <v>377</v>
      </c>
      <c r="E74" s="411">
        <v>0.05</v>
      </c>
      <c r="F74" s="412">
        <f t="shared" si="35"/>
        <v>60.20295</v>
      </c>
      <c r="G74" s="413">
        <f t="shared" si="36"/>
        <v>0.0004330556416</v>
      </c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5.75" customHeight="1">
      <c r="B75" s="414">
        <f t="shared" si="37"/>
        <v>6</v>
      </c>
      <c r="C75" s="415" t="s">
        <v>311</v>
      </c>
      <c r="D75" s="415" t="s">
        <v>21</v>
      </c>
      <c r="E75" s="416">
        <v>0.03</v>
      </c>
      <c r="F75" s="417">
        <f t="shared" si="35"/>
        <v>521.64</v>
      </c>
      <c r="G75" s="418">
        <f t="shared" si="36"/>
        <v>0.003752293615</v>
      </c>
      <c r="H75" s="5"/>
      <c r="I75" s="5"/>
      <c r="J75" s="5"/>
      <c r="K75" s="5"/>
      <c r="L75" s="5"/>
      <c r="M75" s="5"/>
      <c r="N75" s="5"/>
      <c r="O75" s="5"/>
      <c r="P75" s="5"/>
      <c r="Q75" s="5"/>
    </row>
    <row r="76" ht="15.75" customHeight="1">
      <c r="B76" s="409">
        <f t="shared" si="37"/>
        <v>7</v>
      </c>
      <c r="C76" s="410" t="s">
        <v>313</v>
      </c>
      <c r="D76" s="410" t="s">
        <v>21</v>
      </c>
      <c r="E76" s="411">
        <v>0.03</v>
      </c>
      <c r="F76" s="412">
        <f t="shared" si="35"/>
        <v>121.095</v>
      </c>
      <c r="G76" s="413">
        <f t="shared" si="36"/>
        <v>0.0008710681607</v>
      </c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15.75" customHeight="1">
      <c r="B77" s="414">
        <f t="shared" si="37"/>
        <v>8</v>
      </c>
      <c r="C77" s="415" t="s">
        <v>315</v>
      </c>
      <c r="D77" s="415" t="s">
        <v>21</v>
      </c>
      <c r="E77" s="416">
        <v>0.03</v>
      </c>
      <c r="F77" s="417">
        <f t="shared" si="35"/>
        <v>59.33655</v>
      </c>
      <c r="G77" s="418">
        <f t="shared" si="36"/>
        <v>0.0004268233987</v>
      </c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15.75" customHeight="1">
      <c r="B78" s="409">
        <f t="shared" si="37"/>
        <v>9</v>
      </c>
      <c r="C78" s="410" t="s">
        <v>317</v>
      </c>
      <c r="D78" s="410" t="s">
        <v>377</v>
      </c>
      <c r="E78" s="411">
        <v>0.05</v>
      </c>
      <c r="F78" s="412">
        <f t="shared" si="35"/>
        <v>2530.90275</v>
      </c>
      <c r="G78" s="413">
        <f t="shared" si="36"/>
        <v>0.01820544864</v>
      </c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15.75" customHeight="1">
      <c r="B79" s="414">
        <f t="shared" si="37"/>
        <v>10</v>
      </c>
      <c r="C79" s="415" t="s">
        <v>378</v>
      </c>
      <c r="D79" s="415" t="s">
        <v>377</v>
      </c>
      <c r="E79" s="416">
        <v>0.05</v>
      </c>
      <c r="F79" s="417">
        <f t="shared" si="35"/>
        <v>31600.65615</v>
      </c>
      <c r="G79" s="418">
        <f t="shared" si="36"/>
        <v>0.2273118249</v>
      </c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15.75" customHeight="1">
      <c r="B80" s="409">
        <f t="shared" si="37"/>
        <v>11</v>
      </c>
      <c r="C80" s="410" t="s">
        <v>371</v>
      </c>
      <c r="D80" s="410" t="s">
        <v>21</v>
      </c>
      <c r="E80" s="411">
        <v>0.03</v>
      </c>
      <c r="F80" s="412">
        <f t="shared" ref="F80:F81" si="38">G15*E80</f>
        <v>18960.39369</v>
      </c>
      <c r="G80" s="413">
        <f t="shared" si="36"/>
        <v>0.1363870949</v>
      </c>
      <c r="H80" s="5"/>
      <c r="I80" s="5"/>
      <c r="J80" s="5"/>
      <c r="K80" s="5"/>
      <c r="L80" s="5"/>
      <c r="M80" s="5"/>
      <c r="N80" s="5"/>
      <c r="O80" s="5"/>
      <c r="P80" s="5"/>
      <c r="Q80" s="5"/>
    </row>
    <row r="81" ht="15.75" customHeight="1">
      <c r="B81" s="414">
        <f t="shared" si="37"/>
        <v>12</v>
      </c>
      <c r="C81" s="415" t="s">
        <v>372</v>
      </c>
      <c r="D81" s="415" t="s">
        <v>21</v>
      </c>
      <c r="E81" s="416">
        <v>0.03</v>
      </c>
      <c r="F81" s="417">
        <f t="shared" si="38"/>
        <v>0</v>
      </c>
      <c r="G81" s="418">
        <f t="shared" si="36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15.75" customHeight="1">
      <c r="B82" s="386" t="s">
        <v>322</v>
      </c>
      <c r="E82" s="387">
        <f>SUM(F70:F81)</f>
        <v>139018.9717</v>
      </c>
      <c r="H82" s="5"/>
      <c r="I82" s="5"/>
      <c r="J82" s="5"/>
      <c r="K82" s="5"/>
      <c r="L82" s="5"/>
      <c r="M82" s="5"/>
      <c r="N82" s="5"/>
      <c r="O82" s="5"/>
      <c r="P82" s="5"/>
      <c r="Q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ht="15.75" customHeight="1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ht="15.75" customHeight="1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ht="15.75" customHeight="1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ht="15.75" customHeight="1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ht="15.75" customHeight="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ht="15.75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ht="15.75" customHeight="1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ht="15.75" customHeight="1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ht="15.75" customHeight="1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ht="15.75" customHeight="1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ht="15.75" customHeight="1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ht="15.75" customHeight="1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ht="15.75" customHeight="1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ht="15.75" customHeight="1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ht="15.75" customHeight="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ht="15.75" customHeight="1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ht="15.75" customHeight="1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ht="15.75" customHeight="1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ht="15.75" customHeight="1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ht="15.75" customHeight="1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ht="15.75" customHeight="1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ht="15.75" customHeight="1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ht="15.75" customHeight="1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ht="15.75" customHeight="1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ht="15.7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ht="15.75" customHeight="1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ht="15.75" customHeight="1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ht="15.75" customHeight="1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ht="15.75" customHeight="1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ht="15.75" customHeight="1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ht="15.75" customHeight="1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ht="15.75" customHeight="1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ht="15.75" customHeight="1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ht="15.75" customHeight="1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ht="15.7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ht="15.75" customHeight="1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ht="15.75" customHeight="1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ht="15.75" customHeight="1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ht="15.75" customHeight="1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ht="15.75" customHeight="1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ht="15.75" customHeight="1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ht="15.75" customHeight="1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ht="15.75" customHeight="1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ht="15.75" customHeight="1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ht="15.7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ht="15.75" customHeight="1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ht="15.75" customHeight="1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ht="15.75" customHeight="1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ht="15.75" customHeight="1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ht="15.75" customHeight="1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ht="15.75" customHeight="1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ht="15.75" customHeight="1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ht="15.75" customHeight="1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ht="15.75" customHeight="1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ht="15.7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ht="15.75" customHeight="1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ht="15.75" customHeight="1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ht="15.75" customHeight="1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ht="15.75" customHeight="1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ht="15.75" customHeight="1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ht="15.75" customHeight="1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ht="15.75" customHeight="1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ht="15.75" customHeight="1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ht="15.75" customHeight="1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ht="15.75" customHeight="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ht="15.75" customHeight="1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ht="15.75" customHeight="1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ht="15.75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ht="15.75" customHeight="1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ht="15.75" customHeight="1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ht="15.75" customHeight="1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ht="15.75" customHeight="1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ht="15.75" customHeight="1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ht="15.75" customHeight="1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ht="15.75" customHeight="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ht="15.75" customHeight="1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ht="15.75" customHeight="1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ht="15.75" customHeight="1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ht="15.75" customHeight="1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ht="15.75" customHeight="1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ht="15.75" customHeight="1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ht="15.75" customHeight="1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ht="15.75" customHeight="1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ht="15.75" customHeight="1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5.75" customHeight="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ht="15.75" customHeight="1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ht="15.75" customHeight="1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ht="15.75" customHeight="1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ht="15.75" customHeight="1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ht="15.75" customHeight="1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ht="15.75" customHeight="1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ht="15.75" customHeight="1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ht="15.75" customHeight="1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ht="15.75" customHeight="1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ht="15.75" customHeight="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ht="15.75" customHeight="1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ht="15.75" customHeight="1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ht="15.75" customHeight="1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ht="15.75" customHeight="1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ht="15.75" customHeight="1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ht="15.75" customHeight="1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ht="15.75" customHeight="1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ht="15.75" customHeight="1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ht="15.75" customHeight="1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ht="15.75" customHeight="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ht="15.75" customHeight="1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ht="15.75" customHeight="1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ht="15.75" customHeight="1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ht="15.75" customHeight="1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ht="15.75" customHeight="1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ht="15.75" customHeight="1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ht="15.75" customHeight="1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ht="15.75" customHeight="1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ht="15.75" customHeight="1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ht="15.75" customHeight="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ht="15.75" customHeight="1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ht="15.75" customHeight="1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ht="15.75" customHeight="1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ht="15.75" customHeight="1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ht="15.75" customHeight="1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ht="15.75" customHeight="1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ht="15.75" customHeight="1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ht="15.75" customHeight="1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ht="15.75" customHeight="1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ht="15.75" customHeight="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ht="15.75" customHeight="1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ht="15.75" customHeight="1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ht="15.75" customHeight="1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ht="15.75" customHeight="1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ht="15.75" customHeight="1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ht="15.75" customHeight="1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ht="15.75" customHeight="1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ht="15.75" customHeight="1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ht="15.75" customHeight="1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ht="15.75" customHeight="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ht="15.75" customHeight="1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2:Q2"/>
    <mergeCell ref="J4:Q4"/>
    <mergeCell ref="J5:K6"/>
    <mergeCell ref="L5:M5"/>
    <mergeCell ref="N5:O5"/>
    <mergeCell ref="P5:Q5"/>
    <mergeCell ref="N8:O8"/>
    <mergeCell ref="B17:E17"/>
    <mergeCell ref="F17:H17"/>
    <mergeCell ref="J23:M23"/>
    <mergeCell ref="J26:K26"/>
    <mergeCell ref="J27:K27"/>
    <mergeCell ref="J29:K29"/>
    <mergeCell ref="J30:K30"/>
    <mergeCell ref="J31:K31"/>
    <mergeCell ref="J32:K32"/>
    <mergeCell ref="J33:K33"/>
    <mergeCell ref="J34:M34"/>
    <mergeCell ref="J35:M35"/>
    <mergeCell ref="B39:N39"/>
    <mergeCell ref="J41:K41"/>
    <mergeCell ref="J47:K47"/>
    <mergeCell ref="J48:K48"/>
    <mergeCell ref="J49:K49"/>
    <mergeCell ref="J50:K50"/>
    <mergeCell ref="B64:D64"/>
    <mergeCell ref="E64:G64"/>
    <mergeCell ref="B65:D65"/>
    <mergeCell ref="B66:D66"/>
    <mergeCell ref="B82:D82"/>
    <mergeCell ref="E82:G82"/>
    <mergeCell ref="J42:K42"/>
    <mergeCell ref="J43:K43"/>
    <mergeCell ref="J44:K44"/>
    <mergeCell ref="J45:K45"/>
    <mergeCell ref="J46:K46"/>
    <mergeCell ref="B48:D48"/>
    <mergeCell ref="E48:G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16.13"/>
    <col customWidth="1" min="15" max="15" width="13.88"/>
  </cols>
  <sheetData>
    <row r="1" ht="15.75" customHeight="1">
      <c r="A1" s="334"/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6"/>
    </row>
    <row r="2" ht="15.75" customHeight="1">
      <c r="A2" s="334"/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419" t="s">
        <v>379</v>
      </c>
      <c r="M2" s="420" t="s">
        <v>380</v>
      </c>
      <c r="P2" s="334"/>
      <c r="Q2" s="336"/>
    </row>
    <row r="3" ht="15.75" customHeight="1">
      <c r="A3" s="334"/>
      <c r="B3" s="421" t="s">
        <v>381</v>
      </c>
      <c r="G3" s="334"/>
      <c r="H3" s="334"/>
      <c r="I3" s="334"/>
      <c r="J3" s="334"/>
      <c r="K3" s="334"/>
      <c r="M3" s="422" t="s">
        <v>382</v>
      </c>
      <c r="N3" s="422" t="s">
        <v>383</v>
      </c>
      <c r="O3" s="422" t="s">
        <v>384</v>
      </c>
      <c r="P3" s="422" t="s">
        <v>385</v>
      </c>
      <c r="Q3" s="423" t="s">
        <v>386</v>
      </c>
    </row>
    <row r="4" ht="15.75" customHeight="1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424">
        <v>0.7</v>
      </c>
      <c r="N4" s="424">
        <v>0.95</v>
      </c>
      <c r="O4" s="424">
        <v>0.35</v>
      </c>
      <c r="P4" s="334">
        <v>3.6</v>
      </c>
      <c r="Q4" s="336">
        <v>38.4</v>
      </c>
    </row>
    <row r="5" ht="15.75" customHeight="1">
      <c r="A5" s="334"/>
      <c r="B5" s="425" t="s">
        <v>387</v>
      </c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6"/>
    </row>
    <row r="6" ht="15.75" customHeight="1">
      <c r="A6" s="334"/>
      <c r="B6" s="354" t="s">
        <v>388</v>
      </c>
      <c r="C6" s="354" t="s">
        <v>389</v>
      </c>
      <c r="D6" s="354" t="s">
        <v>390</v>
      </c>
      <c r="E6" s="354" t="s">
        <v>391</v>
      </c>
      <c r="F6" s="426" t="s">
        <v>392</v>
      </c>
      <c r="G6" s="336"/>
      <c r="H6" s="354" t="s">
        <v>393</v>
      </c>
      <c r="I6" s="354" t="s">
        <v>394</v>
      </c>
      <c r="J6" s="354" t="s">
        <v>395</v>
      </c>
      <c r="K6" s="334"/>
      <c r="L6" s="427" t="s">
        <v>396</v>
      </c>
      <c r="M6" s="354" t="s">
        <v>397</v>
      </c>
      <c r="N6" s="422" t="s">
        <v>398</v>
      </c>
      <c r="O6" s="354" t="s">
        <v>399</v>
      </c>
      <c r="P6" s="334"/>
      <c r="Q6" s="336"/>
    </row>
    <row r="7" ht="15.75" customHeight="1">
      <c r="A7" s="334"/>
      <c r="B7" s="346">
        <v>3.0</v>
      </c>
      <c r="C7" s="347">
        <v>4000.0</v>
      </c>
      <c r="D7" s="346" t="s">
        <v>400</v>
      </c>
      <c r="E7" s="428">
        <f>5700+700*(C7^0.7)</f>
        <v>238262.6856</v>
      </c>
      <c r="F7" s="428">
        <f>E7*1.42</f>
        <v>338333.0135</v>
      </c>
      <c r="G7" s="336"/>
      <c r="H7" s="347">
        <f>B7*'Water &amp; Nutrient Calcs'!$N$5</f>
        <v>14305.80272</v>
      </c>
      <c r="I7" s="346">
        <f>ROUNDUP(H7/C7)</f>
        <v>4</v>
      </c>
      <c r="J7" s="429">
        <f>F7*I7</f>
        <v>1353332.054</v>
      </c>
      <c r="K7" s="334"/>
      <c r="L7" s="430">
        <v>0.0</v>
      </c>
      <c r="M7" s="346">
        <f>B7*'Sys Volume &amp; Area'!$B$12</f>
        <v>990</v>
      </c>
      <c r="N7" s="346">
        <f>L7*M7</f>
        <v>0</v>
      </c>
      <c r="O7" s="346">
        <f>N7*'System Control &amp; Outputs'!$C$19</f>
        <v>0</v>
      </c>
      <c r="P7" s="334"/>
      <c r="Q7" s="336"/>
    </row>
    <row r="8" ht="15.75" customHeight="1">
      <c r="A8" s="334"/>
      <c r="B8" s="431"/>
      <c r="C8" s="431"/>
      <c r="D8" s="431"/>
      <c r="E8" s="431"/>
      <c r="F8" s="431"/>
      <c r="G8" s="431"/>
      <c r="H8" s="345"/>
      <c r="I8" s="346"/>
      <c r="J8" s="346"/>
      <c r="K8" s="334"/>
      <c r="L8" s="334"/>
      <c r="M8" s="334"/>
      <c r="N8" s="431"/>
      <c r="O8" s="334"/>
      <c r="P8" s="334"/>
      <c r="Q8" s="336"/>
    </row>
    <row r="9" ht="15.75" customHeight="1">
      <c r="A9" s="334"/>
      <c r="B9" s="425" t="s">
        <v>401</v>
      </c>
      <c r="C9" s="431"/>
      <c r="D9" s="431"/>
      <c r="E9" s="431"/>
      <c r="F9" s="431"/>
      <c r="G9" s="431"/>
      <c r="H9" s="345"/>
      <c r="I9" s="346"/>
      <c r="J9" s="346"/>
      <c r="K9" s="334"/>
      <c r="L9" s="334"/>
      <c r="M9" s="334"/>
      <c r="N9" s="431"/>
      <c r="O9" s="334"/>
      <c r="P9" s="334"/>
      <c r="Q9" s="336"/>
    </row>
    <row r="10" ht="15.75" customHeight="1">
      <c r="A10" s="334"/>
      <c r="B10" s="354" t="s">
        <v>402</v>
      </c>
      <c r="C10" s="432" t="s">
        <v>403</v>
      </c>
      <c r="D10" s="354" t="s">
        <v>390</v>
      </c>
      <c r="E10" s="354" t="s">
        <v>391</v>
      </c>
      <c r="F10" s="426" t="s">
        <v>392</v>
      </c>
      <c r="G10" s="431"/>
      <c r="H10" s="354" t="s">
        <v>404</v>
      </c>
      <c r="I10" s="354" t="s">
        <v>394</v>
      </c>
      <c r="J10" s="354" t="s">
        <v>395</v>
      </c>
      <c r="K10" s="334"/>
      <c r="L10" s="432" t="s">
        <v>396</v>
      </c>
      <c r="M10" s="354" t="s">
        <v>397</v>
      </c>
      <c r="N10" s="422" t="s">
        <v>405</v>
      </c>
      <c r="O10" s="354" t="s">
        <v>399</v>
      </c>
      <c r="P10" s="334"/>
      <c r="Q10" s="336"/>
    </row>
    <row r="11" ht="15.75" customHeight="1">
      <c r="A11" s="334"/>
      <c r="B11" s="346">
        <v>12.0</v>
      </c>
      <c r="C11" s="430">
        <f>150000/3600</f>
        <v>41.66666667</v>
      </c>
      <c r="D11" s="346" t="s">
        <v>406</v>
      </c>
      <c r="E11" s="428" t="s">
        <v>304</v>
      </c>
      <c r="F11" s="428">
        <f>1900*'System Control &amp; Outputs'!C49</f>
        <v>1345.713</v>
      </c>
      <c r="G11" s="431"/>
      <c r="H11" s="433">
        <f>(H7/(B7*I7))*1000/(B11*60*60)</f>
        <v>27.59607006</v>
      </c>
      <c r="I11" s="346">
        <f>I7</f>
        <v>4</v>
      </c>
      <c r="J11" s="429">
        <f>F11*I11</f>
        <v>5382.852</v>
      </c>
      <c r="K11" s="334"/>
      <c r="L11" s="430">
        <f>11*0.7457</f>
        <v>8.2027</v>
      </c>
      <c r="M11" s="346">
        <f>B11*'Sys Volume &amp; Area'!$B$12</f>
        <v>3960</v>
      </c>
      <c r="N11" s="347">
        <f>(L11*M11)*($P$4/$Q$4)/($M$4*$N$4*$O$4)</f>
        <v>13083.79108</v>
      </c>
      <c r="O11" s="429">
        <f>N11*'System Control &amp; Outputs'!$C$21</f>
        <v>20934.06574</v>
      </c>
      <c r="P11" s="334"/>
      <c r="Q11" s="336"/>
    </row>
    <row r="12" ht="15.75" customHeight="1">
      <c r="A12" s="334"/>
      <c r="B12" s="334"/>
      <c r="C12" s="334"/>
      <c r="D12" s="334"/>
      <c r="E12" s="334"/>
      <c r="F12" s="334"/>
      <c r="G12" s="334"/>
      <c r="H12" s="334"/>
      <c r="I12" s="431"/>
      <c r="J12" s="334"/>
      <c r="K12" s="334"/>
      <c r="L12" s="334"/>
      <c r="M12" s="334"/>
      <c r="N12" s="431"/>
      <c r="O12" s="334"/>
      <c r="P12" s="334"/>
      <c r="Q12" s="336"/>
    </row>
    <row r="13" ht="15.75" customHeight="1">
      <c r="A13" s="334"/>
      <c r="B13" s="425" t="s">
        <v>407</v>
      </c>
      <c r="C13" s="431"/>
      <c r="D13" s="431"/>
      <c r="E13" s="431"/>
      <c r="F13" s="431"/>
      <c r="G13" s="334"/>
      <c r="H13" s="334"/>
      <c r="I13" s="431"/>
      <c r="J13" s="334"/>
      <c r="K13" s="334"/>
      <c r="L13" s="334"/>
      <c r="M13" s="334"/>
      <c r="N13" s="431"/>
      <c r="O13" s="334"/>
      <c r="P13" s="334"/>
      <c r="Q13" s="336"/>
    </row>
    <row r="14" ht="15.75" customHeight="1">
      <c r="A14" s="334"/>
      <c r="B14" s="354" t="s">
        <v>402</v>
      </c>
      <c r="C14" s="432" t="s">
        <v>408</v>
      </c>
      <c r="D14" s="354" t="s">
        <v>390</v>
      </c>
      <c r="E14" s="354" t="s">
        <v>391</v>
      </c>
      <c r="F14" s="426" t="s">
        <v>392</v>
      </c>
      <c r="G14" s="334"/>
      <c r="H14" s="354" t="s">
        <v>409</v>
      </c>
      <c r="I14" s="354" t="s">
        <v>394</v>
      </c>
      <c r="J14" s="354" t="s">
        <v>395</v>
      </c>
      <c r="K14" s="334"/>
      <c r="L14" s="432" t="s">
        <v>396</v>
      </c>
      <c r="M14" s="354" t="s">
        <v>397</v>
      </c>
      <c r="N14" s="422" t="s">
        <v>398</v>
      </c>
      <c r="O14" s="354" t="s">
        <v>399</v>
      </c>
      <c r="P14" s="334"/>
      <c r="Q14" s="336"/>
    </row>
    <row r="15" ht="15.75" customHeight="1">
      <c r="A15" s="334"/>
      <c r="B15" s="346">
        <v>20.0</v>
      </c>
      <c r="C15" s="347">
        <v>40000.0</v>
      </c>
      <c r="D15" s="346" t="s">
        <v>410</v>
      </c>
      <c r="E15" s="428" t="s">
        <v>304</v>
      </c>
      <c r="F15" s="428">
        <v>44345.0</v>
      </c>
      <c r="G15" s="334"/>
      <c r="H15" s="434">
        <f>(($C$7/$B$7)*1000/(B15*60*60))*(3600/3.78541*24)</f>
        <v>422675.483</v>
      </c>
      <c r="I15" s="346">
        <f>ROUNDUP(H15/C15)</f>
        <v>11</v>
      </c>
      <c r="J15" s="429">
        <f>F15*I15</f>
        <v>487795</v>
      </c>
      <c r="K15" s="334"/>
      <c r="L15" s="430">
        <v>6.0</v>
      </c>
      <c r="M15" s="346">
        <f>B15*'Sys Volume &amp; Area'!$B$12</f>
        <v>6600</v>
      </c>
      <c r="N15" s="347">
        <f>L15*M15</f>
        <v>39600</v>
      </c>
      <c r="O15" s="429">
        <f>N15*'System Control &amp; Outputs'!$C$19</f>
        <v>15935.04</v>
      </c>
      <c r="P15" s="334"/>
      <c r="Q15" s="336"/>
    </row>
    <row r="16" ht="15.75" customHeight="1">
      <c r="A16" s="435"/>
      <c r="B16" s="436"/>
      <c r="C16" s="436"/>
      <c r="D16" s="436"/>
      <c r="E16" s="436"/>
      <c r="F16" s="436"/>
      <c r="G16" s="435"/>
      <c r="H16" s="435"/>
      <c r="I16" s="435"/>
      <c r="J16" s="435"/>
      <c r="K16" s="435"/>
      <c r="L16" s="437"/>
      <c r="M16" s="435"/>
      <c r="N16" s="435"/>
      <c r="O16" s="435"/>
      <c r="P16" s="435"/>
      <c r="Q16" s="437"/>
      <c r="R16" s="438"/>
      <c r="S16" s="438"/>
      <c r="T16" s="438"/>
      <c r="U16" s="438"/>
      <c r="V16" s="438"/>
      <c r="W16" s="438"/>
      <c r="X16" s="438"/>
      <c r="Y16" s="438"/>
      <c r="Z16" s="438"/>
    </row>
    <row r="17" ht="15.75" customHeight="1">
      <c r="A17" s="334"/>
      <c r="B17" s="425" t="s">
        <v>411</v>
      </c>
      <c r="C17" s="334"/>
      <c r="D17" s="334"/>
      <c r="E17" s="334"/>
      <c r="F17" s="334"/>
      <c r="G17" s="334"/>
      <c r="H17" s="439"/>
      <c r="I17" s="334"/>
      <c r="J17" s="334"/>
      <c r="K17" s="334"/>
      <c r="L17" s="334"/>
      <c r="M17" s="334"/>
      <c r="N17" s="334"/>
      <c r="O17" s="334"/>
      <c r="P17" s="334"/>
      <c r="Q17" s="336"/>
    </row>
    <row r="18" ht="15.75" customHeight="1">
      <c r="A18" s="334"/>
      <c r="B18" s="354" t="s">
        <v>388</v>
      </c>
      <c r="C18" s="354" t="s">
        <v>389</v>
      </c>
      <c r="D18" s="354" t="s">
        <v>390</v>
      </c>
      <c r="E18" s="354" t="s">
        <v>391</v>
      </c>
      <c r="F18" s="426" t="s">
        <v>392</v>
      </c>
      <c r="G18" s="431"/>
      <c r="H18" s="354" t="s">
        <v>393</v>
      </c>
      <c r="I18" s="354" t="s">
        <v>394</v>
      </c>
      <c r="J18" s="354" t="s">
        <v>395</v>
      </c>
      <c r="K18" s="334"/>
      <c r="L18" s="427" t="s">
        <v>396</v>
      </c>
      <c r="M18" s="354" t="s">
        <v>397</v>
      </c>
      <c r="N18" s="422" t="s">
        <v>398</v>
      </c>
      <c r="O18" s="354" t="s">
        <v>399</v>
      </c>
      <c r="P18" s="334"/>
      <c r="Q18" s="336"/>
    </row>
    <row r="19" ht="15.75" customHeight="1">
      <c r="A19" s="334"/>
      <c r="B19" s="346">
        <v>2.0</v>
      </c>
      <c r="C19" s="347">
        <v>4000.0</v>
      </c>
      <c r="D19" s="346" t="s">
        <v>400</v>
      </c>
      <c r="E19" s="428">
        <f>5700+700*(C19^0.7)</f>
        <v>238262.6856</v>
      </c>
      <c r="F19" s="428">
        <f>E19*1.42</f>
        <v>338333.0135</v>
      </c>
      <c r="G19" s="440"/>
      <c r="H19" s="347">
        <f>B19*'Water &amp; Nutrient Calcs'!N5/'Sys Volume &amp; Area'!C17</f>
        <v>9537.201813</v>
      </c>
      <c r="I19" s="346">
        <f>'Sys Volume &amp; Area'!C17</f>
        <v>1</v>
      </c>
      <c r="J19" s="429">
        <f>F19*I19</f>
        <v>338333.0135</v>
      </c>
      <c r="K19" s="334"/>
      <c r="L19" s="430">
        <v>0.0</v>
      </c>
      <c r="M19" s="346">
        <v>0.0</v>
      </c>
      <c r="N19" s="346">
        <f>L19*M19</f>
        <v>0</v>
      </c>
      <c r="O19" s="346">
        <f>N19*'System Control &amp; Outputs'!$C$19</f>
        <v>0</v>
      </c>
      <c r="P19" s="334"/>
      <c r="Q19" s="336"/>
    </row>
    <row r="20" ht="15.75" customHeight="1">
      <c r="A20" s="334"/>
      <c r="B20" s="431"/>
      <c r="C20" s="431"/>
      <c r="D20" s="431"/>
      <c r="E20" s="431"/>
      <c r="F20" s="431"/>
      <c r="G20" s="334"/>
      <c r="H20" s="334"/>
      <c r="I20" s="334"/>
      <c r="J20" s="334"/>
      <c r="K20" s="334"/>
      <c r="L20" s="334"/>
      <c r="M20" s="334"/>
      <c r="N20" s="334"/>
      <c r="O20" s="334"/>
      <c r="P20" s="334"/>
      <c r="Q20" s="336"/>
    </row>
    <row r="21" ht="15.75" customHeight="1">
      <c r="A21" s="334"/>
      <c r="B21" s="425" t="s">
        <v>412</v>
      </c>
      <c r="C21" s="431"/>
      <c r="D21" s="431"/>
      <c r="E21" s="431"/>
      <c r="F21" s="431"/>
      <c r="G21" s="334"/>
      <c r="H21" s="334"/>
      <c r="I21" s="334"/>
      <c r="J21" s="334"/>
      <c r="K21" s="334"/>
      <c r="L21" s="334"/>
      <c r="M21" s="334"/>
      <c r="N21" s="431"/>
      <c r="O21" s="334"/>
      <c r="P21" s="431"/>
      <c r="Q21" s="336"/>
    </row>
    <row r="22" ht="15.75" customHeight="1">
      <c r="A22" s="334"/>
      <c r="B22" s="354" t="s">
        <v>402</v>
      </c>
      <c r="C22" s="432" t="s">
        <v>403</v>
      </c>
      <c r="D22" s="354" t="s">
        <v>390</v>
      </c>
      <c r="E22" s="354" t="s">
        <v>391</v>
      </c>
      <c r="F22" s="426" t="s">
        <v>392</v>
      </c>
      <c r="G22" s="334"/>
      <c r="H22" s="354" t="s">
        <v>404</v>
      </c>
      <c r="I22" s="354" t="s">
        <v>394</v>
      </c>
      <c r="J22" s="354" t="s">
        <v>395</v>
      </c>
      <c r="K22" s="334"/>
      <c r="L22" s="432" t="s">
        <v>396</v>
      </c>
      <c r="M22" s="354" t="s">
        <v>397</v>
      </c>
      <c r="N22" s="422" t="s">
        <v>405</v>
      </c>
      <c r="O22" s="354" t="s">
        <v>399</v>
      </c>
      <c r="P22" s="440"/>
      <c r="Q22" s="336"/>
    </row>
    <row r="23" ht="15.75" customHeight="1">
      <c r="A23" s="334"/>
      <c r="B23" s="346">
        <v>1.0</v>
      </c>
      <c r="C23" s="430">
        <f>96000/3600</f>
        <v>26.66666667</v>
      </c>
      <c r="D23" s="346" t="s">
        <v>304</v>
      </c>
      <c r="E23" s="428" t="s">
        <v>304</v>
      </c>
      <c r="F23" s="428">
        <f>1700*'System Control &amp; Outputs'!C49</f>
        <v>1204.059</v>
      </c>
      <c r="G23" s="334"/>
      <c r="H23" s="433">
        <f>(H19/(B19*I19))*1000/(B23*60*60)</f>
        <v>1324.611363</v>
      </c>
      <c r="I23" s="346">
        <f>I19</f>
        <v>1</v>
      </c>
      <c r="J23" s="429">
        <f>F23*I23</f>
        <v>1204.059</v>
      </c>
      <c r="K23" s="334"/>
      <c r="L23" s="430">
        <f>10*0.7457</f>
        <v>7.457</v>
      </c>
      <c r="M23" s="346">
        <f>B23*'Sys Volume &amp; Area'!$B$12</f>
        <v>330</v>
      </c>
      <c r="N23" s="347">
        <f>(L23*M23)*($P$4/$Q$4)/($M$4*$N$4*$O$4)</f>
        <v>991.1962943</v>
      </c>
      <c r="O23" s="429">
        <f>N23*'System Control &amp; Outputs'!$C$21</f>
        <v>1585.914071</v>
      </c>
      <c r="P23" s="334"/>
      <c r="Q23" s="336"/>
    </row>
    <row r="24" ht="15.75" customHeight="1">
      <c r="A24" s="334"/>
      <c r="B24" s="334"/>
      <c r="C24" s="334"/>
      <c r="D24" s="334"/>
      <c r="E24" s="334"/>
      <c r="F24" s="334"/>
      <c r="G24" s="334"/>
      <c r="H24" s="441"/>
      <c r="I24" s="334"/>
      <c r="J24" s="334"/>
      <c r="K24" s="334"/>
      <c r="L24" s="334"/>
      <c r="M24" s="334"/>
      <c r="N24" s="334"/>
      <c r="O24" s="334"/>
      <c r="P24" s="334"/>
      <c r="Q24" s="336"/>
    </row>
    <row r="25" ht="15.75" customHeight="1">
      <c r="A25" s="334"/>
      <c r="B25" s="425" t="s">
        <v>413</v>
      </c>
      <c r="C25" s="334"/>
      <c r="D25" s="334"/>
      <c r="E25" s="334"/>
      <c r="F25" s="334"/>
      <c r="G25" s="334"/>
      <c r="H25" s="334"/>
      <c r="I25" s="334"/>
      <c r="J25" s="334"/>
      <c r="K25" s="334"/>
      <c r="L25" s="334"/>
      <c r="M25" s="334"/>
      <c r="N25" s="334"/>
      <c r="O25" s="334"/>
      <c r="P25" s="334"/>
      <c r="Q25" s="336"/>
    </row>
    <row r="26" ht="15.75" customHeight="1">
      <c r="A26" s="334"/>
      <c r="B26" s="354" t="s">
        <v>388</v>
      </c>
      <c r="C26" s="422" t="s">
        <v>414</v>
      </c>
      <c r="D26" s="422" t="s">
        <v>415</v>
      </c>
      <c r="E26" s="354" t="s">
        <v>391</v>
      </c>
      <c r="F26" s="426" t="s">
        <v>392</v>
      </c>
      <c r="G26" s="334"/>
      <c r="H26" s="354" t="s">
        <v>416</v>
      </c>
      <c r="I26" s="354" t="s">
        <v>394</v>
      </c>
      <c r="J26" s="354" t="s">
        <v>395</v>
      </c>
      <c r="K26" s="334"/>
      <c r="L26" s="427" t="s">
        <v>396</v>
      </c>
      <c r="M26" s="354" t="s">
        <v>397</v>
      </c>
      <c r="N26" s="422" t="s">
        <v>398</v>
      </c>
      <c r="O26" s="354" t="s">
        <v>399</v>
      </c>
      <c r="P26" s="334"/>
      <c r="Q26" s="336"/>
    </row>
    <row r="27" ht="15.75" customHeight="1">
      <c r="A27" s="334"/>
      <c r="B27" s="346">
        <v>30.0</v>
      </c>
      <c r="C27" s="346">
        <v>2.11</v>
      </c>
      <c r="D27" s="442">
        <v>160.0</v>
      </c>
      <c r="E27" s="336" t="s">
        <v>304</v>
      </c>
      <c r="F27" s="428">
        <v>504.0</v>
      </c>
      <c r="G27" s="334"/>
      <c r="H27" s="430">
        <f>'Water &amp; Nutrient Calcs'!O12*B27*1000/C27/I27*0.2641720524</f>
        <v>41.70569235</v>
      </c>
      <c r="I27" s="346">
        <f>'Sys Volume &amp; Area'!$E$17/2</f>
        <v>34.5</v>
      </c>
      <c r="J27" s="429">
        <f>F27*I27</f>
        <v>17388</v>
      </c>
      <c r="K27" s="334"/>
      <c r="L27" s="430">
        <v>0.0</v>
      </c>
      <c r="M27" s="346">
        <v>0.0</v>
      </c>
      <c r="N27" s="346">
        <f>L27*M27</f>
        <v>0</v>
      </c>
      <c r="O27" s="346">
        <f>N27*'System Control &amp; Outputs'!$C$19</f>
        <v>0</v>
      </c>
      <c r="P27" s="334"/>
      <c r="Q27" s="336"/>
    </row>
    <row r="28" ht="15.75" customHeight="1">
      <c r="A28" s="334"/>
      <c r="B28" s="334"/>
      <c r="C28" s="334"/>
      <c r="D28" s="334"/>
      <c r="E28" s="334"/>
      <c r="F28" s="334"/>
      <c r="G28" s="334"/>
      <c r="H28" s="334"/>
      <c r="I28" s="334"/>
      <c r="J28" s="334"/>
      <c r="K28" s="334"/>
      <c r="L28" s="334"/>
      <c r="M28" s="334"/>
      <c r="N28" s="334"/>
      <c r="O28" s="334"/>
      <c r="P28" s="334"/>
      <c r="Q28" s="336"/>
    </row>
    <row r="29" ht="15.75" customHeight="1">
      <c r="A29" s="334"/>
      <c r="B29" s="425" t="s">
        <v>417</v>
      </c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6"/>
    </row>
    <row r="30" ht="15.75" customHeight="1">
      <c r="A30" s="334"/>
      <c r="B30" s="354" t="s">
        <v>388</v>
      </c>
      <c r="C30" s="422" t="s">
        <v>414</v>
      </c>
      <c r="D30" s="422" t="s">
        <v>415</v>
      </c>
      <c r="E30" s="354" t="s">
        <v>391</v>
      </c>
      <c r="F30" s="426" t="s">
        <v>392</v>
      </c>
      <c r="G30" s="334"/>
      <c r="H30" s="354" t="s">
        <v>416</v>
      </c>
      <c r="I30" s="354" t="s">
        <v>394</v>
      </c>
      <c r="J30" s="354" t="s">
        <v>395</v>
      </c>
      <c r="K30" s="334"/>
      <c r="L30" s="427" t="s">
        <v>396</v>
      </c>
      <c r="M30" s="354" t="s">
        <v>397</v>
      </c>
      <c r="N30" s="422" t="s">
        <v>398</v>
      </c>
      <c r="O30" s="354" t="s">
        <v>399</v>
      </c>
      <c r="P30" s="334"/>
      <c r="Q30" s="336"/>
    </row>
    <row r="31" ht="15.75" customHeight="1">
      <c r="A31" s="334"/>
      <c r="B31" s="346">
        <v>30.0</v>
      </c>
      <c r="C31" s="346">
        <v>1.62</v>
      </c>
      <c r="D31" s="443">
        <v>15.0</v>
      </c>
      <c r="E31" s="336" t="s">
        <v>304</v>
      </c>
      <c r="F31" s="428">
        <v>117.0</v>
      </c>
      <c r="G31" s="334"/>
      <c r="H31" s="430">
        <f>'Water &amp; Nutrient Calcs'!O13*B31*1000/C31/I31*0.2641720524</f>
        <v>3.92158121</v>
      </c>
      <c r="I31" s="346">
        <f>I27</f>
        <v>34.5</v>
      </c>
      <c r="J31" s="429">
        <f>F31*I31</f>
        <v>4036.5</v>
      </c>
      <c r="K31" s="334"/>
      <c r="L31" s="430">
        <v>0.0</v>
      </c>
      <c r="M31" s="346">
        <v>0.0</v>
      </c>
      <c r="N31" s="346">
        <f>L31*M31</f>
        <v>0</v>
      </c>
      <c r="O31" s="346">
        <f>N31*'System Control &amp; Outputs'!$C$19</f>
        <v>0</v>
      </c>
      <c r="P31" s="334"/>
      <c r="Q31" s="336"/>
    </row>
    <row r="32" ht="15.75" customHeight="1">
      <c r="A32" s="334"/>
      <c r="B32" s="334"/>
      <c r="C32" s="334"/>
      <c r="D32" s="334"/>
      <c r="E32" s="334"/>
      <c r="F32" s="334"/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Q32" s="336"/>
    </row>
    <row r="33" ht="15.75" customHeight="1">
      <c r="A33" s="334"/>
      <c r="B33" s="425" t="s">
        <v>418</v>
      </c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6"/>
    </row>
    <row r="34" ht="15.75" customHeight="1">
      <c r="A34" s="334"/>
      <c r="B34" s="354" t="s">
        <v>388</v>
      </c>
      <c r="C34" s="422" t="s">
        <v>414</v>
      </c>
      <c r="D34" s="422" t="s">
        <v>415</v>
      </c>
      <c r="E34" s="354" t="s">
        <v>391</v>
      </c>
      <c r="F34" s="426" t="s">
        <v>392</v>
      </c>
      <c r="G34" s="334"/>
      <c r="H34" s="354" t="s">
        <v>416</v>
      </c>
      <c r="I34" s="354" t="s">
        <v>394</v>
      </c>
      <c r="J34" s="354" t="s">
        <v>395</v>
      </c>
      <c r="K34" s="334"/>
      <c r="L34" s="427" t="s">
        <v>396</v>
      </c>
      <c r="M34" s="354" t="s">
        <v>397</v>
      </c>
      <c r="N34" s="422" t="s">
        <v>398</v>
      </c>
      <c r="O34" s="354" t="s">
        <v>399</v>
      </c>
      <c r="P34" s="334"/>
      <c r="Q34" s="336"/>
    </row>
    <row r="35" ht="15.75" customHeight="1">
      <c r="A35" s="334"/>
      <c r="B35" s="346">
        <v>30.0</v>
      </c>
      <c r="C35" s="348">
        <f>AVERAGE(C27,C31)</f>
        <v>1.865</v>
      </c>
      <c r="D35" s="443">
        <v>3.5</v>
      </c>
      <c r="E35" s="428" t="s">
        <v>304</v>
      </c>
      <c r="F35" s="428">
        <v>57.33</v>
      </c>
      <c r="G35" s="334"/>
      <c r="H35" s="430">
        <f>H31*(H31/H27)</f>
        <v>0.3687458071</v>
      </c>
      <c r="I35" s="346">
        <f>I31</f>
        <v>34.5</v>
      </c>
      <c r="J35" s="429">
        <f>F35*I35</f>
        <v>1977.885</v>
      </c>
      <c r="K35" s="334"/>
      <c r="L35" s="430">
        <v>0.0</v>
      </c>
      <c r="M35" s="346">
        <v>0.0</v>
      </c>
      <c r="N35" s="346">
        <f>L35*M35</f>
        <v>0</v>
      </c>
      <c r="O35" s="346">
        <f>N35*'System Control &amp; Outputs'!$C$19</f>
        <v>0</v>
      </c>
      <c r="P35" s="334"/>
      <c r="Q35" s="336"/>
    </row>
    <row r="36" ht="15.75" customHeight="1">
      <c r="A36" s="435"/>
      <c r="B36" s="435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7"/>
      <c r="R36" s="438"/>
      <c r="S36" s="438"/>
      <c r="T36" s="438"/>
      <c r="U36" s="438"/>
      <c r="V36" s="438"/>
      <c r="W36" s="438"/>
      <c r="X36" s="438"/>
      <c r="Y36" s="438"/>
      <c r="Z36" s="438"/>
    </row>
    <row r="37" ht="15.75" customHeight="1">
      <c r="A37" s="334"/>
      <c r="B37" s="425" t="s">
        <v>419</v>
      </c>
      <c r="C37" s="334"/>
      <c r="D37" s="334"/>
      <c r="E37" s="334"/>
      <c r="F37" s="334"/>
      <c r="G37" s="334"/>
      <c r="H37" s="334"/>
      <c r="I37" s="334"/>
      <c r="J37" s="334"/>
      <c r="K37" s="334"/>
      <c r="L37" s="334"/>
      <c r="M37" s="334"/>
      <c r="N37" s="334"/>
      <c r="O37" s="334"/>
      <c r="P37" s="334"/>
      <c r="Q37" s="336"/>
    </row>
    <row r="38" ht="15.75" customHeight="1">
      <c r="A38" s="334"/>
      <c r="B38" s="354" t="s">
        <v>402</v>
      </c>
      <c r="C38" s="444" t="s">
        <v>415</v>
      </c>
      <c r="D38" s="354" t="s">
        <v>390</v>
      </c>
      <c r="E38" s="445" t="s">
        <v>420</v>
      </c>
      <c r="F38" s="444" t="s">
        <v>421</v>
      </c>
      <c r="G38" s="446" t="s">
        <v>392</v>
      </c>
      <c r="H38" s="354" t="s">
        <v>416</v>
      </c>
      <c r="I38" s="354" t="s">
        <v>394</v>
      </c>
      <c r="J38" s="354" t="s">
        <v>395</v>
      </c>
      <c r="K38" s="334"/>
      <c r="L38" s="432" t="s">
        <v>396</v>
      </c>
      <c r="M38" s="354" t="s">
        <v>397</v>
      </c>
      <c r="N38" s="422" t="s">
        <v>398</v>
      </c>
      <c r="O38" s="354" t="s">
        <v>399</v>
      </c>
      <c r="P38" s="334"/>
      <c r="Q38" s="334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34"/>
      <c r="B39" s="346">
        <v>1.0</v>
      </c>
      <c r="C39" s="447">
        <v>510.0</v>
      </c>
      <c r="D39" s="334" t="s">
        <v>422</v>
      </c>
      <c r="E39" s="428">
        <v>890.0</v>
      </c>
      <c r="F39" s="428">
        <v>577.19</v>
      </c>
      <c r="G39" s="428">
        <f>E39+F39</f>
        <v>1467.19</v>
      </c>
      <c r="H39" s="447"/>
      <c r="I39" s="346">
        <f>I35</f>
        <v>34.5</v>
      </c>
      <c r="J39" s="429">
        <f>G39*I39</f>
        <v>50618.055</v>
      </c>
      <c r="K39" s="334"/>
      <c r="L39" s="448">
        <f>0.5*0.7457</f>
        <v>0.37285</v>
      </c>
      <c r="M39" s="447">
        <f>B39*'System Control &amp; Outputs'!C$6</f>
        <v>330</v>
      </c>
      <c r="N39" s="346">
        <f>L39*M39</f>
        <v>123.0405</v>
      </c>
      <c r="O39" s="346">
        <f>N39*'System Control &amp; Outputs'!$C$19</f>
        <v>49.5114972</v>
      </c>
      <c r="P39" s="334"/>
      <c r="Q39" s="336"/>
    </row>
    <row r="40" ht="15.75" customHeight="1">
      <c r="A40" s="334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6"/>
    </row>
    <row r="41" ht="15.75" customHeight="1">
      <c r="A41" s="334"/>
      <c r="B41" s="425" t="s">
        <v>423</v>
      </c>
      <c r="C41" s="334"/>
      <c r="D41" s="334"/>
      <c r="E41" s="334"/>
      <c r="F41" s="334"/>
      <c r="G41" s="334"/>
      <c r="H41" s="334"/>
      <c r="I41" s="334"/>
      <c r="J41" s="334"/>
      <c r="K41" s="334"/>
      <c r="L41" s="334"/>
      <c r="M41" s="334"/>
      <c r="N41" s="334"/>
      <c r="O41" s="334"/>
      <c r="P41" s="334"/>
      <c r="Q41" s="336"/>
    </row>
    <row r="42" ht="15.75" customHeight="1">
      <c r="A42" s="334"/>
      <c r="B42" s="354" t="s">
        <v>388</v>
      </c>
      <c r="C42" s="422" t="s">
        <v>414</v>
      </c>
      <c r="D42" s="422" t="s">
        <v>389</v>
      </c>
      <c r="E42" s="354" t="s">
        <v>391</v>
      </c>
      <c r="F42" s="449" t="s">
        <v>392</v>
      </c>
      <c r="G42" s="334"/>
      <c r="H42" s="354" t="s">
        <v>393</v>
      </c>
      <c r="I42" s="354" t="s">
        <v>394</v>
      </c>
      <c r="J42" s="354" t="s">
        <v>395</v>
      </c>
      <c r="K42" s="334"/>
      <c r="L42" s="432" t="s">
        <v>396</v>
      </c>
      <c r="M42" s="354" t="s">
        <v>397</v>
      </c>
      <c r="N42" s="422" t="s">
        <v>398</v>
      </c>
      <c r="O42" s="354" t="s">
        <v>399</v>
      </c>
      <c r="P42" s="334"/>
      <c r="Q42" s="336"/>
    </row>
    <row r="43" ht="15.75" customHeight="1">
      <c r="A43" s="334"/>
      <c r="B43" s="346">
        <v>30.0</v>
      </c>
      <c r="C43" s="346">
        <v>1.101</v>
      </c>
      <c r="D43" s="443">
        <v>50.0</v>
      </c>
      <c r="E43" s="336" t="s">
        <v>304</v>
      </c>
      <c r="F43" s="428">
        <v>50000.0</v>
      </c>
      <c r="G43" s="334"/>
      <c r="H43" s="430">
        <f>'Water &amp; Nutrient Calcs'!O11*B43</f>
        <v>632.013123</v>
      </c>
      <c r="I43" s="348">
        <f>H43/D43</f>
        <v>12.64026246</v>
      </c>
      <c r="J43" s="429">
        <f>F43*I43</f>
        <v>632013.123</v>
      </c>
      <c r="K43" s="334"/>
      <c r="L43" s="448">
        <f>0.5*0.7457</f>
        <v>0.37285</v>
      </c>
      <c r="M43" s="447">
        <f>B43*'System Control &amp; Outputs'!C$6</f>
        <v>9900</v>
      </c>
      <c r="N43" s="346">
        <f>L43*M43</f>
        <v>3691.215</v>
      </c>
      <c r="O43" s="346">
        <f>N43*'System Control &amp; Outputs'!$C$19</f>
        <v>1485.344916</v>
      </c>
      <c r="P43" s="334"/>
      <c r="Q43" s="336"/>
    </row>
    <row r="44" ht="15.75" customHeight="1">
      <c r="A44" s="334"/>
      <c r="B44" s="334"/>
      <c r="C44" s="334"/>
      <c r="D44" s="334"/>
      <c r="E44" s="334"/>
      <c r="F44" s="334"/>
      <c r="G44" s="334"/>
      <c r="H44" s="334"/>
      <c r="I44" s="334"/>
      <c r="J44" s="334"/>
      <c r="K44" s="334"/>
      <c r="L44" s="334"/>
      <c r="M44" s="334"/>
      <c r="N44" s="334"/>
      <c r="O44" s="334"/>
      <c r="P44" s="334"/>
      <c r="Q44" s="336"/>
    </row>
    <row r="45" ht="15.75" customHeight="1">
      <c r="A45" s="334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6"/>
    </row>
    <row r="46" ht="15.75" customHeight="1">
      <c r="A46" s="334"/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6"/>
    </row>
    <row r="47" ht="15.75" customHeight="1">
      <c r="A47" s="334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6"/>
    </row>
    <row r="48" ht="15.75" customHeight="1">
      <c r="A48" s="334"/>
      <c r="B48" s="336"/>
      <c r="C48" s="336"/>
      <c r="D48" s="336"/>
      <c r="E48" s="336"/>
      <c r="F48" s="336"/>
      <c r="G48" s="334"/>
      <c r="H48" s="334"/>
      <c r="I48" s="334"/>
      <c r="J48" s="334"/>
      <c r="K48" s="334"/>
      <c r="L48" s="334"/>
      <c r="M48" s="334"/>
      <c r="N48" s="334"/>
      <c r="O48" s="334"/>
      <c r="P48" s="334"/>
      <c r="Q48" s="336"/>
    </row>
    <row r="49" ht="15.75" customHeight="1">
      <c r="A49" s="334"/>
      <c r="B49" s="336"/>
      <c r="C49" s="336"/>
      <c r="D49" s="336"/>
      <c r="E49" s="336"/>
      <c r="F49" s="336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6"/>
    </row>
    <row r="50" ht="15.75" customHeight="1">
      <c r="A50" s="334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/>
      <c r="O50" s="334"/>
      <c r="P50" s="334"/>
      <c r="Q50" s="336"/>
    </row>
    <row r="51" ht="15.75" customHeight="1">
      <c r="A51" s="334"/>
      <c r="B51" s="334"/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6"/>
    </row>
    <row r="52" ht="15.75" customHeight="1">
      <c r="A52" s="334"/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334"/>
      <c r="P52" s="334"/>
      <c r="Q52" s="336"/>
    </row>
    <row r="53" ht="15.75" customHeight="1">
      <c r="A53" s="334"/>
      <c r="B53" s="334"/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6"/>
    </row>
    <row r="54" ht="15.75" customHeight="1">
      <c r="A54" s="334"/>
      <c r="B54" s="334"/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/>
      <c r="O54" s="334"/>
      <c r="P54" s="334"/>
      <c r="Q54" s="336"/>
    </row>
    <row r="55" ht="15.75" customHeight="1">
      <c r="A55" s="334"/>
      <c r="B55" s="334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6"/>
    </row>
    <row r="56" ht="15.75" customHeight="1">
      <c r="A56" s="334"/>
      <c r="B56" s="334"/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34"/>
      <c r="P56" s="334"/>
      <c r="Q56" s="336"/>
    </row>
    <row r="57" ht="15.75" customHeight="1">
      <c r="A57" s="334"/>
      <c r="B57" s="334"/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6"/>
    </row>
    <row r="58" ht="15.75" customHeight="1">
      <c r="A58" s="334"/>
      <c r="B58" s="334"/>
      <c r="C58" s="334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6"/>
    </row>
    <row r="59" ht="15.75" customHeight="1">
      <c r="A59" s="334"/>
      <c r="B59" s="334"/>
      <c r="C59" s="334"/>
      <c r="D59" s="334"/>
      <c r="E59" s="334"/>
      <c r="F59" s="334"/>
      <c r="G59" s="334"/>
      <c r="H59" s="334"/>
      <c r="I59" s="334"/>
      <c r="J59" s="334"/>
      <c r="K59" s="334"/>
      <c r="L59" s="334"/>
      <c r="M59" s="334"/>
      <c r="N59" s="334"/>
      <c r="O59" s="334"/>
      <c r="P59" s="334"/>
      <c r="Q59" s="336"/>
    </row>
    <row r="60" ht="15.75" customHeight="1">
      <c r="A60" s="334"/>
      <c r="B60" s="334"/>
      <c r="C60" s="334"/>
      <c r="D60" s="334"/>
      <c r="E60" s="334"/>
      <c r="F60" s="334"/>
      <c r="G60" s="334"/>
      <c r="H60" s="334"/>
      <c r="I60" s="334"/>
      <c r="J60" s="334"/>
      <c r="K60" s="334"/>
      <c r="L60" s="334"/>
      <c r="M60" s="334"/>
      <c r="N60" s="334"/>
      <c r="O60" s="334"/>
      <c r="P60" s="334"/>
      <c r="Q60" s="336"/>
    </row>
    <row r="61" ht="15.75" customHeight="1">
      <c r="A61" s="334"/>
      <c r="B61" s="334"/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4"/>
      <c r="O61" s="334"/>
      <c r="P61" s="334"/>
      <c r="Q61" s="336"/>
    </row>
    <row r="62" ht="15.75" customHeight="1">
      <c r="A62" s="334"/>
      <c r="B62" s="334"/>
      <c r="C62" s="334"/>
      <c r="D62" s="334"/>
      <c r="E62" s="334"/>
      <c r="F62" s="334"/>
      <c r="G62" s="334"/>
      <c r="H62" s="334"/>
      <c r="I62" s="334"/>
      <c r="J62" s="334"/>
      <c r="K62" s="334"/>
      <c r="L62" s="334"/>
      <c r="M62" s="334"/>
      <c r="N62" s="334"/>
      <c r="O62" s="334"/>
      <c r="P62" s="334"/>
      <c r="Q62" s="336"/>
    </row>
    <row r="63" ht="15.75" customHeight="1">
      <c r="A63" s="334"/>
      <c r="B63" s="334"/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6"/>
    </row>
    <row r="64" ht="15.75" customHeight="1">
      <c r="A64" s="334"/>
      <c r="B64" s="334"/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6"/>
    </row>
    <row r="65" ht="15.75" customHeight="1">
      <c r="A65" s="334"/>
      <c r="B65" s="334"/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34"/>
      <c r="P65" s="334"/>
      <c r="Q65" s="336"/>
    </row>
    <row r="66" ht="15.75" customHeight="1">
      <c r="A66" s="334"/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4"/>
      <c r="Q66" s="336"/>
    </row>
    <row r="67" ht="15.75" customHeight="1">
      <c r="A67" s="334"/>
      <c r="B67" s="334"/>
      <c r="C67" s="334"/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34"/>
      <c r="O67" s="334"/>
      <c r="P67" s="334"/>
      <c r="Q67" s="336"/>
    </row>
    <row r="68" ht="15.75" customHeight="1">
      <c r="A68" s="334"/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6"/>
    </row>
    <row r="69" ht="15.75" customHeight="1">
      <c r="A69" s="334"/>
      <c r="B69" s="334"/>
      <c r="C69" s="334"/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6"/>
    </row>
    <row r="70" ht="15.75" customHeight="1">
      <c r="A70" s="334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6"/>
    </row>
    <row r="71" ht="15.75" customHeight="1">
      <c r="A71" s="334"/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6"/>
    </row>
    <row r="72" ht="15.75" customHeight="1">
      <c r="A72" s="334"/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6"/>
    </row>
    <row r="73" ht="15.75" customHeight="1">
      <c r="A73" s="334"/>
      <c r="B73" s="334"/>
      <c r="C73" s="334"/>
      <c r="D73" s="334"/>
      <c r="E73" s="334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6"/>
    </row>
    <row r="74" ht="15.75" customHeight="1">
      <c r="A74" s="334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6"/>
    </row>
    <row r="75" ht="15.75" customHeight="1">
      <c r="A75" s="334"/>
      <c r="B75" s="334"/>
      <c r="C75" s="33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6"/>
    </row>
    <row r="76" ht="15.75" customHeight="1">
      <c r="A76" s="334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6"/>
    </row>
    <row r="77" ht="15.75" customHeight="1">
      <c r="A77" s="334"/>
      <c r="B77" s="334"/>
      <c r="C77" s="334"/>
      <c r="D77" s="334"/>
      <c r="E77" s="334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6"/>
    </row>
    <row r="78" ht="15.75" customHeight="1">
      <c r="A78" s="334"/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6"/>
    </row>
    <row r="79" ht="15.75" customHeight="1">
      <c r="A79" s="334"/>
      <c r="B79" s="334"/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6"/>
    </row>
    <row r="80" ht="15.75" customHeight="1">
      <c r="A80" s="334"/>
      <c r="B80" s="334"/>
      <c r="C80" s="334"/>
      <c r="D80" s="334"/>
      <c r="E80" s="334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6"/>
    </row>
    <row r="81" ht="15.75" customHeight="1">
      <c r="A81" s="334"/>
      <c r="B81" s="334"/>
      <c r="C81" s="334"/>
      <c r="D81" s="334"/>
      <c r="E81" s="334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6"/>
    </row>
    <row r="82" ht="15.75" customHeight="1">
      <c r="A82" s="334"/>
      <c r="B82" s="334"/>
      <c r="C82" s="334"/>
      <c r="D82" s="334"/>
      <c r="E82" s="334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6"/>
    </row>
    <row r="83" ht="15.75" customHeight="1">
      <c r="A83" s="334"/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6"/>
    </row>
    <row r="84" ht="15.75" customHeight="1">
      <c r="A84" s="334"/>
      <c r="B84" s="334"/>
      <c r="C84" s="334"/>
      <c r="D84" s="334"/>
      <c r="E84" s="334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6"/>
    </row>
    <row r="85" ht="15.75" customHeight="1">
      <c r="A85" s="334"/>
      <c r="B85" s="334"/>
      <c r="C85" s="334"/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6"/>
    </row>
    <row r="86" ht="15.75" customHeight="1">
      <c r="A86" s="334"/>
      <c r="B86" s="334"/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6"/>
    </row>
    <row r="87" ht="15.75" customHeight="1">
      <c r="A87" s="334"/>
      <c r="B87" s="334"/>
      <c r="C87" s="334"/>
      <c r="D87" s="334"/>
      <c r="E87" s="334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6"/>
    </row>
    <row r="88" ht="15.75" customHeight="1">
      <c r="A88" s="334"/>
      <c r="B88" s="334"/>
      <c r="C88" s="334"/>
      <c r="D88" s="334"/>
      <c r="E88" s="334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6"/>
    </row>
    <row r="89" ht="15.75" customHeight="1">
      <c r="A89" s="334"/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6"/>
    </row>
    <row r="90" ht="15.75" customHeight="1">
      <c r="A90" s="334"/>
      <c r="B90" s="334"/>
      <c r="C90" s="334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6"/>
    </row>
    <row r="91" ht="15.75" customHeight="1">
      <c r="A91" s="334"/>
      <c r="B91" s="334"/>
      <c r="C91" s="334"/>
      <c r="D91" s="334"/>
      <c r="E91" s="334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6"/>
    </row>
    <row r="92" ht="15.75" customHeight="1">
      <c r="A92" s="334"/>
      <c r="B92" s="334"/>
      <c r="C92" s="334"/>
      <c r="D92" s="334"/>
      <c r="E92" s="334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6"/>
    </row>
    <row r="93" ht="15.75" customHeight="1">
      <c r="A93" s="334"/>
      <c r="B93" s="334"/>
      <c r="C93" s="334"/>
      <c r="D93" s="334"/>
      <c r="E93" s="334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6"/>
    </row>
    <row r="94" ht="15.75" customHeight="1">
      <c r="A94" s="334"/>
      <c r="B94" s="334"/>
      <c r="C94" s="334"/>
      <c r="D94" s="334"/>
      <c r="E94" s="334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6"/>
    </row>
    <row r="95" ht="15.75" customHeight="1">
      <c r="A95" s="334"/>
      <c r="B95" s="334"/>
      <c r="C95" s="334"/>
      <c r="D95" s="334"/>
      <c r="E95" s="334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6"/>
    </row>
    <row r="96" ht="15.75" customHeight="1">
      <c r="A96" s="334"/>
      <c r="B96" s="334"/>
      <c r="C96" s="334"/>
      <c r="D96" s="334"/>
      <c r="E96" s="334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6"/>
    </row>
    <row r="97" ht="15.75" customHeight="1">
      <c r="A97" s="334"/>
      <c r="B97" s="334"/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6"/>
    </row>
    <row r="98" ht="15.75" customHeight="1">
      <c r="A98" s="334"/>
      <c r="B98" s="334"/>
      <c r="C98" s="334"/>
      <c r="D98" s="334"/>
      <c r="E98" s="334"/>
      <c r="F98" s="334"/>
      <c r="G98" s="334"/>
      <c r="H98" s="334"/>
      <c r="I98" s="334"/>
      <c r="J98" s="334"/>
      <c r="K98" s="334"/>
      <c r="L98" s="334"/>
      <c r="M98" s="334"/>
      <c r="N98" s="334"/>
      <c r="O98" s="334"/>
      <c r="P98" s="334"/>
      <c r="Q98" s="336"/>
    </row>
    <row r="99" ht="15.75" customHeight="1">
      <c r="A99" s="334"/>
      <c r="B99" s="334"/>
      <c r="C99" s="334"/>
      <c r="D99" s="334"/>
      <c r="E99" s="334"/>
      <c r="F99" s="334"/>
      <c r="G99" s="334"/>
      <c r="H99" s="334"/>
      <c r="I99" s="334"/>
      <c r="J99" s="334"/>
      <c r="K99" s="334"/>
      <c r="L99" s="334"/>
      <c r="M99" s="334"/>
      <c r="N99" s="334"/>
      <c r="O99" s="334"/>
      <c r="P99" s="334"/>
      <c r="Q99" s="336"/>
    </row>
    <row r="100" ht="15.75" customHeight="1">
      <c r="A100" s="334"/>
      <c r="B100" s="334"/>
      <c r="C100" s="334"/>
      <c r="D100" s="334"/>
      <c r="E100" s="334"/>
      <c r="F100" s="334"/>
      <c r="G100" s="334"/>
      <c r="H100" s="334"/>
      <c r="I100" s="334"/>
      <c r="J100" s="334"/>
      <c r="K100" s="334"/>
      <c r="L100" s="334"/>
      <c r="M100" s="334"/>
      <c r="N100" s="334"/>
      <c r="O100" s="334"/>
      <c r="P100" s="334"/>
      <c r="Q100" s="336"/>
    </row>
    <row r="101" ht="15.75" customHeight="1">
      <c r="A101" s="334"/>
      <c r="B101" s="334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6"/>
    </row>
    <row r="102" ht="15.75" customHeight="1">
      <c r="A102" s="334"/>
      <c r="B102" s="334"/>
      <c r="C102" s="334"/>
      <c r="D102" s="334"/>
      <c r="E102" s="334"/>
      <c r="F102" s="334"/>
      <c r="G102" s="334"/>
      <c r="H102" s="334"/>
      <c r="I102" s="334"/>
      <c r="J102" s="334"/>
      <c r="K102" s="334"/>
      <c r="L102" s="334"/>
      <c r="M102" s="334"/>
      <c r="N102" s="334"/>
      <c r="O102" s="334"/>
      <c r="P102" s="334"/>
      <c r="Q102" s="336"/>
    </row>
    <row r="103" ht="15.75" customHeight="1">
      <c r="A103" s="334"/>
      <c r="B103" s="334"/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334"/>
      <c r="O103" s="334"/>
      <c r="P103" s="334"/>
      <c r="Q103" s="336"/>
    </row>
    <row r="104" ht="15.75" customHeight="1">
      <c r="A104" s="334"/>
      <c r="B104" s="334"/>
      <c r="C104" s="334"/>
      <c r="D104" s="334"/>
      <c r="E104" s="334"/>
      <c r="F104" s="334"/>
      <c r="G104" s="334"/>
      <c r="H104" s="334"/>
      <c r="I104" s="334"/>
      <c r="J104" s="334"/>
      <c r="K104" s="334"/>
      <c r="L104" s="334"/>
      <c r="M104" s="334"/>
      <c r="N104" s="334"/>
      <c r="O104" s="334"/>
      <c r="P104" s="334"/>
      <c r="Q104" s="336"/>
    </row>
    <row r="105" ht="15.75" customHeight="1">
      <c r="A105" s="334"/>
      <c r="B105" s="334"/>
      <c r="C105" s="334"/>
      <c r="D105" s="334"/>
      <c r="E105" s="334"/>
      <c r="F105" s="334"/>
      <c r="G105" s="334"/>
      <c r="H105" s="334"/>
      <c r="I105" s="334"/>
      <c r="J105" s="334"/>
      <c r="K105" s="334"/>
      <c r="L105" s="334"/>
      <c r="M105" s="334"/>
      <c r="N105" s="334"/>
      <c r="O105" s="334"/>
      <c r="P105" s="334"/>
      <c r="Q105" s="336"/>
    </row>
    <row r="106" ht="15.75" customHeight="1">
      <c r="A106" s="334"/>
      <c r="B106" s="334"/>
      <c r="C106" s="334"/>
      <c r="D106" s="334"/>
      <c r="E106" s="334"/>
      <c r="F106" s="334"/>
      <c r="G106" s="334"/>
      <c r="H106" s="334"/>
      <c r="I106" s="334"/>
      <c r="J106" s="334"/>
      <c r="K106" s="334"/>
      <c r="L106" s="334"/>
      <c r="M106" s="334"/>
      <c r="N106" s="334"/>
      <c r="O106" s="334"/>
      <c r="P106" s="334"/>
      <c r="Q106" s="336"/>
    </row>
    <row r="107" ht="15.75" customHeight="1">
      <c r="A107" s="334"/>
      <c r="B107" s="334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334"/>
      <c r="P107" s="334"/>
      <c r="Q107" s="336"/>
    </row>
    <row r="108" ht="15.75" customHeight="1">
      <c r="A108" s="334"/>
      <c r="B108" s="334"/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/>
      <c r="N108" s="334"/>
      <c r="O108" s="334"/>
      <c r="P108" s="334"/>
      <c r="Q108" s="336"/>
    </row>
    <row r="109" ht="15.75" customHeight="1">
      <c r="A109" s="334"/>
      <c r="B109" s="334"/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4"/>
      <c r="Q109" s="336"/>
    </row>
    <row r="110" ht="15.75" customHeight="1">
      <c r="A110" s="334"/>
      <c r="B110" s="334"/>
      <c r="C110" s="334"/>
      <c r="D110" s="334"/>
      <c r="E110" s="334"/>
      <c r="F110" s="334"/>
      <c r="G110" s="334"/>
      <c r="H110" s="334"/>
      <c r="I110" s="334"/>
      <c r="J110" s="334"/>
      <c r="K110" s="334"/>
      <c r="L110" s="334"/>
      <c r="M110" s="334"/>
      <c r="N110" s="334"/>
      <c r="O110" s="334"/>
      <c r="P110" s="334"/>
      <c r="Q110" s="336"/>
    </row>
    <row r="111" ht="15.75" customHeight="1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6"/>
    </row>
    <row r="112" ht="15.75" customHeight="1">
      <c r="A112" s="334"/>
      <c r="B112" s="334"/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34"/>
      <c r="O112" s="334"/>
      <c r="P112" s="334"/>
      <c r="Q112" s="336"/>
    </row>
    <row r="113" ht="15.75" customHeight="1">
      <c r="A113" s="334"/>
      <c r="B113" s="334"/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34"/>
      <c r="O113" s="334"/>
      <c r="P113" s="334"/>
      <c r="Q113" s="336"/>
    </row>
    <row r="114" ht="15.75" customHeight="1">
      <c r="A114" s="334"/>
      <c r="B114" s="334"/>
      <c r="C114" s="334"/>
      <c r="D114" s="334"/>
      <c r="E114" s="334"/>
      <c r="F114" s="334"/>
      <c r="G114" s="334"/>
      <c r="H114" s="334"/>
      <c r="I114" s="334"/>
      <c r="J114" s="334"/>
      <c r="K114" s="334"/>
      <c r="L114" s="334"/>
      <c r="M114" s="334"/>
      <c r="N114" s="334"/>
      <c r="O114" s="334"/>
      <c r="P114" s="334"/>
      <c r="Q114" s="336"/>
    </row>
    <row r="115" ht="15.75" customHeight="1">
      <c r="A115" s="334"/>
      <c r="B115" s="334"/>
      <c r="C115" s="334"/>
      <c r="D115" s="334"/>
      <c r="E115" s="334"/>
      <c r="F115" s="334"/>
      <c r="G115" s="334"/>
      <c r="H115" s="334"/>
      <c r="I115" s="334"/>
      <c r="J115" s="334"/>
      <c r="K115" s="334"/>
      <c r="L115" s="334"/>
      <c r="M115" s="334"/>
      <c r="N115" s="334"/>
      <c r="O115" s="334"/>
      <c r="P115" s="334"/>
      <c r="Q115" s="336"/>
    </row>
    <row r="116" ht="15.75" customHeight="1">
      <c r="A116" s="334"/>
      <c r="B116" s="334"/>
      <c r="C116" s="334"/>
      <c r="D116" s="334"/>
      <c r="E116" s="334"/>
      <c r="F116" s="334"/>
      <c r="G116" s="334"/>
      <c r="H116" s="334"/>
      <c r="I116" s="334"/>
      <c r="J116" s="334"/>
      <c r="K116" s="334"/>
      <c r="L116" s="334"/>
      <c r="M116" s="334"/>
      <c r="N116" s="334"/>
      <c r="O116" s="334"/>
      <c r="P116" s="334"/>
      <c r="Q116" s="336"/>
    </row>
    <row r="117" ht="15.75" customHeight="1">
      <c r="A117" s="334"/>
      <c r="B117" s="334"/>
      <c r="C117" s="334"/>
      <c r="D117" s="334"/>
      <c r="E117" s="334"/>
      <c r="F117" s="334"/>
      <c r="G117" s="334"/>
      <c r="H117" s="334"/>
      <c r="I117" s="334"/>
      <c r="J117" s="334"/>
      <c r="K117" s="334"/>
      <c r="L117" s="334"/>
      <c r="M117" s="334"/>
      <c r="N117" s="334"/>
      <c r="O117" s="334"/>
      <c r="P117" s="334"/>
      <c r="Q117" s="336"/>
    </row>
    <row r="118" ht="15.75" customHeight="1">
      <c r="A118" s="334"/>
      <c r="B118" s="334"/>
      <c r="C118" s="334"/>
      <c r="D118" s="334"/>
      <c r="E118" s="334"/>
      <c r="F118" s="334"/>
      <c r="G118" s="334"/>
      <c r="H118" s="334"/>
      <c r="I118" s="334"/>
      <c r="J118" s="334"/>
      <c r="K118" s="334"/>
      <c r="L118" s="334"/>
      <c r="M118" s="334"/>
      <c r="N118" s="334"/>
      <c r="O118" s="334"/>
      <c r="P118" s="334"/>
      <c r="Q118" s="336"/>
    </row>
    <row r="119" ht="15.75" customHeight="1">
      <c r="A119" s="334"/>
      <c r="B119" s="334"/>
      <c r="C119" s="334"/>
      <c r="D119" s="334"/>
      <c r="E119" s="334"/>
      <c r="F119" s="334"/>
      <c r="G119" s="334"/>
      <c r="H119" s="334"/>
      <c r="I119" s="334"/>
      <c r="J119" s="334"/>
      <c r="K119" s="334"/>
      <c r="L119" s="334"/>
      <c r="M119" s="334"/>
      <c r="N119" s="334"/>
      <c r="O119" s="334"/>
      <c r="P119" s="334"/>
      <c r="Q119" s="336"/>
    </row>
    <row r="120" ht="15.75" customHeight="1">
      <c r="A120" s="334"/>
      <c r="B120" s="334"/>
      <c r="C120" s="334"/>
      <c r="D120" s="334"/>
      <c r="E120" s="334"/>
      <c r="F120" s="334"/>
      <c r="G120" s="334"/>
      <c r="H120" s="334"/>
      <c r="I120" s="334"/>
      <c r="J120" s="334"/>
      <c r="K120" s="334"/>
      <c r="L120" s="334"/>
      <c r="M120" s="334"/>
      <c r="N120" s="334"/>
      <c r="O120" s="334"/>
      <c r="P120" s="334"/>
      <c r="Q120" s="336"/>
    </row>
    <row r="121" ht="15.75" customHeight="1">
      <c r="A121" s="334"/>
      <c r="B121" s="334"/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334"/>
      <c r="O121" s="334"/>
      <c r="P121" s="334"/>
      <c r="Q121" s="336"/>
    </row>
    <row r="122" ht="15.75" customHeight="1">
      <c r="A122" s="334"/>
      <c r="B122" s="334"/>
      <c r="C122" s="334"/>
      <c r="D122" s="334"/>
      <c r="E122" s="334"/>
      <c r="F122" s="334"/>
      <c r="G122" s="334"/>
      <c r="H122" s="334"/>
      <c r="I122" s="334"/>
      <c r="J122" s="334"/>
      <c r="K122" s="334"/>
      <c r="L122" s="334"/>
      <c r="M122" s="334"/>
      <c r="N122" s="334"/>
      <c r="O122" s="334"/>
      <c r="P122" s="334"/>
      <c r="Q122" s="336"/>
    </row>
    <row r="123" ht="15.75" customHeight="1">
      <c r="A123" s="334"/>
      <c r="B123" s="334"/>
      <c r="C123" s="334"/>
      <c r="D123" s="334"/>
      <c r="E123" s="334"/>
      <c r="F123" s="334"/>
      <c r="G123" s="334"/>
      <c r="H123" s="334"/>
      <c r="I123" s="334"/>
      <c r="J123" s="334"/>
      <c r="K123" s="334"/>
      <c r="L123" s="334"/>
      <c r="M123" s="334"/>
      <c r="N123" s="334"/>
      <c r="O123" s="334"/>
      <c r="P123" s="334"/>
      <c r="Q123" s="336"/>
    </row>
    <row r="124" ht="15.75" customHeight="1">
      <c r="A124" s="334"/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34"/>
      <c r="Q124" s="336"/>
    </row>
    <row r="125" ht="15.75" customHeight="1">
      <c r="A125" s="334"/>
      <c r="B125" s="334"/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334"/>
      <c r="O125" s="334"/>
      <c r="P125" s="334"/>
      <c r="Q125" s="336"/>
    </row>
    <row r="126" ht="15.75" customHeight="1">
      <c r="A126" s="334"/>
      <c r="B126" s="334"/>
      <c r="C126" s="334"/>
      <c r="D126" s="334"/>
      <c r="E126" s="334"/>
      <c r="F126" s="334"/>
      <c r="G126" s="334"/>
      <c r="H126" s="334"/>
      <c r="I126" s="334"/>
      <c r="J126" s="334"/>
      <c r="K126" s="334"/>
      <c r="L126" s="334"/>
      <c r="M126" s="334"/>
      <c r="N126" s="334"/>
      <c r="O126" s="334"/>
      <c r="P126" s="334"/>
      <c r="Q126" s="336"/>
    </row>
    <row r="127" ht="15.75" customHeight="1">
      <c r="A127" s="334"/>
      <c r="B127" s="334"/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4"/>
      <c r="Q127" s="336"/>
    </row>
    <row r="128" ht="15.75" customHeight="1">
      <c r="A128" s="334"/>
      <c r="B128" s="334"/>
      <c r="C128" s="334"/>
      <c r="D128" s="334"/>
      <c r="E128" s="334"/>
      <c r="F128" s="334"/>
      <c r="G128" s="334"/>
      <c r="H128" s="334"/>
      <c r="I128" s="334"/>
      <c r="J128" s="334"/>
      <c r="K128" s="334"/>
      <c r="L128" s="334"/>
      <c r="M128" s="334"/>
      <c r="N128" s="334"/>
      <c r="O128" s="334"/>
      <c r="P128" s="334"/>
      <c r="Q128" s="336"/>
    </row>
    <row r="129" ht="15.75" customHeight="1">
      <c r="A129" s="334"/>
      <c r="B129" s="334"/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34"/>
      <c r="O129" s="334"/>
      <c r="P129" s="334"/>
      <c r="Q129" s="336"/>
    </row>
    <row r="130" ht="15.75" customHeight="1">
      <c r="A130" s="334"/>
      <c r="B130" s="334"/>
      <c r="C130" s="334"/>
      <c r="D130" s="334"/>
      <c r="E130" s="334"/>
      <c r="F130" s="334"/>
      <c r="G130" s="334"/>
      <c r="H130" s="334"/>
      <c r="I130" s="334"/>
      <c r="J130" s="334"/>
      <c r="K130" s="334"/>
      <c r="L130" s="334"/>
      <c r="M130" s="334"/>
      <c r="N130" s="334"/>
      <c r="O130" s="334"/>
      <c r="P130" s="334"/>
      <c r="Q130" s="336"/>
    </row>
    <row r="131" ht="15.75" customHeight="1">
      <c r="A131" s="334"/>
      <c r="B131" s="334"/>
      <c r="C131" s="334"/>
      <c r="D131" s="334"/>
      <c r="E131" s="334"/>
      <c r="F131" s="334"/>
      <c r="G131" s="334"/>
      <c r="H131" s="334"/>
      <c r="I131" s="334"/>
      <c r="J131" s="334"/>
      <c r="K131" s="334"/>
      <c r="L131" s="334"/>
      <c r="M131" s="334"/>
      <c r="N131" s="334"/>
      <c r="O131" s="334"/>
      <c r="P131" s="334"/>
      <c r="Q131" s="336"/>
    </row>
    <row r="132" ht="15.75" customHeight="1">
      <c r="A132" s="334"/>
      <c r="B132" s="334"/>
      <c r="C132" s="334"/>
      <c r="D132" s="334"/>
      <c r="E132" s="334"/>
      <c r="F132" s="334"/>
      <c r="G132" s="334"/>
      <c r="H132" s="334"/>
      <c r="I132" s="334"/>
      <c r="J132" s="334"/>
      <c r="K132" s="334"/>
      <c r="L132" s="334"/>
      <c r="M132" s="334"/>
      <c r="N132" s="334"/>
      <c r="O132" s="334"/>
      <c r="P132" s="334"/>
      <c r="Q132" s="336"/>
    </row>
    <row r="133" ht="15.75" customHeight="1">
      <c r="A133" s="334"/>
      <c r="B133" s="334"/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334"/>
      <c r="O133" s="334"/>
      <c r="P133" s="334"/>
      <c r="Q133" s="336"/>
    </row>
    <row r="134" ht="15.75" customHeight="1">
      <c r="A134" s="334"/>
      <c r="B134" s="334"/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6"/>
    </row>
    <row r="135" ht="15.75" customHeight="1">
      <c r="A135" s="334"/>
      <c r="B135" s="334"/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  <c r="M135" s="334"/>
      <c r="N135" s="334"/>
      <c r="O135" s="334"/>
      <c r="P135" s="334"/>
      <c r="Q135" s="336"/>
    </row>
    <row r="136" ht="15.75" customHeight="1">
      <c r="A136" s="334"/>
      <c r="B136" s="334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6"/>
    </row>
    <row r="137" ht="15.75" customHeight="1">
      <c r="A137" s="334"/>
      <c r="B137" s="334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34"/>
      <c r="O137" s="334"/>
      <c r="P137" s="334"/>
      <c r="Q137" s="336"/>
    </row>
    <row r="138" ht="15.75" customHeight="1">
      <c r="A138" s="334"/>
      <c r="B138" s="334"/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34"/>
      <c r="O138" s="334"/>
      <c r="P138" s="334"/>
      <c r="Q138" s="336"/>
    </row>
    <row r="139" ht="15.75" customHeight="1">
      <c r="A139" s="334"/>
      <c r="B139" s="334"/>
      <c r="C139" s="334"/>
      <c r="D139" s="334"/>
      <c r="E139" s="334"/>
      <c r="F139" s="334"/>
      <c r="G139" s="334"/>
      <c r="H139" s="334"/>
      <c r="I139" s="334"/>
      <c r="J139" s="334"/>
      <c r="K139" s="334"/>
      <c r="L139" s="334"/>
      <c r="M139" s="334"/>
      <c r="N139" s="334"/>
      <c r="O139" s="334"/>
      <c r="P139" s="334"/>
      <c r="Q139" s="336"/>
    </row>
    <row r="140" ht="15.75" customHeight="1">
      <c r="A140" s="334"/>
      <c r="B140" s="334"/>
      <c r="C140" s="334"/>
      <c r="D140" s="334"/>
      <c r="E140" s="334"/>
      <c r="F140" s="334"/>
      <c r="G140" s="334"/>
      <c r="H140" s="334"/>
      <c r="I140" s="334"/>
      <c r="J140" s="334"/>
      <c r="K140" s="334"/>
      <c r="L140" s="334"/>
      <c r="M140" s="334"/>
      <c r="N140" s="334"/>
      <c r="O140" s="334"/>
      <c r="P140" s="334"/>
      <c r="Q140" s="336"/>
    </row>
    <row r="141" ht="15.75" customHeight="1">
      <c r="A141" s="334"/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6"/>
    </row>
    <row r="142" ht="15.75" customHeight="1">
      <c r="A142" s="334"/>
      <c r="B142" s="334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34"/>
      <c r="O142" s="334"/>
      <c r="P142" s="334"/>
      <c r="Q142" s="336"/>
    </row>
    <row r="143" ht="15.75" customHeight="1">
      <c r="A143" s="334"/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6"/>
    </row>
    <row r="144" ht="15.75" customHeight="1">
      <c r="A144" s="334"/>
      <c r="B144" s="334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4"/>
      <c r="Q144" s="336"/>
    </row>
    <row r="145" ht="15.75" customHeight="1">
      <c r="A145" s="334"/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6"/>
    </row>
    <row r="146" ht="15.75" customHeight="1">
      <c r="A146" s="334"/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6"/>
    </row>
    <row r="147" ht="15.75" customHeight="1">
      <c r="A147" s="334"/>
      <c r="B147" s="334"/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6"/>
    </row>
    <row r="148" ht="15.75" customHeight="1">
      <c r="A148" s="334"/>
      <c r="B148" s="334"/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Q148" s="336"/>
    </row>
    <row r="149" ht="15.75" customHeight="1">
      <c r="A149" s="334"/>
      <c r="B149" s="334"/>
      <c r="C149" s="334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4"/>
      <c r="Q149" s="336"/>
    </row>
    <row r="150" ht="15.75" customHeight="1">
      <c r="A150" s="334"/>
      <c r="B150" s="334"/>
      <c r="C150" s="334"/>
      <c r="D150" s="334"/>
      <c r="E150" s="334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4"/>
      <c r="Q150" s="336"/>
    </row>
    <row r="151" ht="15.75" customHeight="1">
      <c r="A151" s="334"/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6"/>
    </row>
    <row r="152" ht="15.75" customHeight="1">
      <c r="A152" s="334"/>
      <c r="B152" s="334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6"/>
    </row>
    <row r="153" ht="15.75" customHeight="1">
      <c r="A153" s="334"/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4"/>
      <c r="Q153" s="336"/>
    </row>
    <row r="154" ht="15.75" customHeight="1">
      <c r="A154" s="334"/>
      <c r="B154" s="334"/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4"/>
      <c r="Q154" s="336"/>
    </row>
    <row r="155" ht="15.75" customHeight="1">
      <c r="A155" s="334"/>
      <c r="B155" s="334"/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6"/>
    </row>
    <row r="156" ht="15.75" customHeight="1">
      <c r="A156" s="334"/>
      <c r="B156" s="334"/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4"/>
      <c r="Q156" s="336"/>
    </row>
    <row r="157" ht="15.75" customHeight="1">
      <c r="A157" s="334"/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6"/>
    </row>
    <row r="158" ht="15.75" customHeight="1">
      <c r="A158" s="334"/>
      <c r="B158" s="334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4"/>
      <c r="Q158" s="336"/>
    </row>
    <row r="159" ht="15.75" customHeight="1">
      <c r="A159" s="334"/>
      <c r="B159" s="334"/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4"/>
      <c r="Q159" s="336"/>
    </row>
    <row r="160" ht="15.75" customHeight="1">
      <c r="A160" s="334"/>
      <c r="B160" s="334"/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4"/>
      <c r="Q160" s="336"/>
    </row>
    <row r="161" ht="15.75" customHeight="1">
      <c r="A161" s="334"/>
      <c r="B161" s="334"/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4"/>
      <c r="Q161" s="336"/>
    </row>
    <row r="162" ht="15.75" customHeight="1">
      <c r="A162" s="334"/>
      <c r="B162" s="334"/>
      <c r="C162" s="334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4"/>
      <c r="Q162" s="336"/>
    </row>
    <row r="163" ht="15.75" customHeight="1">
      <c r="A163" s="334"/>
      <c r="B163" s="334"/>
      <c r="C163" s="334"/>
      <c r="D163" s="334"/>
      <c r="E163" s="334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4"/>
      <c r="Q163" s="336"/>
    </row>
    <row r="164" ht="15.75" customHeight="1">
      <c r="A164" s="334"/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6"/>
    </row>
    <row r="165" ht="15.75" customHeight="1">
      <c r="A165" s="334"/>
      <c r="B165" s="334"/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6"/>
    </row>
    <row r="166" ht="15.75" customHeight="1">
      <c r="A166" s="334"/>
      <c r="B166" s="334"/>
      <c r="C166" s="334"/>
      <c r="D166" s="334"/>
      <c r="E166" s="334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4"/>
      <c r="Q166" s="336"/>
    </row>
    <row r="167" ht="15.75" customHeight="1">
      <c r="A167" s="334"/>
      <c r="B167" s="334"/>
      <c r="C167" s="334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6"/>
    </row>
    <row r="168" ht="15.75" customHeight="1">
      <c r="A168" s="334"/>
      <c r="B168" s="334"/>
      <c r="C168" s="334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4"/>
      <c r="Q168" s="336"/>
    </row>
    <row r="169" ht="15.75" customHeight="1">
      <c r="A169" s="334"/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6"/>
    </row>
    <row r="170" ht="15.75" customHeight="1">
      <c r="A170" s="334"/>
      <c r="B170" s="334"/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/>
      <c r="N170" s="334"/>
      <c r="O170" s="334"/>
      <c r="P170" s="334"/>
      <c r="Q170" s="336"/>
    </row>
    <row r="171" ht="15.75" customHeight="1">
      <c r="A171" s="334"/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6"/>
    </row>
    <row r="172" ht="15.75" customHeight="1">
      <c r="A172" s="334"/>
      <c r="B172" s="334"/>
      <c r="C172" s="334"/>
      <c r="D172" s="334"/>
      <c r="E172" s="334"/>
      <c r="F172" s="334"/>
      <c r="G172" s="334"/>
      <c r="H172" s="334"/>
      <c r="I172" s="334"/>
      <c r="J172" s="334"/>
      <c r="K172" s="334"/>
      <c r="L172" s="334"/>
      <c r="M172" s="334"/>
      <c r="N172" s="334"/>
      <c r="O172" s="334"/>
      <c r="P172" s="334"/>
      <c r="Q172" s="336"/>
    </row>
    <row r="173" ht="15.75" customHeight="1">
      <c r="A173" s="334"/>
      <c r="B173" s="334"/>
      <c r="C173" s="334"/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6"/>
    </row>
    <row r="174" ht="15.75" customHeight="1">
      <c r="A174" s="334"/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6"/>
    </row>
    <row r="175" ht="15.75" customHeight="1">
      <c r="A175" s="334"/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4"/>
      <c r="Q175" s="336"/>
    </row>
    <row r="176" ht="15.75" customHeight="1">
      <c r="A176" s="334"/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4"/>
      <c r="Q176" s="336"/>
    </row>
    <row r="177" ht="15.75" customHeight="1">
      <c r="A177" s="334"/>
      <c r="B177" s="334"/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34"/>
      <c r="Q177" s="336"/>
    </row>
    <row r="178" ht="15.75" customHeight="1">
      <c r="A178" s="334"/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4"/>
      <c r="Q178" s="336"/>
    </row>
    <row r="179" ht="15.75" customHeight="1">
      <c r="A179" s="334"/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6"/>
    </row>
    <row r="180" ht="15.75" customHeight="1">
      <c r="A180" s="334"/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6"/>
    </row>
    <row r="181" ht="15.75" customHeight="1">
      <c r="A181" s="334"/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6"/>
    </row>
    <row r="182" ht="15.75" customHeight="1">
      <c r="A182" s="334"/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6"/>
    </row>
    <row r="183" ht="15.75" customHeight="1">
      <c r="A183" s="334"/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6"/>
    </row>
    <row r="184" ht="15.75" customHeight="1">
      <c r="A184" s="334"/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6"/>
    </row>
    <row r="185" ht="15.75" customHeight="1">
      <c r="A185" s="334"/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6"/>
    </row>
    <row r="186" ht="15.75" customHeight="1">
      <c r="A186" s="334"/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6"/>
    </row>
    <row r="187" ht="15.75" customHeight="1">
      <c r="A187" s="334"/>
      <c r="B187" s="334"/>
      <c r="C187" s="334"/>
      <c r="D187" s="334"/>
      <c r="E187" s="334"/>
      <c r="F187" s="334"/>
      <c r="G187" s="334"/>
      <c r="H187" s="334"/>
      <c r="I187" s="334"/>
      <c r="J187" s="334"/>
      <c r="K187" s="334"/>
      <c r="L187" s="334"/>
      <c r="M187" s="334"/>
      <c r="N187" s="334"/>
      <c r="O187" s="334"/>
      <c r="P187" s="334"/>
      <c r="Q187" s="336"/>
    </row>
    <row r="188" ht="15.75" customHeight="1">
      <c r="A188" s="334"/>
      <c r="B188" s="334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4"/>
      <c r="Q188" s="336"/>
    </row>
    <row r="189" ht="15.75" customHeight="1">
      <c r="A189" s="334"/>
      <c r="B189" s="334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4"/>
      <c r="Q189" s="336"/>
    </row>
    <row r="190" ht="15.75" customHeight="1">
      <c r="A190" s="334"/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  <c r="M190" s="334"/>
      <c r="N190" s="334"/>
      <c r="O190" s="334"/>
      <c r="P190" s="334"/>
      <c r="Q190" s="336"/>
    </row>
    <row r="191" ht="15.75" customHeight="1">
      <c r="A191" s="334"/>
      <c r="B191" s="334"/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334"/>
      <c r="O191" s="334"/>
      <c r="P191" s="334"/>
      <c r="Q191" s="336"/>
    </row>
    <row r="192" ht="15.75" customHeight="1">
      <c r="A192" s="334"/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4"/>
      <c r="Q192" s="336"/>
    </row>
    <row r="193" ht="15.75" customHeight="1">
      <c r="A193" s="334"/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4"/>
      <c r="Q193" s="336"/>
    </row>
    <row r="194" ht="15.75" customHeight="1">
      <c r="A194" s="334"/>
      <c r="B194" s="334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334"/>
      <c r="O194" s="334"/>
      <c r="P194" s="334"/>
      <c r="Q194" s="336"/>
    </row>
    <row r="195" ht="15.75" customHeight="1">
      <c r="A195" s="334"/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6"/>
    </row>
    <row r="196" ht="15.75" customHeight="1">
      <c r="A196" s="334"/>
      <c r="B196" s="334"/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4"/>
      <c r="Q196" s="336"/>
    </row>
    <row r="197" ht="15.75" customHeight="1">
      <c r="A197" s="334"/>
      <c r="B197" s="334"/>
      <c r="C197" s="334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4"/>
      <c r="Q197" s="336"/>
    </row>
    <row r="198" ht="15.75" customHeight="1">
      <c r="A198" s="334"/>
      <c r="B198" s="334"/>
      <c r="C198" s="334"/>
      <c r="D198" s="334"/>
      <c r="E198" s="334"/>
      <c r="F198" s="334"/>
      <c r="G198" s="334"/>
      <c r="H198" s="334"/>
      <c r="I198" s="334"/>
      <c r="J198" s="334"/>
      <c r="K198" s="334"/>
      <c r="L198" s="334"/>
      <c r="M198" s="334"/>
      <c r="N198" s="334"/>
      <c r="O198" s="334"/>
      <c r="P198" s="334"/>
      <c r="Q198" s="336"/>
    </row>
    <row r="199" ht="15.75" customHeight="1">
      <c r="A199" s="334"/>
      <c r="B199" s="334"/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4"/>
      <c r="Q199" s="336"/>
    </row>
    <row r="200" ht="15.75" customHeight="1">
      <c r="A200" s="334"/>
      <c r="B200" s="334"/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4"/>
      <c r="Q200" s="336"/>
    </row>
    <row r="201" ht="15.75" customHeight="1">
      <c r="A201" s="334"/>
      <c r="B201" s="334"/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334"/>
      <c r="O201" s="334"/>
      <c r="P201" s="334"/>
      <c r="Q201" s="336"/>
    </row>
    <row r="202" ht="15.75" customHeight="1">
      <c r="A202" s="334"/>
      <c r="B202" s="334"/>
      <c r="C202" s="334"/>
      <c r="D202" s="334"/>
      <c r="E202" s="334"/>
      <c r="F202" s="334"/>
      <c r="G202" s="334"/>
      <c r="H202" s="334"/>
      <c r="I202" s="334"/>
      <c r="J202" s="334"/>
      <c r="K202" s="334"/>
      <c r="L202" s="334"/>
      <c r="M202" s="334"/>
      <c r="N202" s="334"/>
      <c r="O202" s="334"/>
      <c r="P202" s="334"/>
      <c r="Q202" s="336"/>
    </row>
    <row r="203" ht="15.75" customHeight="1">
      <c r="A203" s="334"/>
      <c r="B203" s="334"/>
      <c r="C203" s="334"/>
      <c r="D203" s="334"/>
      <c r="E203" s="334"/>
      <c r="F203" s="334"/>
      <c r="G203" s="334"/>
      <c r="H203" s="334"/>
      <c r="I203" s="334"/>
      <c r="J203" s="334"/>
      <c r="K203" s="334"/>
      <c r="L203" s="334"/>
      <c r="M203" s="334"/>
      <c r="N203" s="334"/>
      <c r="O203" s="334"/>
      <c r="P203" s="334"/>
      <c r="Q203" s="336"/>
    </row>
    <row r="204" ht="15.75" customHeight="1">
      <c r="A204" s="334"/>
      <c r="B204" s="334"/>
      <c r="C204" s="334"/>
      <c r="D204" s="334"/>
      <c r="E204" s="334"/>
      <c r="F204" s="334"/>
      <c r="G204" s="334"/>
      <c r="H204" s="334"/>
      <c r="I204" s="334"/>
      <c r="J204" s="334"/>
      <c r="K204" s="334"/>
      <c r="L204" s="334"/>
      <c r="M204" s="334"/>
      <c r="N204" s="334"/>
      <c r="O204" s="334"/>
      <c r="P204" s="334"/>
      <c r="Q204" s="336"/>
    </row>
    <row r="205" ht="15.75" customHeight="1">
      <c r="A205" s="334"/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6"/>
    </row>
    <row r="206" ht="15.75" customHeight="1">
      <c r="A206" s="334"/>
      <c r="B206" s="334"/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334"/>
      <c r="O206" s="334"/>
      <c r="P206" s="334"/>
      <c r="Q206" s="336"/>
    </row>
    <row r="207" ht="15.75" customHeight="1">
      <c r="A207" s="334"/>
      <c r="B207" s="334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4"/>
      <c r="Q207" s="336"/>
    </row>
    <row r="208" ht="15.75" customHeight="1">
      <c r="A208" s="334"/>
      <c r="B208" s="334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6"/>
    </row>
    <row r="209" ht="15.75" customHeight="1">
      <c r="A209" s="334"/>
      <c r="B209" s="334"/>
      <c r="C209" s="334"/>
      <c r="D209" s="334"/>
      <c r="E209" s="334"/>
      <c r="F209" s="334"/>
      <c r="G209" s="334"/>
      <c r="H209" s="334"/>
      <c r="I209" s="334"/>
      <c r="J209" s="334"/>
      <c r="K209" s="334"/>
      <c r="L209" s="334"/>
      <c r="M209" s="334"/>
      <c r="N209" s="334"/>
      <c r="O209" s="334"/>
      <c r="P209" s="334"/>
      <c r="Q209" s="336"/>
    </row>
    <row r="210" ht="15.75" customHeight="1">
      <c r="A210" s="334"/>
      <c r="B210" s="334"/>
      <c r="C210" s="334"/>
      <c r="D210" s="334"/>
      <c r="E210" s="334"/>
      <c r="F210" s="334"/>
      <c r="G210" s="334"/>
      <c r="H210" s="334"/>
      <c r="I210" s="334"/>
      <c r="J210" s="334"/>
      <c r="K210" s="334"/>
      <c r="L210" s="334"/>
      <c r="M210" s="334"/>
      <c r="N210" s="334"/>
      <c r="O210" s="334"/>
      <c r="P210" s="334"/>
      <c r="Q210" s="336"/>
    </row>
    <row r="211" ht="15.75" customHeight="1">
      <c r="A211" s="334"/>
      <c r="B211" s="334"/>
      <c r="C211" s="334"/>
      <c r="D211" s="334"/>
      <c r="E211" s="334"/>
      <c r="F211" s="334"/>
      <c r="G211" s="334"/>
      <c r="H211" s="334"/>
      <c r="I211" s="334"/>
      <c r="J211" s="334"/>
      <c r="K211" s="334"/>
      <c r="L211" s="334"/>
      <c r="M211" s="334"/>
      <c r="N211" s="334"/>
      <c r="O211" s="334"/>
      <c r="P211" s="334"/>
      <c r="Q211" s="336"/>
    </row>
    <row r="212" ht="15.75" customHeight="1">
      <c r="A212" s="334"/>
      <c r="B212" s="334"/>
      <c r="C212" s="334"/>
      <c r="D212" s="334"/>
      <c r="E212" s="334"/>
      <c r="F212" s="334"/>
      <c r="G212" s="334"/>
      <c r="H212" s="334"/>
      <c r="I212" s="334"/>
      <c r="J212" s="334"/>
      <c r="K212" s="334"/>
      <c r="L212" s="334"/>
      <c r="M212" s="334"/>
      <c r="N212" s="334"/>
      <c r="O212" s="334"/>
      <c r="P212" s="334"/>
      <c r="Q212" s="336"/>
    </row>
    <row r="213" ht="15.75" customHeight="1">
      <c r="A213" s="334"/>
      <c r="B213" s="334"/>
      <c r="C213" s="334"/>
      <c r="D213" s="334"/>
      <c r="E213" s="334"/>
      <c r="F213" s="334"/>
      <c r="G213" s="334"/>
      <c r="H213" s="334"/>
      <c r="I213" s="334"/>
      <c r="J213" s="334"/>
      <c r="K213" s="334"/>
      <c r="L213" s="334"/>
      <c r="M213" s="334"/>
      <c r="N213" s="334"/>
      <c r="O213" s="334"/>
      <c r="P213" s="334"/>
      <c r="Q213" s="336"/>
    </row>
    <row r="214" ht="15.75" customHeight="1">
      <c r="A214" s="334"/>
      <c r="B214" s="334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334"/>
      <c r="O214" s="334"/>
      <c r="P214" s="334"/>
      <c r="Q214" s="336"/>
    </row>
    <row r="215" ht="15.75" customHeight="1">
      <c r="A215" s="334"/>
      <c r="B215" s="334"/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334"/>
      <c r="O215" s="334"/>
      <c r="P215" s="334"/>
      <c r="Q215" s="336"/>
    </row>
    <row r="216" ht="15.75" customHeight="1">
      <c r="A216" s="334"/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334"/>
      <c r="O216" s="334"/>
      <c r="P216" s="334"/>
      <c r="Q216" s="336"/>
    </row>
    <row r="217" ht="15.75" customHeight="1">
      <c r="A217" s="334"/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4"/>
      <c r="Q217" s="336"/>
    </row>
    <row r="218" ht="15.75" customHeight="1">
      <c r="A218" s="334"/>
      <c r="B218" s="334"/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  <c r="M218" s="334"/>
      <c r="N218" s="334"/>
      <c r="O218" s="334"/>
      <c r="P218" s="334"/>
      <c r="Q218" s="336"/>
    </row>
    <row r="219" ht="15.75" customHeight="1">
      <c r="A219" s="334"/>
      <c r="B219" s="334"/>
      <c r="C219" s="334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334"/>
      <c r="O219" s="334"/>
      <c r="P219" s="334"/>
      <c r="Q219" s="336"/>
    </row>
    <row r="220" ht="15.75" customHeight="1">
      <c r="A220" s="334"/>
      <c r="B220" s="334"/>
      <c r="C220" s="334"/>
      <c r="D220" s="334"/>
      <c r="E220" s="334"/>
      <c r="F220" s="334"/>
      <c r="G220" s="334"/>
      <c r="H220" s="334"/>
      <c r="I220" s="334"/>
      <c r="J220" s="334"/>
      <c r="K220" s="334"/>
      <c r="L220" s="334"/>
      <c r="M220" s="334"/>
      <c r="N220" s="334"/>
      <c r="O220" s="334"/>
      <c r="P220" s="334"/>
      <c r="Q220" s="336"/>
    </row>
    <row r="221" ht="15.75" customHeight="1">
      <c r="A221" s="334"/>
      <c r="B221" s="334"/>
      <c r="C221" s="334"/>
      <c r="D221" s="334"/>
      <c r="E221" s="334"/>
      <c r="F221" s="334"/>
      <c r="G221" s="334"/>
      <c r="H221" s="334"/>
      <c r="I221" s="334"/>
      <c r="J221" s="334"/>
      <c r="K221" s="334"/>
      <c r="L221" s="334"/>
      <c r="M221" s="334"/>
      <c r="N221" s="334"/>
      <c r="O221" s="334"/>
      <c r="P221" s="334"/>
      <c r="Q221" s="336"/>
    </row>
    <row r="222" ht="15.75" customHeight="1">
      <c r="A222" s="334"/>
      <c r="B222" s="334"/>
      <c r="C222" s="334"/>
      <c r="D222" s="334"/>
      <c r="E222" s="334"/>
      <c r="F222" s="334"/>
      <c r="G222" s="334"/>
      <c r="H222" s="334"/>
      <c r="I222" s="334"/>
      <c r="J222" s="334"/>
      <c r="K222" s="334"/>
      <c r="L222" s="334"/>
      <c r="M222" s="334"/>
      <c r="N222" s="334"/>
      <c r="O222" s="334"/>
      <c r="P222" s="334"/>
      <c r="Q222" s="336"/>
    </row>
    <row r="223" ht="15.75" customHeight="1">
      <c r="A223" s="334"/>
      <c r="B223" s="334"/>
      <c r="C223" s="334"/>
      <c r="D223" s="334"/>
      <c r="E223" s="334"/>
      <c r="F223" s="334"/>
      <c r="G223" s="334"/>
      <c r="H223" s="334"/>
      <c r="I223" s="334"/>
      <c r="J223" s="334"/>
      <c r="K223" s="334"/>
      <c r="L223" s="334"/>
      <c r="M223" s="334"/>
      <c r="N223" s="334"/>
      <c r="O223" s="334"/>
      <c r="P223" s="334"/>
      <c r="Q223" s="336"/>
    </row>
    <row r="224" ht="15.75" customHeight="1">
      <c r="A224" s="334"/>
      <c r="B224" s="334"/>
      <c r="C224" s="334"/>
      <c r="D224" s="334"/>
      <c r="E224" s="334"/>
      <c r="F224" s="334"/>
      <c r="G224" s="334"/>
      <c r="H224" s="334"/>
      <c r="I224" s="334"/>
      <c r="J224" s="334"/>
      <c r="K224" s="334"/>
      <c r="L224" s="334"/>
      <c r="M224" s="334"/>
      <c r="N224" s="334"/>
      <c r="O224" s="334"/>
      <c r="P224" s="334"/>
      <c r="Q224" s="336"/>
    </row>
    <row r="225" ht="15.75" customHeight="1">
      <c r="A225" s="334"/>
      <c r="B225" s="334"/>
      <c r="C225" s="334"/>
      <c r="D225" s="334"/>
      <c r="E225" s="334"/>
      <c r="F225" s="334"/>
      <c r="G225" s="334"/>
      <c r="H225" s="334"/>
      <c r="I225" s="334"/>
      <c r="J225" s="334"/>
      <c r="K225" s="334"/>
      <c r="L225" s="334"/>
      <c r="M225" s="334"/>
      <c r="N225" s="334"/>
      <c r="O225" s="334"/>
      <c r="P225" s="334"/>
      <c r="Q225" s="336"/>
    </row>
    <row r="226" ht="15.75" customHeight="1">
      <c r="A226" s="334"/>
      <c r="B226" s="334"/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334"/>
      <c r="N226" s="334"/>
      <c r="O226" s="334"/>
      <c r="P226" s="334"/>
      <c r="Q226" s="336"/>
    </row>
    <row r="227" ht="15.75" customHeight="1">
      <c r="A227" s="334"/>
      <c r="B227" s="334"/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334"/>
      <c r="O227" s="334"/>
      <c r="P227" s="334"/>
      <c r="Q227" s="336"/>
    </row>
    <row r="228" ht="15.75" customHeight="1">
      <c r="A228" s="334"/>
      <c r="B228" s="334"/>
      <c r="C228" s="334"/>
      <c r="D228" s="334"/>
      <c r="E228" s="334"/>
      <c r="F228" s="334"/>
      <c r="G228" s="334"/>
      <c r="H228" s="334"/>
      <c r="I228" s="334"/>
      <c r="J228" s="334"/>
      <c r="K228" s="334"/>
      <c r="L228" s="334"/>
      <c r="M228" s="334"/>
      <c r="N228" s="334"/>
      <c r="O228" s="334"/>
      <c r="P228" s="334"/>
      <c r="Q228" s="336"/>
    </row>
    <row r="229" ht="15.75" customHeight="1">
      <c r="A229" s="334"/>
      <c r="B229" s="334"/>
      <c r="C229" s="334"/>
      <c r="D229" s="334"/>
      <c r="E229" s="334"/>
      <c r="F229" s="334"/>
      <c r="G229" s="334"/>
      <c r="H229" s="334"/>
      <c r="I229" s="334"/>
      <c r="J229" s="334"/>
      <c r="K229" s="334"/>
      <c r="L229" s="334"/>
      <c r="M229" s="334"/>
      <c r="N229" s="334"/>
      <c r="O229" s="334"/>
      <c r="P229" s="334"/>
      <c r="Q229" s="336"/>
    </row>
    <row r="230" ht="15.75" customHeight="1">
      <c r="A230" s="334"/>
      <c r="B230" s="334"/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334"/>
      <c r="O230" s="334"/>
      <c r="P230" s="334"/>
      <c r="Q230" s="336"/>
    </row>
    <row r="231" ht="15.75" customHeight="1">
      <c r="A231" s="334"/>
      <c r="B231" s="334"/>
      <c r="C231" s="334"/>
      <c r="D231" s="334"/>
      <c r="E231" s="334"/>
      <c r="F231" s="334"/>
      <c r="G231" s="334"/>
      <c r="H231" s="334"/>
      <c r="I231" s="334"/>
      <c r="J231" s="334"/>
      <c r="K231" s="334"/>
      <c r="L231" s="334"/>
      <c r="M231" s="334"/>
      <c r="N231" s="334"/>
      <c r="O231" s="334"/>
      <c r="P231" s="334"/>
      <c r="Q231" s="336"/>
    </row>
    <row r="232" ht="15.75" customHeight="1">
      <c r="A232" s="334"/>
      <c r="B232" s="334"/>
      <c r="C232" s="334"/>
      <c r="D232" s="334"/>
      <c r="E232" s="334"/>
      <c r="F232" s="334"/>
      <c r="G232" s="334"/>
      <c r="H232" s="334"/>
      <c r="I232" s="334"/>
      <c r="J232" s="334"/>
      <c r="K232" s="334"/>
      <c r="L232" s="334"/>
      <c r="M232" s="334"/>
      <c r="N232" s="334"/>
      <c r="O232" s="334"/>
      <c r="P232" s="334"/>
      <c r="Q232" s="336"/>
    </row>
    <row r="233" ht="15.75" customHeight="1">
      <c r="A233" s="334"/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6"/>
    </row>
    <row r="234" ht="15.75" customHeight="1">
      <c r="A234" s="334"/>
      <c r="B234" s="334"/>
      <c r="C234" s="334"/>
      <c r="D234" s="334"/>
      <c r="E234" s="334"/>
      <c r="F234" s="334"/>
      <c r="G234" s="334"/>
      <c r="H234" s="334"/>
      <c r="I234" s="334"/>
      <c r="J234" s="334"/>
      <c r="K234" s="334"/>
      <c r="L234" s="334"/>
      <c r="M234" s="334"/>
      <c r="N234" s="334"/>
      <c r="O234" s="334"/>
      <c r="P234" s="334"/>
      <c r="Q234" s="336"/>
    </row>
    <row r="235" ht="15.75" customHeight="1">
      <c r="A235" s="334"/>
      <c r="B235" s="334"/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  <c r="M235" s="334"/>
      <c r="N235" s="334"/>
      <c r="O235" s="334"/>
      <c r="P235" s="334"/>
      <c r="Q235" s="336"/>
    </row>
    <row r="236" ht="15.75" customHeight="1">
      <c r="A236" s="334"/>
      <c r="B236" s="334"/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6"/>
    </row>
    <row r="237" ht="15.75" customHeight="1">
      <c r="A237" s="334"/>
      <c r="B237" s="334"/>
      <c r="C237" s="334"/>
      <c r="D237" s="334"/>
      <c r="E237" s="334"/>
      <c r="F237" s="334"/>
      <c r="G237" s="334"/>
      <c r="H237" s="334"/>
      <c r="I237" s="334"/>
      <c r="J237" s="334"/>
      <c r="K237" s="334"/>
      <c r="L237" s="334"/>
      <c r="M237" s="334"/>
      <c r="N237" s="334"/>
      <c r="O237" s="334"/>
      <c r="P237" s="334"/>
      <c r="Q237" s="336"/>
    </row>
    <row r="238" ht="15.75" customHeight="1">
      <c r="A238" s="334"/>
      <c r="B238" s="334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  <c r="M238" s="334"/>
      <c r="N238" s="334"/>
      <c r="O238" s="334"/>
      <c r="P238" s="334"/>
      <c r="Q238" s="336"/>
    </row>
    <row r="239" ht="15.75" customHeight="1">
      <c r="A239" s="334"/>
      <c r="B239" s="334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334"/>
      <c r="O239" s="334"/>
      <c r="P239" s="334"/>
      <c r="Q239" s="336"/>
    </row>
    <row r="240" ht="15.75" customHeight="1">
      <c r="A240" s="334"/>
      <c r="B240" s="334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334"/>
      <c r="O240" s="334"/>
      <c r="P240" s="334"/>
      <c r="Q240" s="336"/>
    </row>
    <row r="241" ht="15.75" customHeight="1">
      <c r="A241" s="334"/>
      <c r="B241" s="334"/>
      <c r="C241" s="334"/>
      <c r="D241" s="334"/>
      <c r="E241" s="334"/>
      <c r="F241" s="334"/>
      <c r="G241" s="334"/>
      <c r="H241" s="334"/>
      <c r="I241" s="334"/>
      <c r="J241" s="334"/>
      <c r="K241" s="334"/>
      <c r="L241" s="334"/>
      <c r="M241" s="334"/>
      <c r="N241" s="334"/>
      <c r="O241" s="334"/>
      <c r="P241" s="334"/>
      <c r="Q241" s="336"/>
    </row>
    <row r="242" ht="15.75" customHeight="1">
      <c r="A242" s="334"/>
      <c r="B242" s="334"/>
      <c r="C242" s="334"/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334"/>
      <c r="O242" s="334"/>
      <c r="P242" s="334"/>
      <c r="Q242" s="336"/>
    </row>
    <row r="243" ht="15.75" customHeight="1">
      <c r="A243" s="334"/>
      <c r="B243" s="334"/>
      <c r="C243" s="334"/>
      <c r="D243" s="334"/>
      <c r="E243" s="334"/>
      <c r="F243" s="334"/>
      <c r="G243" s="334"/>
      <c r="H243" s="334"/>
      <c r="I243" s="334"/>
      <c r="J243" s="334"/>
      <c r="K243" s="334"/>
      <c r="L243" s="334"/>
      <c r="M243" s="334"/>
      <c r="N243" s="334"/>
      <c r="O243" s="334"/>
      <c r="P243" s="334"/>
      <c r="Q243" s="336"/>
    </row>
    <row r="244" ht="15.75" customHeight="1">
      <c r="A244" s="334"/>
      <c r="B244" s="334"/>
      <c r="C244" s="334"/>
      <c r="D244" s="334"/>
      <c r="E244" s="334"/>
      <c r="F244" s="334"/>
      <c r="G244" s="334"/>
      <c r="H244" s="334"/>
      <c r="I244" s="334"/>
      <c r="J244" s="334"/>
      <c r="K244" s="334"/>
      <c r="L244" s="334"/>
      <c r="M244" s="334"/>
      <c r="N244" s="334"/>
      <c r="O244" s="334"/>
      <c r="P244" s="334"/>
      <c r="Q244" s="336"/>
    </row>
    <row r="245" ht="15.75" customHeight="1">
      <c r="A245" s="336"/>
      <c r="B245" s="336"/>
      <c r="C245" s="336"/>
      <c r="D245" s="336"/>
      <c r="E245" s="336"/>
      <c r="F245" s="336"/>
      <c r="G245" s="336"/>
      <c r="H245" s="336"/>
      <c r="I245" s="336"/>
      <c r="J245" s="336"/>
      <c r="K245" s="336"/>
      <c r="L245" s="336"/>
      <c r="M245" s="336"/>
      <c r="N245" s="336"/>
      <c r="O245" s="336"/>
      <c r="P245" s="336"/>
      <c r="Q245" s="336"/>
    </row>
    <row r="246" ht="15.75" customHeight="1">
      <c r="A246" s="336"/>
      <c r="B246" s="336"/>
      <c r="C246" s="336"/>
      <c r="D246" s="336"/>
      <c r="E246" s="336"/>
      <c r="F246" s="336"/>
      <c r="G246" s="336"/>
      <c r="H246" s="336"/>
      <c r="I246" s="336"/>
      <c r="J246" s="336"/>
      <c r="K246" s="336"/>
      <c r="L246" s="336"/>
      <c r="M246" s="336"/>
      <c r="N246" s="336"/>
      <c r="O246" s="336"/>
      <c r="P246" s="336"/>
      <c r="Q246" s="336"/>
    </row>
    <row r="247" ht="15.75" customHeight="1">
      <c r="A247" s="336"/>
      <c r="B247" s="336"/>
      <c r="C247" s="336"/>
      <c r="D247" s="336"/>
      <c r="E247" s="336"/>
      <c r="F247" s="336"/>
      <c r="G247" s="336"/>
      <c r="H247" s="336"/>
      <c r="I247" s="336"/>
      <c r="J247" s="336"/>
      <c r="K247" s="336"/>
      <c r="L247" s="336"/>
      <c r="M247" s="336"/>
      <c r="N247" s="336"/>
      <c r="O247" s="336"/>
      <c r="P247" s="336"/>
      <c r="Q247" s="336"/>
    </row>
    <row r="248" ht="15.75" customHeight="1">
      <c r="A248" s="336"/>
      <c r="B248" s="336"/>
      <c r="C248" s="336"/>
      <c r="D248" s="336"/>
      <c r="E248" s="336"/>
      <c r="F248" s="336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  <c r="Q248" s="336"/>
    </row>
    <row r="249" ht="15.75" customHeight="1">
      <c r="A249" s="336"/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</row>
    <row r="250" ht="15.75" customHeight="1">
      <c r="A250" s="336"/>
      <c r="B250" s="336"/>
      <c r="C250" s="336"/>
      <c r="D250" s="336"/>
      <c r="E250" s="336"/>
      <c r="F250" s="336"/>
      <c r="G250" s="336"/>
      <c r="H250" s="336"/>
      <c r="I250" s="336"/>
      <c r="J250" s="336"/>
      <c r="K250" s="336"/>
      <c r="L250" s="336"/>
      <c r="M250" s="336"/>
      <c r="N250" s="336"/>
      <c r="O250" s="336"/>
      <c r="P250" s="336"/>
      <c r="Q250" s="336"/>
    </row>
    <row r="251" ht="15.75" customHeight="1">
      <c r="A251" s="336"/>
      <c r="B251" s="336"/>
      <c r="C251" s="336"/>
      <c r="D251" s="336"/>
      <c r="E251" s="336"/>
      <c r="F251" s="336"/>
      <c r="G251" s="336"/>
      <c r="H251" s="336"/>
      <c r="I251" s="336"/>
      <c r="J251" s="336"/>
      <c r="K251" s="336"/>
      <c r="L251" s="336"/>
      <c r="M251" s="336"/>
      <c r="N251" s="336"/>
      <c r="O251" s="336"/>
      <c r="P251" s="336"/>
      <c r="Q251" s="336"/>
    </row>
    <row r="252" ht="15.75" customHeight="1">
      <c r="A252" s="336"/>
      <c r="B252" s="336"/>
      <c r="C252" s="336"/>
      <c r="D252" s="336"/>
      <c r="E252" s="336"/>
      <c r="F252" s="336"/>
      <c r="G252" s="336"/>
      <c r="H252" s="336"/>
      <c r="I252" s="336"/>
      <c r="J252" s="336"/>
      <c r="K252" s="336"/>
      <c r="L252" s="336"/>
      <c r="M252" s="336"/>
      <c r="N252" s="336"/>
      <c r="O252" s="336"/>
      <c r="P252" s="336"/>
      <c r="Q252" s="336"/>
    </row>
    <row r="253" ht="15.75" customHeight="1">
      <c r="A253" s="336"/>
      <c r="B253" s="336"/>
      <c r="C253" s="336"/>
      <c r="D253" s="336"/>
      <c r="E253" s="336"/>
      <c r="F253" s="336"/>
      <c r="G253" s="336"/>
      <c r="H253" s="336"/>
      <c r="I253" s="336"/>
      <c r="J253" s="336"/>
      <c r="K253" s="336"/>
      <c r="L253" s="336"/>
      <c r="M253" s="336"/>
      <c r="N253" s="336"/>
      <c r="O253" s="336"/>
      <c r="P253" s="336"/>
      <c r="Q253" s="336"/>
    </row>
    <row r="254" ht="15.75" customHeight="1">
      <c r="A254" s="336"/>
      <c r="B254" s="336"/>
      <c r="C254" s="336"/>
      <c r="D254" s="336"/>
      <c r="E254" s="336"/>
      <c r="F254" s="336"/>
      <c r="G254" s="336"/>
      <c r="H254" s="336"/>
      <c r="I254" s="336"/>
      <c r="J254" s="336"/>
      <c r="K254" s="336"/>
      <c r="L254" s="336"/>
      <c r="M254" s="336"/>
      <c r="N254" s="336"/>
      <c r="O254" s="336"/>
      <c r="P254" s="336"/>
      <c r="Q254" s="336"/>
    </row>
    <row r="255" ht="15.75" customHeight="1">
      <c r="A255" s="336"/>
      <c r="B255" s="336"/>
      <c r="C255" s="336"/>
      <c r="D255" s="336"/>
      <c r="E255" s="336"/>
      <c r="F255" s="336"/>
      <c r="G255" s="336"/>
      <c r="H255" s="336"/>
      <c r="I255" s="336"/>
      <c r="J255" s="336"/>
      <c r="K255" s="336"/>
      <c r="L255" s="336"/>
      <c r="M255" s="336"/>
      <c r="N255" s="336"/>
      <c r="O255" s="336"/>
      <c r="P255" s="336"/>
      <c r="Q255" s="336"/>
    </row>
    <row r="256" ht="15.75" customHeight="1">
      <c r="A256" s="336"/>
      <c r="B256" s="336"/>
      <c r="C256" s="336"/>
      <c r="D256" s="336"/>
      <c r="E256" s="336"/>
      <c r="F256" s="336"/>
      <c r="G256" s="336"/>
      <c r="H256" s="336"/>
      <c r="I256" s="336"/>
      <c r="J256" s="336"/>
      <c r="K256" s="336"/>
      <c r="L256" s="336"/>
      <c r="M256" s="336"/>
      <c r="N256" s="336"/>
      <c r="O256" s="336"/>
      <c r="P256" s="336"/>
      <c r="Q256" s="336"/>
    </row>
    <row r="257" ht="15.75" customHeight="1">
      <c r="A257" s="336"/>
      <c r="B257" s="336"/>
      <c r="C257" s="336"/>
      <c r="D257" s="336"/>
      <c r="E257" s="336"/>
      <c r="F257" s="336"/>
      <c r="G257" s="336"/>
      <c r="H257" s="336"/>
      <c r="I257" s="336"/>
      <c r="J257" s="336"/>
      <c r="K257" s="336"/>
      <c r="L257" s="336"/>
      <c r="M257" s="336"/>
      <c r="N257" s="336"/>
      <c r="O257" s="336"/>
      <c r="P257" s="336"/>
      <c r="Q257" s="336"/>
    </row>
    <row r="258" ht="15.75" customHeight="1">
      <c r="A258" s="336"/>
      <c r="B258" s="336"/>
      <c r="C258" s="336"/>
      <c r="D258" s="336"/>
      <c r="E258" s="336"/>
      <c r="F258" s="336"/>
      <c r="G258" s="336"/>
      <c r="H258" s="336"/>
      <c r="I258" s="336"/>
      <c r="J258" s="336"/>
      <c r="K258" s="336"/>
      <c r="L258" s="336"/>
      <c r="M258" s="336"/>
      <c r="N258" s="336"/>
      <c r="O258" s="336"/>
      <c r="P258" s="336"/>
      <c r="Q258" s="336"/>
    </row>
    <row r="259" ht="15.75" customHeight="1">
      <c r="A259" s="336"/>
      <c r="B259" s="336"/>
      <c r="C259" s="336"/>
      <c r="D259" s="336"/>
      <c r="E259" s="336"/>
      <c r="F259" s="336"/>
      <c r="G259" s="336"/>
      <c r="H259" s="336"/>
      <c r="I259" s="336"/>
      <c r="J259" s="336"/>
      <c r="K259" s="336"/>
      <c r="L259" s="336"/>
      <c r="M259" s="336"/>
      <c r="N259" s="336"/>
      <c r="O259" s="336"/>
      <c r="P259" s="336"/>
      <c r="Q259" s="336"/>
    </row>
    <row r="260" ht="15.75" customHeight="1">
      <c r="A260" s="336"/>
      <c r="B260" s="336"/>
      <c r="C260" s="336"/>
      <c r="D260" s="336"/>
      <c r="E260" s="336"/>
      <c r="F260" s="336"/>
      <c r="G260" s="336"/>
      <c r="H260" s="336"/>
      <c r="I260" s="336"/>
      <c r="J260" s="336"/>
      <c r="K260" s="336"/>
      <c r="L260" s="336"/>
      <c r="M260" s="336"/>
      <c r="N260" s="336"/>
      <c r="O260" s="336"/>
      <c r="P260" s="336"/>
      <c r="Q260" s="336"/>
    </row>
    <row r="261" ht="15.75" customHeight="1">
      <c r="A261" s="336"/>
      <c r="B261" s="336"/>
      <c r="C261" s="336"/>
      <c r="D261" s="336"/>
      <c r="E261" s="336"/>
      <c r="F261" s="336"/>
      <c r="G261" s="336"/>
      <c r="H261" s="336"/>
      <c r="I261" s="336"/>
      <c r="J261" s="336"/>
      <c r="K261" s="336"/>
      <c r="L261" s="336"/>
      <c r="M261" s="336"/>
      <c r="N261" s="336"/>
      <c r="O261" s="336"/>
      <c r="P261" s="336"/>
      <c r="Q261" s="336"/>
    </row>
    <row r="262" ht="15.75" customHeight="1">
      <c r="A262" s="336"/>
      <c r="B262" s="336"/>
      <c r="C262" s="336"/>
      <c r="D262" s="336"/>
      <c r="E262" s="336"/>
      <c r="F262" s="336"/>
      <c r="G262" s="336"/>
      <c r="H262" s="336"/>
      <c r="I262" s="336"/>
      <c r="J262" s="336"/>
      <c r="K262" s="336"/>
      <c r="L262" s="336"/>
      <c r="M262" s="336"/>
      <c r="N262" s="336"/>
      <c r="O262" s="336"/>
      <c r="P262" s="336"/>
      <c r="Q262" s="336"/>
    </row>
    <row r="263" ht="15.75" customHeight="1">
      <c r="A263" s="336"/>
      <c r="B263" s="336"/>
      <c r="C263" s="336"/>
      <c r="D263" s="336"/>
      <c r="E263" s="336"/>
      <c r="F263" s="336"/>
      <c r="G263" s="336"/>
      <c r="H263" s="336"/>
      <c r="I263" s="336"/>
      <c r="J263" s="336"/>
      <c r="K263" s="336"/>
      <c r="L263" s="336"/>
      <c r="M263" s="336"/>
      <c r="N263" s="336"/>
      <c r="O263" s="336"/>
      <c r="P263" s="336"/>
      <c r="Q263" s="336"/>
    </row>
    <row r="264" ht="15.75" customHeight="1">
      <c r="A264" s="336"/>
      <c r="B264" s="336"/>
      <c r="C264" s="336"/>
      <c r="D264" s="336"/>
      <c r="E264" s="336"/>
      <c r="F264" s="336"/>
      <c r="G264" s="336"/>
      <c r="H264" s="336"/>
      <c r="I264" s="336"/>
      <c r="J264" s="336"/>
      <c r="K264" s="336"/>
      <c r="L264" s="336"/>
      <c r="M264" s="336"/>
      <c r="N264" s="336"/>
      <c r="O264" s="336"/>
      <c r="P264" s="336"/>
      <c r="Q264" s="336"/>
    </row>
    <row r="265" ht="15.75" customHeight="1">
      <c r="A265" s="336"/>
      <c r="B265" s="336"/>
      <c r="C265" s="336"/>
      <c r="D265" s="336"/>
      <c r="E265" s="336"/>
      <c r="F265" s="336"/>
      <c r="G265" s="336"/>
      <c r="H265" s="336"/>
      <c r="I265" s="336"/>
      <c r="J265" s="336"/>
      <c r="K265" s="336"/>
      <c r="L265" s="336"/>
      <c r="M265" s="336"/>
      <c r="N265" s="336"/>
      <c r="O265" s="336"/>
      <c r="P265" s="336"/>
      <c r="Q265" s="336"/>
    </row>
    <row r="266" ht="15.75" customHeight="1">
      <c r="A266" s="336"/>
      <c r="B266" s="336"/>
      <c r="C266" s="336"/>
      <c r="D266" s="336"/>
      <c r="E266" s="336"/>
      <c r="F266" s="336"/>
      <c r="G266" s="336"/>
      <c r="H266" s="336"/>
      <c r="I266" s="336"/>
      <c r="J266" s="336"/>
      <c r="K266" s="336"/>
      <c r="L266" s="336"/>
      <c r="M266" s="336"/>
      <c r="N266" s="336"/>
      <c r="O266" s="336"/>
      <c r="P266" s="336"/>
      <c r="Q266" s="336"/>
    </row>
    <row r="267" ht="15.75" customHeight="1">
      <c r="A267" s="336"/>
      <c r="B267" s="336"/>
      <c r="C267" s="336"/>
      <c r="D267" s="336"/>
      <c r="E267" s="336"/>
      <c r="F267" s="336"/>
      <c r="G267" s="336"/>
      <c r="H267" s="336"/>
      <c r="I267" s="336"/>
      <c r="J267" s="336"/>
      <c r="K267" s="336"/>
      <c r="L267" s="336"/>
      <c r="M267" s="336"/>
      <c r="N267" s="336"/>
      <c r="O267" s="336"/>
      <c r="P267" s="336"/>
      <c r="Q267" s="336"/>
    </row>
    <row r="268" ht="15.75" customHeight="1">
      <c r="A268" s="336"/>
      <c r="B268" s="336"/>
      <c r="C268" s="336"/>
      <c r="D268" s="336"/>
      <c r="E268" s="336"/>
      <c r="F268" s="336"/>
      <c r="G268" s="336"/>
      <c r="H268" s="336"/>
      <c r="I268" s="336"/>
      <c r="J268" s="336"/>
      <c r="K268" s="336"/>
      <c r="L268" s="336"/>
      <c r="M268" s="336"/>
      <c r="N268" s="336"/>
      <c r="O268" s="336"/>
      <c r="P268" s="336"/>
      <c r="Q268" s="336"/>
    </row>
    <row r="269" ht="15.75" customHeight="1">
      <c r="A269" s="336"/>
      <c r="B269" s="336"/>
      <c r="C269" s="336"/>
      <c r="D269" s="336"/>
      <c r="E269" s="336"/>
      <c r="F269" s="336"/>
      <c r="G269" s="336"/>
      <c r="H269" s="336"/>
      <c r="I269" s="336"/>
      <c r="J269" s="336"/>
      <c r="K269" s="336"/>
      <c r="L269" s="336"/>
      <c r="M269" s="336"/>
      <c r="N269" s="336"/>
      <c r="O269" s="336"/>
      <c r="P269" s="336"/>
      <c r="Q269" s="336"/>
    </row>
    <row r="270" ht="15.75" customHeight="1">
      <c r="A270" s="336"/>
      <c r="B270" s="336"/>
      <c r="C270" s="336"/>
      <c r="D270" s="336"/>
      <c r="E270" s="336"/>
      <c r="F270" s="336"/>
      <c r="G270" s="336"/>
      <c r="H270" s="336"/>
      <c r="I270" s="336"/>
      <c r="J270" s="336"/>
      <c r="K270" s="336"/>
      <c r="L270" s="336"/>
      <c r="M270" s="336"/>
      <c r="N270" s="336"/>
      <c r="O270" s="336"/>
      <c r="P270" s="336"/>
      <c r="Q270" s="336"/>
    </row>
    <row r="271" ht="15.75" customHeight="1">
      <c r="A271" s="336"/>
      <c r="B271" s="336"/>
      <c r="C271" s="336"/>
      <c r="D271" s="336"/>
      <c r="E271" s="336"/>
      <c r="F271" s="336"/>
      <c r="G271" s="336"/>
      <c r="H271" s="336"/>
      <c r="I271" s="336"/>
      <c r="J271" s="336"/>
      <c r="K271" s="336"/>
      <c r="L271" s="336"/>
      <c r="M271" s="336"/>
      <c r="N271" s="336"/>
      <c r="O271" s="336"/>
      <c r="P271" s="336"/>
      <c r="Q271" s="336"/>
    </row>
    <row r="272" ht="15.75" customHeight="1">
      <c r="A272" s="336"/>
      <c r="B272" s="336"/>
      <c r="C272" s="336"/>
      <c r="D272" s="336"/>
      <c r="E272" s="336"/>
      <c r="F272" s="336"/>
      <c r="G272" s="336"/>
      <c r="H272" s="336"/>
      <c r="I272" s="336"/>
      <c r="J272" s="336"/>
      <c r="K272" s="336"/>
      <c r="L272" s="336"/>
      <c r="M272" s="336"/>
      <c r="N272" s="336"/>
      <c r="O272" s="336"/>
      <c r="P272" s="336"/>
      <c r="Q272" s="336"/>
    </row>
    <row r="273" ht="15.75" customHeight="1">
      <c r="A273" s="336"/>
      <c r="B273" s="336"/>
      <c r="C273" s="336"/>
      <c r="D273" s="336"/>
      <c r="E273" s="336"/>
      <c r="F273" s="336"/>
      <c r="G273" s="336"/>
      <c r="H273" s="336"/>
      <c r="I273" s="336"/>
      <c r="J273" s="336"/>
      <c r="K273" s="336"/>
      <c r="L273" s="336"/>
      <c r="M273" s="336"/>
      <c r="N273" s="336"/>
      <c r="O273" s="336"/>
      <c r="P273" s="336"/>
      <c r="Q273" s="336"/>
    </row>
    <row r="274" ht="15.75" customHeight="1">
      <c r="A274" s="336"/>
      <c r="B274" s="336"/>
      <c r="C274" s="336"/>
      <c r="D274" s="336"/>
      <c r="E274" s="336"/>
      <c r="F274" s="336"/>
      <c r="G274" s="336"/>
      <c r="H274" s="336"/>
      <c r="I274" s="336"/>
      <c r="J274" s="336"/>
      <c r="K274" s="336"/>
      <c r="L274" s="336"/>
      <c r="M274" s="336"/>
      <c r="N274" s="336"/>
      <c r="O274" s="336"/>
      <c r="P274" s="336"/>
      <c r="Q274" s="336"/>
    </row>
    <row r="275" ht="15.75" customHeight="1">
      <c r="A275" s="336"/>
      <c r="B275" s="336"/>
      <c r="C275" s="336"/>
      <c r="D275" s="336"/>
      <c r="E275" s="336"/>
      <c r="F275" s="336"/>
      <c r="G275" s="336"/>
      <c r="H275" s="336"/>
      <c r="I275" s="336"/>
      <c r="J275" s="336"/>
      <c r="K275" s="336"/>
      <c r="L275" s="336"/>
      <c r="M275" s="336"/>
      <c r="N275" s="336"/>
      <c r="O275" s="336"/>
      <c r="P275" s="336"/>
      <c r="Q275" s="336"/>
    </row>
    <row r="276" ht="15.75" customHeight="1">
      <c r="A276" s="336"/>
      <c r="B276" s="336"/>
      <c r="C276" s="336"/>
      <c r="D276" s="336"/>
      <c r="E276" s="336"/>
      <c r="F276" s="336"/>
      <c r="G276" s="336"/>
      <c r="H276" s="336"/>
      <c r="I276" s="336"/>
      <c r="J276" s="336"/>
      <c r="K276" s="336"/>
      <c r="L276" s="336"/>
      <c r="M276" s="336"/>
      <c r="N276" s="336"/>
      <c r="O276" s="336"/>
      <c r="P276" s="336"/>
      <c r="Q276" s="336"/>
    </row>
    <row r="277" ht="15.75" customHeight="1">
      <c r="A277" s="336"/>
      <c r="B277" s="336"/>
      <c r="C277" s="336"/>
      <c r="D277" s="336"/>
      <c r="E277" s="336"/>
      <c r="F277" s="336"/>
      <c r="G277" s="336"/>
      <c r="H277" s="336"/>
      <c r="I277" s="336"/>
      <c r="J277" s="336"/>
      <c r="K277" s="336"/>
      <c r="L277" s="336"/>
      <c r="M277" s="336"/>
      <c r="N277" s="336"/>
      <c r="O277" s="336"/>
      <c r="P277" s="336"/>
      <c r="Q277" s="336"/>
    </row>
    <row r="278" ht="15.75" customHeight="1">
      <c r="A278" s="336"/>
      <c r="B278" s="336"/>
      <c r="C278" s="336"/>
      <c r="D278" s="336"/>
      <c r="E278" s="336"/>
      <c r="F278" s="336"/>
      <c r="G278" s="336"/>
      <c r="H278" s="336"/>
      <c r="I278" s="336"/>
      <c r="J278" s="336"/>
      <c r="K278" s="336"/>
      <c r="L278" s="336"/>
      <c r="M278" s="336"/>
      <c r="N278" s="336"/>
      <c r="O278" s="336"/>
      <c r="P278" s="336"/>
      <c r="Q278" s="336"/>
    </row>
    <row r="279" ht="15.75" customHeight="1">
      <c r="A279" s="336"/>
      <c r="B279" s="336"/>
      <c r="C279" s="336"/>
      <c r="D279" s="336"/>
      <c r="E279" s="336"/>
      <c r="F279" s="336"/>
      <c r="G279" s="336"/>
      <c r="H279" s="336"/>
      <c r="I279" s="336"/>
      <c r="J279" s="336"/>
      <c r="K279" s="336"/>
      <c r="L279" s="336"/>
      <c r="M279" s="336"/>
      <c r="N279" s="336"/>
      <c r="O279" s="336"/>
      <c r="P279" s="336"/>
      <c r="Q279" s="336"/>
    </row>
    <row r="280" ht="15.75" customHeight="1">
      <c r="A280" s="336"/>
      <c r="B280" s="336"/>
      <c r="C280" s="336"/>
      <c r="D280" s="336"/>
      <c r="E280" s="336"/>
      <c r="F280" s="336"/>
      <c r="G280" s="336"/>
      <c r="H280" s="336"/>
      <c r="I280" s="336"/>
      <c r="J280" s="336"/>
      <c r="K280" s="336"/>
      <c r="L280" s="336"/>
      <c r="M280" s="336"/>
      <c r="N280" s="336"/>
      <c r="O280" s="336"/>
      <c r="P280" s="336"/>
      <c r="Q280" s="336"/>
    </row>
    <row r="281" ht="15.75" customHeight="1">
      <c r="A281" s="336"/>
      <c r="B281" s="336"/>
      <c r="C281" s="336"/>
      <c r="D281" s="336"/>
      <c r="E281" s="336"/>
      <c r="F281" s="336"/>
      <c r="G281" s="336"/>
      <c r="H281" s="336"/>
      <c r="I281" s="336"/>
      <c r="J281" s="336"/>
      <c r="K281" s="336"/>
      <c r="L281" s="336"/>
      <c r="M281" s="336"/>
      <c r="N281" s="336"/>
      <c r="O281" s="336"/>
      <c r="P281" s="336"/>
      <c r="Q281" s="336"/>
    </row>
    <row r="282" ht="15.75" customHeight="1">
      <c r="A282" s="336"/>
      <c r="B282" s="336"/>
      <c r="C282" s="336"/>
      <c r="D282" s="336"/>
      <c r="E282" s="336"/>
      <c r="F282" s="336"/>
      <c r="G282" s="336"/>
      <c r="H282" s="336"/>
      <c r="I282" s="336"/>
      <c r="J282" s="336"/>
      <c r="K282" s="336"/>
      <c r="L282" s="336"/>
      <c r="M282" s="336"/>
      <c r="N282" s="336"/>
      <c r="O282" s="336"/>
      <c r="P282" s="336"/>
      <c r="Q282" s="336"/>
    </row>
    <row r="283" ht="15.75" customHeight="1">
      <c r="A283" s="336"/>
      <c r="B283" s="336"/>
      <c r="C283" s="336"/>
      <c r="D283" s="336"/>
      <c r="E283" s="336"/>
      <c r="F283" s="336"/>
      <c r="G283" s="336"/>
      <c r="H283" s="336"/>
      <c r="I283" s="336"/>
      <c r="J283" s="336"/>
      <c r="K283" s="336"/>
      <c r="L283" s="336"/>
      <c r="M283" s="336"/>
      <c r="N283" s="336"/>
      <c r="O283" s="336"/>
      <c r="P283" s="336"/>
      <c r="Q283" s="336"/>
    </row>
    <row r="284" ht="15.75" customHeight="1">
      <c r="A284" s="336"/>
      <c r="B284" s="336"/>
      <c r="C284" s="336"/>
      <c r="D284" s="336"/>
      <c r="E284" s="336"/>
      <c r="F284" s="336"/>
      <c r="G284" s="336"/>
      <c r="H284" s="336"/>
      <c r="I284" s="336"/>
      <c r="J284" s="336"/>
      <c r="K284" s="336"/>
      <c r="L284" s="336"/>
      <c r="M284" s="336"/>
      <c r="N284" s="336"/>
      <c r="O284" s="336"/>
      <c r="P284" s="336"/>
      <c r="Q284" s="336"/>
    </row>
    <row r="285" ht="15.75" customHeight="1">
      <c r="A285" s="336"/>
      <c r="B285" s="336"/>
      <c r="C285" s="336"/>
      <c r="D285" s="336"/>
      <c r="E285" s="336"/>
      <c r="F285" s="336"/>
      <c r="G285" s="336"/>
      <c r="H285" s="336"/>
      <c r="I285" s="336"/>
      <c r="J285" s="336"/>
      <c r="K285" s="336"/>
      <c r="L285" s="336"/>
      <c r="M285" s="336"/>
      <c r="N285" s="336"/>
      <c r="O285" s="336"/>
      <c r="P285" s="336"/>
      <c r="Q285" s="336"/>
    </row>
    <row r="286" ht="15.75" customHeight="1">
      <c r="A286" s="336"/>
      <c r="B286" s="336"/>
      <c r="C286" s="336"/>
      <c r="D286" s="336"/>
      <c r="E286" s="336"/>
      <c r="F286" s="336"/>
      <c r="G286" s="336"/>
      <c r="H286" s="336"/>
      <c r="I286" s="336"/>
      <c r="J286" s="336"/>
      <c r="K286" s="336"/>
      <c r="L286" s="336"/>
      <c r="M286" s="336"/>
      <c r="N286" s="336"/>
      <c r="O286" s="336"/>
      <c r="P286" s="336"/>
      <c r="Q286" s="336"/>
    </row>
    <row r="287" ht="15.75" customHeight="1">
      <c r="A287" s="336"/>
      <c r="B287" s="336"/>
      <c r="C287" s="336"/>
      <c r="D287" s="336"/>
      <c r="E287" s="336"/>
      <c r="F287" s="336"/>
      <c r="G287" s="336"/>
      <c r="H287" s="336"/>
      <c r="I287" s="336"/>
      <c r="J287" s="336"/>
      <c r="K287" s="336"/>
      <c r="L287" s="336"/>
      <c r="M287" s="336"/>
      <c r="N287" s="336"/>
      <c r="O287" s="336"/>
      <c r="P287" s="336"/>
      <c r="Q287" s="336"/>
    </row>
    <row r="288" ht="15.75" customHeight="1">
      <c r="A288" s="336"/>
      <c r="B288" s="336"/>
      <c r="C288" s="336"/>
      <c r="D288" s="336"/>
      <c r="E288" s="336"/>
      <c r="F288" s="336"/>
      <c r="G288" s="336"/>
      <c r="H288" s="336"/>
      <c r="I288" s="336"/>
      <c r="J288" s="336"/>
      <c r="K288" s="336"/>
      <c r="L288" s="336"/>
      <c r="M288" s="336"/>
      <c r="N288" s="336"/>
      <c r="O288" s="336"/>
      <c r="P288" s="336"/>
      <c r="Q288" s="336"/>
    </row>
    <row r="289" ht="15.75" customHeight="1">
      <c r="A289" s="336"/>
      <c r="B289" s="336"/>
      <c r="C289" s="336"/>
      <c r="D289" s="336"/>
      <c r="E289" s="336"/>
      <c r="F289" s="336"/>
      <c r="G289" s="336"/>
      <c r="H289" s="336"/>
      <c r="I289" s="336"/>
      <c r="J289" s="336"/>
      <c r="K289" s="336"/>
      <c r="L289" s="336"/>
      <c r="M289" s="336"/>
      <c r="N289" s="336"/>
      <c r="O289" s="336"/>
      <c r="P289" s="336"/>
      <c r="Q289" s="336"/>
    </row>
    <row r="290" ht="15.75" customHeight="1">
      <c r="A290" s="336"/>
      <c r="B290" s="336"/>
      <c r="C290" s="336"/>
      <c r="D290" s="336"/>
      <c r="E290" s="336"/>
      <c r="F290" s="336"/>
      <c r="G290" s="336"/>
      <c r="H290" s="336"/>
      <c r="I290" s="336"/>
      <c r="J290" s="336"/>
      <c r="K290" s="336"/>
      <c r="L290" s="336"/>
      <c r="M290" s="336"/>
      <c r="N290" s="336"/>
      <c r="O290" s="336"/>
      <c r="P290" s="336"/>
      <c r="Q290" s="336"/>
    </row>
    <row r="291" ht="15.75" customHeight="1">
      <c r="A291" s="336"/>
      <c r="B291" s="336"/>
      <c r="C291" s="336"/>
      <c r="D291" s="336"/>
      <c r="E291" s="336"/>
      <c r="F291" s="336"/>
      <c r="G291" s="336"/>
      <c r="H291" s="336"/>
      <c r="I291" s="336"/>
      <c r="J291" s="336"/>
      <c r="K291" s="336"/>
      <c r="L291" s="336"/>
      <c r="M291" s="336"/>
      <c r="N291" s="336"/>
      <c r="O291" s="336"/>
      <c r="P291" s="336"/>
      <c r="Q291" s="336"/>
    </row>
    <row r="292" ht="15.75" customHeight="1">
      <c r="A292" s="336"/>
      <c r="B292" s="336"/>
      <c r="C292" s="336"/>
      <c r="D292" s="336"/>
      <c r="E292" s="336"/>
      <c r="F292" s="336"/>
      <c r="G292" s="336"/>
      <c r="H292" s="336"/>
      <c r="I292" s="336"/>
      <c r="J292" s="336"/>
      <c r="K292" s="336"/>
      <c r="L292" s="336"/>
      <c r="M292" s="336"/>
      <c r="N292" s="336"/>
      <c r="O292" s="336"/>
      <c r="P292" s="336"/>
      <c r="Q292" s="336"/>
    </row>
    <row r="293" ht="15.75" customHeight="1">
      <c r="A293" s="336"/>
      <c r="B293" s="336"/>
      <c r="C293" s="336"/>
      <c r="D293" s="336"/>
      <c r="E293" s="336"/>
      <c r="F293" s="336"/>
      <c r="G293" s="336"/>
      <c r="H293" s="336"/>
      <c r="I293" s="336"/>
      <c r="J293" s="336"/>
      <c r="K293" s="336"/>
      <c r="L293" s="336"/>
      <c r="M293" s="336"/>
      <c r="N293" s="336"/>
      <c r="O293" s="336"/>
      <c r="P293" s="336"/>
      <c r="Q293" s="336"/>
    </row>
    <row r="294" ht="15.75" customHeight="1">
      <c r="A294" s="336"/>
      <c r="B294" s="336"/>
      <c r="C294" s="336"/>
      <c r="D294" s="336"/>
      <c r="E294" s="336"/>
      <c r="F294" s="336"/>
      <c r="G294" s="336"/>
      <c r="H294" s="336"/>
      <c r="I294" s="336"/>
      <c r="J294" s="336"/>
      <c r="K294" s="336"/>
      <c r="L294" s="336"/>
      <c r="M294" s="336"/>
      <c r="N294" s="336"/>
      <c r="O294" s="336"/>
      <c r="P294" s="336"/>
      <c r="Q294" s="336"/>
    </row>
    <row r="295" ht="15.75" customHeight="1">
      <c r="A295" s="336"/>
      <c r="B295" s="336"/>
      <c r="C295" s="336"/>
      <c r="D295" s="336"/>
      <c r="E295" s="336"/>
      <c r="F295" s="336"/>
      <c r="G295" s="336"/>
      <c r="H295" s="336"/>
      <c r="I295" s="336"/>
      <c r="J295" s="336"/>
      <c r="K295" s="336"/>
      <c r="L295" s="336"/>
      <c r="M295" s="336"/>
      <c r="N295" s="336"/>
      <c r="O295" s="336"/>
      <c r="P295" s="336"/>
      <c r="Q295" s="336"/>
    </row>
    <row r="296" ht="15.75" customHeight="1">
      <c r="A296" s="336"/>
      <c r="B296" s="336"/>
      <c r="C296" s="336"/>
      <c r="D296" s="336"/>
      <c r="E296" s="336"/>
      <c r="F296" s="336"/>
      <c r="G296" s="336"/>
      <c r="H296" s="336"/>
      <c r="I296" s="336"/>
      <c r="J296" s="336"/>
      <c r="K296" s="336"/>
      <c r="L296" s="336"/>
      <c r="M296" s="336"/>
      <c r="N296" s="336"/>
      <c r="O296" s="336"/>
      <c r="P296" s="336"/>
      <c r="Q296" s="336"/>
    </row>
    <row r="297" ht="15.75" customHeight="1">
      <c r="A297" s="336"/>
      <c r="B297" s="336"/>
      <c r="C297" s="336"/>
      <c r="D297" s="336"/>
      <c r="E297" s="336"/>
      <c r="F297" s="336"/>
      <c r="G297" s="336"/>
      <c r="H297" s="336"/>
      <c r="I297" s="336"/>
      <c r="J297" s="336"/>
      <c r="K297" s="336"/>
      <c r="L297" s="336"/>
      <c r="M297" s="336"/>
      <c r="N297" s="336"/>
      <c r="O297" s="336"/>
      <c r="P297" s="336"/>
      <c r="Q297" s="336"/>
    </row>
    <row r="298" ht="15.75" customHeight="1">
      <c r="A298" s="336"/>
      <c r="B298" s="336"/>
      <c r="C298" s="336"/>
      <c r="D298" s="336"/>
      <c r="E298" s="336"/>
      <c r="F298" s="336"/>
      <c r="G298" s="336"/>
      <c r="H298" s="336"/>
      <c r="I298" s="336"/>
      <c r="J298" s="336"/>
      <c r="K298" s="336"/>
      <c r="L298" s="336"/>
      <c r="M298" s="336"/>
      <c r="N298" s="336"/>
      <c r="O298" s="336"/>
      <c r="P298" s="336"/>
      <c r="Q298" s="336"/>
    </row>
    <row r="299" ht="15.75" customHeight="1">
      <c r="A299" s="336"/>
      <c r="B299" s="336"/>
      <c r="C299" s="336"/>
      <c r="D299" s="336"/>
      <c r="E299" s="336"/>
      <c r="F299" s="336"/>
      <c r="G299" s="336"/>
      <c r="H299" s="336"/>
      <c r="I299" s="336"/>
      <c r="J299" s="336"/>
      <c r="K299" s="336"/>
      <c r="L299" s="336"/>
      <c r="M299" s="336"/>
      <c r="N299" s="336"/>
      <c r="O299" s="336"/>
      <c r="P299" s="336"/>
      <c r="Q299" s="336"/>
    </row>
    <row r="300" ht="15.75" customHeight="1">
      <c r="A300" s="336"/>
      <c r="B300" s="336"/>
      <c r="C300" s="336"/>
      <c r="D300" s="336"/>
      <c r="E300" s="336"/>
      <c r="F300" s="336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  <c r="Q300" s="336"/>
    </row>
    <row r="301" ht="15.75" customHeight="1">
      <c r="A301" s="336"/>
      <c r="B301" s="336"/>
      <c r="C301" s="336"/>
      <c r="D301" s="336"/>
      <c r="E301" s="336"/>
      <c r="F301" s="336"/>
      <c r="G301" s="336"/>
      <c r="H301" s="336"/>
      <c r="I301" s="336"/>
      <c r="J301" s="336"/>
      <c r="K301" s="336"/>
      <c r="L301" s="336"/>
      <c r="M301" s="336"/>
      <c r="N301" s="336"/>
      <c r="O301" s="336"/>
      <c r="P301" s="336"/>
      <c r="Q301" s="336"/>
    </row>
    <row r="302" ht="15.75" customHeight="1">
      <c r="A302" s="336"/>
      <c r="B302" s="336"/>
      <c r="C302" s="336"/>
      <c r="D302" s="336"/>
      <c r="E302" s="336"/>
      <c r="F302" s="336"/>
      <c r="G302" s="336"/>
      <c r="H302" s="336"/>
      <c r="I302" s="336"/>
      <c r="J302" s="336"/>
      <c r="K302" s="336"/>
      <c r="L302" s="336"/>
      <c r="M302" s="336"/>
      <c r="N302" s="336"/>
      <c r="O302" s="336"/>
      <c r="P302" s="336"/>
      <c r="Q302" s="336"/>
    </row>
    <row r="303" ht="15.75" customHeight="1">
      <c r="A303" s="336"/>
      <c r="B303" s="336"/>
      <c r="C303" s="336"/>
      <c r="D303" s="336"/>
      <c r="E303" s="336"/>
      <c r="F303" s="336"/>
      <c r="G303" s="336"/>
      <c r="H303" s="336"/>
      <c r="I303" s="336"/>
      <c r="J303" s="336"/>
      <c r="K303" s="336"/>
      <c r="L303" s="336"/>
      <c r="M303" s="336"/>
      <c r="N303" s="336"/>
      <c r="O303" s="336"/>
      <c r="P303" s="336"/>
      <c r="Q303" s="336"/>
    </row>
    <row r="304" ht="15.75" customHeight="1">
      <c r="A304" s="336"/>
      <c r="B304" s="336"/>
      <c r="C304" s="336"/>
      <c r="D304" s="336"/>
      <c r="E304" s="336"/>
      <c r="F304" s="336"/>
      <c r="G304" s="336"/>
      <c r="H304" s="336"/>
      <c r="I304" s="336"/>
      <c r="J304" s="336"/>
      <c r="K304" s="336"/>
      <c r="L304" s="336"/>
      <c r="M304" s="336"/>
      <c r="N304" s="336"/>
      <c r="O304" s="336"/>
      <c r="P304" s="336"/>
      <c r="Q304" s="336"/>
    </row>
    <row r="305" ht="15.75" customHeight="1">
      <c r="A305" s="336"/>
      <c r="B305" s="336"/>
      <c r="C305" s="336"/>
      <c r="D305" s="336"/>
      <c r="E305" s="336"/>
      <c r="F305" s="336"/>
      <c r="G305" s="336"/>
      <c r="H305" s="336"/>
      <c r="I305" s="336"/>
      <c r="J305" s="336"/>
      <c r="K305" s="336"/>
      <c r="L305" s="336"/>
      <c r="M305" s="336"/>
      <c r="N305" s="336"/>
      <c r="O305" s="336"/>
      <c r="P305" s="336"/>
      <c r="Q305" s="336"/>
    </row>
    <row r="306" ht="15.75" customHeight="1">
      <c r="A306" s="336"/>
      <c r="B306" s="336"/>
      <c r="C306" s="336"/>
      <c r="D306" s="336"/>
      <c r="E306" s="336"/>
      <c r="F306" s="336"/>
      <c r="G306" s="336"/>
      <c r="H306" s="336"/>
      <c r="I306" s="336"/>
      <c r="J306" s="336"/>
      <c r="K306" s="336"/>
      <c r="L306" s="336"/>
      <c r="M306" s="336"/>
      <c r="N306" s="336"/>
      <c r="O306" s="336"/>
      <c r="P306" s="336"/>
      <c r="Q306" s="336"/>
    </row>
    <row r="307" ht="15.75" customHeight="1">
      <c r="A307" s="336"/>
      <c r="B307" s="336"/>
      <c r="C307" s="336"/>
      <c r="D307" s="336"/>
      <c r="E307" s="336"/>
      <c r="F307" s="336"/>
      <c r="G307" s="336"/>
      <c r="H307" s="336"/>
      <c r="I307" s="336"/>
      <c r="J307" s="336"/>
      <c r="K307" s="336"/>
      <c r="L307" s="336"/>
      <c r="M307" s="336"/>
      <c r="N307" s="336"/>
      <c r="O307" s="336"/>
      <c r="P307" s="336"/>
      <c r="Q307" s="336"/>
    </row>
    <row r="308" ht="15.75" customHeight="1">
      <c r="A308" s="336"/>
      <c r="B308" s="336"/>
      <c r="C308" s="336"/>
      <c r="D308" s="336"/>
      <c r="E308" s="336"/>
      <c r="F308" s="336"/>
      <c r="G308" s="336"/>
      <c r="H308" s="336"/>
      <c r="I308" s="336"/>
      <c r="J308" s="336"/>
      <c r="K308" s="336"/>
      <c r="L308" s="336"/>
      <c r="M308" s="336"/>
      <c r="N308" s="336"/>
      <c r="O308" s="336"/>
      <c r="P308" s="336"/>
      <c r="Q308" s="336"/>
    </row>
    <row r="309" ht="15.75" customHeight="1">
      <c r="A309" s="336"/>
      <c r="B309" s="336"/>
      <c r="C309" s="336"/>
      <c r="D309" s="336"/>
      <c r="E309" s="336"/>
      <c r="F309" s="336"/>
      <c r="G309" s="336"/>
      <c r="H309" s="336"/>
      <c r="I309" s="336"/>
      <c r="J309" s="336"/>
      <c r="K309" s="336"/>
      <c r="L309" s="336"/>
      <c r="M309" s="336"/>
      <c r="N309" s="336"/>
      <c r="O309" s="336"/>
      <c r="P309" s="336"/>
      <c r="Q309" s="336"/>
    </row>
    <row r="310" ht="15.75" customHeight="1">
      <c r="A310" s="336"/>
      <c r="B310" s="336"/>
      <c r="C310" s="336"/>
      <c r="D310" s="336"/>
      <c r="E310" s="336"/>
      <c r="F310" s="336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  <c r="Q310" s="336"/>
    </row>
    <row r="311" ht="15.75" customHeight="1">
      <c r="A311" s="336"/>
      <c r="B311" s="336"/>
      <c r="C311" s="336"/>
      <c r="D311" s="336"/>
      <c r="E311" s="336"/>
      <c r="F311" s="336"/>
      <c r="G311" s="336"/>
      <c r="H311" s="336"/>
      <c r="I311" s="336"/>
      <c r="J311" s="336"/>
      <c r="K311" s="336"/>
      <c r="L311" s="336"/>
      <c r="M311" s="336"/>
      <c r="N311" s="336"/>
      <c r="O311" s="336"/>
      <c r="P311" s="336"/>
      <c r="Q311" s="336"/>
    </row>
    <row r="312" ht="15.75" customHeight="1">
      <c r="A312" s="336"/>
      <c r="B312" s="336"/>
      <c r="C312" s="336"/>
      <c r="D312" s="336"/>
      <c r="E312" s="336"/>
      <c r="F312" s="336"/>
      <c r="G312" s="336"/>
      <c r="H312" s="336"/>
      <c r="I312" s="336"/>
      <c r="J312" s="336"/>
      <c r="K312" s="336"/>
      <c r="L312" s="336"/>
      <c r="M312" s="336"/>
      <c r="N312" s="336"/>
      <c r="O312" s="336"/>
      <c r="P312" s="336"/>
      <c r="Q312" s="336"/>
    </row>
    <row r="313" ht="15.75" customHeight="1">
      <c r="A313" s="336"/>
      <c r="B313" s="336"/>
      <c r="C313" s="336"/>
      <c r="D313" s="336"/>
      <c r="E313" s="336"/>
      <c r="F313" s="336"/>
      <c r="G313" s="336"/>
      <c r="H313" s="336"/>
      <c r="I313" s="336"/>
      <c r="J313" s="336"/>
      <c r="K313" s="336"/>
      <c r="L313" s="336"/>
      <c r="M313" s="336"/>
      <c r="N313" s="336"/>
      <c r="O313" s="336"/>
      <c r="P313" s="336"/>
      <c r="Q313" s="336"/>
    </row>
    <row r="314" ht="15.75" customHeight="1">
      <c r="A314" s="336"/>
      <c r="B314" s="336"/>
      <c r="C314" s="336"/>
      <c r="D314" s="336"/>
      <c r="E314" s="336"/>
      <c r="F314" s="336"/>
      <c r="G314" s="336"/>
      <c r="H314" s="336"/>
      <c r="I314" s="336"/>
      <c r="J314" s="336"/>
      <c r="K314" s="336"/>
      <c r="L314" s="336"/>
      <c r="M314" s="336"/>
      <c r="N314" s="336"/>
      <c r="O314" s="336"/>
      <c r="P314" s="336"/>
      <c r="Q314" s="336"/>
    </row>
    <row r="315" ht="15.75" customHeight="1">
      <c r="A315" s="336"/>
      <c r="B315" s="336"/>
      <c r="C315" s="336"/>
      <c r="D315" s="336"/>
      <c r="E315" s="336"/>
      <c r="F315" s="336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</row>
    <row r="316" ht="15.75" customHeight="1">
      <c r="A316" s="336"/>
      <c r="B316" s="336"/>
      <c r="C316" s="336"/>
      <c r="D316" s="336"/>
      <c r="E316" s="336"/>
      <c r="F316" s="336"/>
      <c r="G316" s="336"/>
      <c r="H316" s="336"/>
      <c r="I316" s="336"/>
      <c r="J316" s="336"/>
      <c r="K316" s="336"/>
      <c r="L316" s="336"/>
      <c r="M316" s="336"/>
      <c r="N316" s="336"/>
      <c r="O316" s="336"/>
      <c r="P316" s="336"/>
      <c r="Q316" s="336"/>
    </row>
    <row r="317" ht="15.75" customHeight="1">
      <c r="A317" s="336"/>
      <c r="B317" s="336"/>
      <c r="C317" s="336"/>
      <c r="D317" s="336"/>
      <c r="E317" s="336"/>
      <c r="F317" s="336"/>
      <c r="G317" s="336"/>
      <c r="H317" s="336"/>
      <c r="I317" s="336"/>
      <c r="J317" s="336"/>
      <c r="K317" s="336"/>
      <c r="L317" s="336"/>
      <c r="M317" s="336"/>
      <c r="N317" s="336"/>
      <c r="O317" s="336"/>
      <c r="P317" s="336"/>
      <c r="Q317" s="336"/>
    </row>
    <row r="318" ht="15.75" customHeight="1">
      <c r="A318" s="336"/>
      <c r="B318" s="336"/>
      <c r="C318" s="336"/>
      <c r="D318" s="336"/>
      <c r="E318" s="336"/>
      <c r="F318" s="336"/>
      <c r="G318" s="336"/>
      <c r="H318" s="336"/>
      <c r="I318" s="336"/>
      <c r="J318" s="336"/>
      <c r="K318" s="336"/>
      <c r="L318" s="336"/>
      <c r="M318" s="336"/>
      <c r="N318" s="336"/>
      <c r="O318" s="336"/>
      <c r="P318" s="336"/>
      <c r="Q318" s="336"/>
    </row>
    <row r="319" ht="15.75" customHeight="1">
      <c r="A319" s="336"/>
      <c r="B319" s="336"/>
      <c r="C319" s="336"/>
      <c r="D319" s="336"/>
      <c r="E319" s="336"/>
      <c r="F319" s="336"/>
      <c r="G319" s="336"/>
      <c r="H319" s="336"/>
      <c r="I319" s="336"/>
      <c r="J319" s="336"/>
      <c r="K319" s="336"/>
      <c r="L319" s="336"/>
      <c r="M319" s="336"/>
      <c r="N319" s="336"/>
      <c r="O319" s="336"/>
      <c r="P319" s="336"/>
      <c r="Q319" s="336"/>
    </row>
    <row r="320" ht="15.75" customHeight="1">
      <c r="A320" s="336"/>
      <c r="B320" s="336"/>
      <c r="C320" s="336"/>
      <c r="D320" s="336"/>
      <c r="E320" s="336"/>
      <c r="F320" s="336"/>
      <c r="G320" s="336"/>
      <c r="H320" s="336"/>
      <c r="I320" s="336"/>
      <c r="J320" s="336"/>
      <c r="K320" s="336"/>
      <c r="L320" s="336"/>
      <c r="M320" s="336"/>
      <c r="N320" s="336"/>
      <c r="O320" s="336"/>
      <c r="P320" s="336"/>
      <c r="Q320" s="336"/>
    </row>
    <row r="321" ht="15.75" customHeight="1">
      <c r="A321" s="336"/>
      <c r="B321" s="336"/>
      <c r="C321" s="336"/>
      <c r="D321" s="336"/>
      <c r="E321" s="336"/>
      <c r="F321" s="336"/>
      <c r="G321" s="336"/>
      <c r="H321" s="336"/>
      <c r="I321" s="336"/>
      <c r="J321" s="336"/>
      <c r="K321" s="336"/>
      <c r="L321" s="336"/>
      <c r="M321" s="336"/>
      <c r="N321" s="336"/>
      <c r="O321" s="336"/>
      <c r="P321" s="336"/>
      <c r="Q321" s="336"/>
    </row>
    <row r="322" ht="15.75" customHeight="1">
      <c r="A322" s="336"/>
      <c r="B322" s="336"/>
      <c r="C322" s="336"/>
      <c r="D322" s="336"/>
      <c r="E322" s="336"/>
      <c r="F322" s="336"/>
      <c r="G322" s="336"/>
      <c r="H322" s="336"/>
      <c r="I322" s="336"/>
      <c r="J322" s="336"/>
      <c r="K322" s="336"/>
      <c r="L322" s="336"/>
      <c r="M322" s="336"/>
      <c r="N322" s="336"/>
      <c r="O322" s="336"/>
      <c r="P322" s="336"/>
      <c r="Q322" s="336"/>
    </row>
    <row r="323" ht="15.75" customHeight="1">
      <c r="A323" s="336"/>
      <c r="B323" s="336"/>
      <c r="C323" s="336"/>
      <c r="D323" s="336"/>
      <c r="E323" s="336"/>
      <c r="F323" s="336"/>
      <c r="G323" s="336"/>
      <c r="H323" s="336"/>
      <c r="I323" s="336"/>
      <c r="J323" s="336"/>
      <c r="K323" s="336"/>
      <c r="L323" s="336"/>
      <c r="M323" s="336"/>
      <c r="N323" s="336"/>
      <c r="O323" s="336"/>
      <c r="P323" s="336"/>
      <c r="Q323" s="336"/>
    </row>
    <row r="324" ht="15.75" customHeight="1">
      <c r="A324" s="336"/>
      <c r="B324" s="336"/>
      <c r="C324" s="336"/>
      <c r="D324" s="336"/>
      <c r="E324" s="336"/>
      <c r="F324" s="336"/>
      <c r="G324" s="336"/>
      <c r="H324" s="336"/>
      <c r="I324" s="336"/>
      <c r="J324" s="336"/>
      <c r="K324" s="336"/>
      <c r="L324" s="336"/>
      <c r="M324" s="336"/>
      <c r="N324" s="336"/>
      <c r="O324" s="336"/>
      <c r="P324" s="336"/>
      <c r="Q324" s="336"/>
    </row>
    <row r="325" ht="15.75" customHeight="1">
      <c r="A325" s="336"/>
      <c r="B325" s="336"/>
      <c r="C325" s="336"/>
      <c r="D325" s="336"/>
      <c r="E325" s="336"/>
      <c r="F325" s="336"/>
      <c r="G325" s="336"/>
      <c r="H325" s="336"/>
      <c r="I325" s="336"/>
      <c r="J325" s="336"/>
      <c r="K325" s="336"/>
      <c r="L325" s="336"/>
      <c r="M325" s="336"/>
      <c r="N325" s="336"/>
      <c r="O325" s="336"/>
      <c r="P325" s="336"/>
      <c r="Q325" s="336"/>
    </row>
    <row r="326" ht="15.75" customHeight="1">
      <c r="A326" s="336"/>
      <c r="B326" s="336"/>
      <c r="C326" s="336"/>
      <c r="D326" s="336"/>
      <c r="E326" s="336"/>
      <c r="F326" s="336"/>
      <c r="G326" s="336"/>
      <c r="H326" s="336"/>
      <c r="I326" s="336"/>
      <c r="J326" s="336"/>
      <c r="K326" s="336"/>
      <c r="L326" s="336"/>
      <c r="M326" s="336"/>
      <c r="N326" s="336"/>
      <c r="O326" s="336"/>
      <c r="P326" s="336"/>
      <c r="Q326" s="336"/>
    </row>
    <row r="327" ht="15.75" customHeight="1">
      <c r="A327" s="336"/>
      <c r="B327" s="336"/>
      <c r="C327" s="336"/>
      <c r="D327" s="336"/>
      <c r="E327" s="336"/>
      <c r="F327" s="336"/>
      <c r="G327" s="336"/>
      <c r="H327" s="336"/>
      <c r="I327" s="336"/>
      <c r="J327" s="336"/>
      <c r="K327" s="336"/>
      <c r="L327" s="336"/>
      <c r="M327" s="336"/>
      <c r="N327" s="336"/>
      <c r="O327" s="336"/>
      <c r="P327" s="336"/>
      <c r="Q327" s="336"/>
    </row>
    <row r="328" ht="15.75" customHeight="1">
      <c r="A328" s="336"/>
      <c r="B328" s="336"/>
      <c r="C328" s="336"/>
      <c r="D328" s="336"/>
      <c r="E328" s="336"/>
      <c r="F328" s="336"/>
      <c r="G328" s="336"/>
      <c r="H328" s="336"/>
      <c r="I328" s="336"/>
      <c r="J328" s="336"/>
      <c r="K328" s="336"/>
      <c r="L328" s="336"/>
      <c r="M328" s="336"/>
      <c r="N328" s="336"/>
      <c r="O328" s="336"/>
      <c r="P328" s="336"/>
      <c r="Q328" s="336"/>
    </row>
    <row r="329" ht="15.75" customHeight="1">
      <c r="A329" s="336"/>
      <c r="B329" s="336"/>
      <c r="C329" s="336"/>
      <c r="D329" s="336"/>
      <c r="E329" s="336"/>
      <c r="F329" s="336"/>
      <c r="G329" s="336"/>
      <c r="H329" s="336"/>
      <c r="I329" s="336"/>
      <c r="J329" s="336"/>
      <c r="K329" s="336"/>
      <c r="L329" s="336"/>
      <c r="M329" s="336"/>
      <c r="N329" s="336"/>
      <c r="O329" s="336"/>
      <c r="P329" s="336"/>
      <c r="Q329" s="336"/>
    </row>
    <row r="330" ht="15.75" customHeight="1">
      <c r="A330" s="336"/>
      <c r="B330" s="336"/>
      <c r="C330" s="336"/>
      <c r="D330" s="336"/>
      <c r="E330" s="336"/>
      <c r="F330" s="336"/>
      <c r="G330" s="336"/>
      <c r="H330" s="336"/>
      <c r="I330" s="336"/>
      <c r="J330" s="336"/>
      <c r="K330" s="336"/>
      <c r="L330" s="336"/>
      <c r="M330" s="336"/>
      <c r="N330" s="336"/>
      <c r="O330" s="336"/>
      <c r="P330" s="336"/>
      <c r="Q330" s="336"/>
    </row>
    <row r="331" ht="15.75" customHeight="1">
      <c r="A331" s="336"/>
      <c r="B331" s="336"/>
      <c r="C331" s="336"/>
      <c r="D331" s="336"/>
      <c r="E331" s="336"/>
      <c r="F331" s="336"/>
      <c r="G331" s="336"/>
      <c r="H331" s="336"/>
      <c r="I331" s="336"/>
      <c r="J331" s="336"/>
      <c r="K331" s="336"/>
      <c r="L331" s="336"/>
      <c r="M331" s="336"/>
      <c r="N331" s="336"/>
      <c r="O331" s="336"/>
      <c r="P331" s="336"/>
      <c r="Q331" s="336"/>
    </row>
    <row r="332" ht="15.75" customHeight="1">
      <c r="A332" s="336"/>
      <c r="B332" s="336"/>
      <c r="C332" s="336"/>
      <c r="D332" s="336"/>
      <c r="E332" s="336"/>
      <c r="F332" s="336"/>
      <c r="G332" s="336"/>
      <c r="H332" s="336"/>
      <c r="I332" s="336"/>
      <c r="J332" s="336"/>
      <c r="K332" s="336"/>
      <c r="L332" s="336"/>
      <c r="M332" s="336"/>
      <c r="N332" s="336"/>
      <c r="O332" s="336"/>
      <c r="P332" s="336"/>
      <c r="Q332" s="336"/>
    </row>
    <row r="333" ht="15.75" customHeight="1">
      <c r="A333" s="336"/>
      <c r="B333" s="336"/>
      <c r="C333" s="336"/>
      <c r="D333" s="336"/>
      <c r="E333" s="336"/>
      <c r="F333" s="336"/>
      <c r="G333" s="336"/>
      <c r="H333" s="336"/>
      <c r="I333" s="336"/>
      <c r="J333" s="336"/>
      <c r="K333" s="336"/>
      <c r="L333" s="336"/>
      <c r="M333" s="336"/>
      <c r="N333" s="336"/>
      <c r="O333" s="336"/>
      <c r="P333" s="336"/>
      <c r="Q333" s="336"/>
    </row>
    <row r="334" ht="15.75" customHeight="1">
      <c r="A334" s="336"/>
      <c r="B334" s="336"/>
      <c r="C334" s="336"/>
      <c r="D334" s="336"/>
      <c r="E334" s="336"/>
      <c r="F334" s="336"/>
      <c r="G334" s="336"/>
      <c r="H334" s="336"/>
      <c r="I334" s="336"/>
      <c r="J334" s="336"/>
      <c r="K334" s="336"/>
      <c r="L334" s="336"/>
      <c r="M334" s="336"/>
      <c r="N334" s="336"/>
      <c r="O334" s="336"/>
      <c r="P334" s="336"/>
      <c r="Q334" s="336"/>
    </row>
    <row r="335" ht="15.75" customHeight="1">
      <c r="A335" s="336"/>
      <c r="B335" s="336"/>
      <c r="C335" s="336"/>
      <c r="D335" s="336"/>
      <c r="E335" s="336"/>
      <c r="F335" s="336"/>
      <c r="G335" s="336"/>
      <c r="H335" s="336"/>
      <c r="I335" s="336"/>
      <c r="J335" s="336"/>
      <c r="K335" s="336"/>
      <c r="L335" s="336"/>
      <c r="M335" s="336"/>
      <c r="N335" s="336"/>
      <c r="O335" s="336"/>
      <c r="P335" s="336"/>
      <c r="Q335" s="336"/>
    </row>
    <row r="336" ht="15.75" customHeight="1">
      <c r="A336" s="336"/>
      <c r="B336" s="336"/>
      <c r="C336" s="336"/>
      <c r="D336" s="336"/>
      <c r="E336" s="336"/>
      <c r="F336" s="336"/>
      <c r="G336" s="336"/>
      <c r="H336" s="336"/>
      <c r="I336" s="336"/>
      <c r="J336" s="336"/>
      <c r="K336" s="336"/>
      <c r="L336" s="336"/>
      <c r="M336" s="336"/>
      <c r="N336" s="336"/>
      <c r="O336" s="336"/>
      <c r="P336" s="336"/>
      <c r="Q336" s="336"/>
    </row>
    <row r="337" ht="15.75" customHeight="1">
      <c r="A337" s="336"/>
      <c r="B337" s="336"/>
      <c r="C337" s="336"/>
      <c r="D337" s="336"/>
      <c r="E337" s="336"/>
      <c r="F337" s="336"/>
      <c r="G337" s="336"/>
      <c r="H337" s="336"/>
      <c r="I337" s="336"/>
      <c r="J337" s="336"/>
      <c r="K337" s="336"/>
      <c r="L337" s="336"/>
      <c r="M337" s="336"/>
      <c r="N337" s="336"/>
      <c r="O337" s="336"/>
      <c r="P337" s="336"/>
      <c r="Q337" s="336"/>
    </row>
    <row r="338" ht="15.75" customHeight="1">
      <c r="A338" s="336"/>
      <c r="B338" s="336"/>
      <c r="C338" s="336"/>
      <c r="D338" s="336"/>
      <c r="E338" s="336"/>
      <c r="F338" s="336"/>
      <c r="G338" s="336"/>
      <c r="H338" s="336"/>
      <c r="I338" s="336"/>
      <c r="J338" s="336"/>
      <c r="K338" s="336"/>
      <c r="L338" s="336"/>
      <c r="M338" s="336"/>
      <c r="N338" s="336"/>
      <c r="O338" s="336"/>
      <c r="P338" s="336"/>
      <c r="Q338" s="336"/>
    </row>
    <row r="339" ht="15.75" customHeight="1">
      <c r="A339" s="336"/>
      <c r="B339" s="336"/>
      <c r="C339" s="336"/>
      <c r="D339" s="336"/>
      <c r="E339" s="336"/>
      <c r="F339" s="336"/>
      <c r="G339" s="336"/>
      <c r="H339" s="336"/>
      <c r="I339" s="336"/>
      <c r="J339" s="336"/>
      <c r="K339" s="336"/>
      <c r="L339" s="336"/>
      <c r="M339" s="336"/>
      <c r="N339" s="336"/>
      <c r="O339" s="336"/>
      <c r="P339" s="336"/>
      <c r="Q339" s="336"/>
    </row>
    <row r="340" ht="15.75" customHeight="1">
      <c r="A340" s="336"/>
      <c r="B340" s="336"/>
      <c r="C340" s="336"/>
      <c r="D340" s="336"/>
      <c r="E340" s="336"/>
      <c r="F340" s="336"/>
      <c r="G340" s="336"/>
      <c r="H340" s="336"/>
      <c r="I340" s="336"/>
      <c r="J340" s="336"/>
      <c r="K340" s="336"/>
      <c r="L340" s="336"/>
      <c r="M340" s="336"/>
      <c r="N340" s="336"/>
      <c r="O340" s="336"/>
      <c r="P340" s="336"/>
      <c r="Q340" s="336"/>
    </row>
    <row r="341" ht="15.75" customHeight="1">
      <c r="A341" s="336"/>
      <c r="B341" s="336"/>
      <c r="C341" s="336"/>
      <c r="D341" s="336"/>
      <c r="E341" s="336"/>
      <c r="F341" s="336"/>
      <c r="G341" s="336"/>
      <c r="H341" s="336"/>
      <c r="I341" s="336"/>
      <c r="J341" s="336"/>
      <c r="K341" s="336"/>
      <c r="L341" s="336"/>
      <c r="M341" s="336"/>
      <c r="N341" s="336"/>
      <c r="O341" s="336"/>
      <c r="P341" s="336"/>
      <c r="Q341" s="336"/>
    </row>
    <row r="342" ht="15.75" customHeight="1">
      <c r="A342" s="336"/>
      <c r="B342" s="336"/>
      <c r="C342" s="336"/>
      <c r="D342" s="336"/>
      <c r="E342" s="336"/>
      <c r="F342" s="336"/>
      <c r="G342" s="336"/>
      <c r="H342" s="336"/>
      <c r="I342" s="336"/>
      <c r="J342" s="336"/>
      <c r="K342" s="336"/>
      <c r="L342" s="336"/>
      <c r="M342" s="336"/>
      <c r="N342" s="336"/>
      <c r="O342" s="336"/>
      <c r="P342" s="336"/>
      <c r="Q342" s="336"/>
    </row>
    <row r="343" ht="15.75" customHeight="1">
      <c r="A343" s="336"/>
      <c r="B343" s="336"/>
      <c r="C343" s="336"/>
      <c r="D343" s="336"/>
      <c r="E343" s="336"/>
      <c r="F343" s="336"/>
      <c r="G343" s="336"/>
      <c r="H343" s="336"/>
      <c r="I343" s="336"/>
      <c r="J343" s="336"/>
      <c r="K343" s="336"/>
      <c r="L343" s="336"/>
      <c r="M343" s="336"/>
      <c r="N343" s="336"/>
      <c r="O343" s="336"/>
      <c r="P343" s="336"/>
      <c r="Q343" s="336"/>
    </row>
    <row r="344" ht="15.75" customHeight="1">
      <c r="A344" s="336"/>
      <c r="B344" s="336"/>
      <c r="C344" s="336"/>
      <c r="D344" s="336"/>
      <c r="E344" s="336"/>
      <c r="F344" s="336"/>
      <c r="G344" s="336"/>
      <c r="H344" s="336"/>
      <c r="I344" s="336"/>
      <c r="J344" s="336"/>
      <c r="K344" s="336"/>
      <c r="L344" s="336"/>
      <c r="M344" s="336"/>
      <c r="N344" s="336"/>
      <c r="O344" s="336"/>
      <c r="P344" s="336"/>
      <c r="Q344" s="336"/>
    </row>
    <row r="345" ht="15.75" customHeight="1">
      <c r="A345" s="336"/>
      <c r="B345" s="336"/>
      <c r="C345" s="336"/>
      <c r="D345" s="336"/>
      <c r="E345" s="336"/>
      <c r="F345" s="336"/>
      <c r="G345" s="336"/>
      <c r="H345" s="336"/>
      <c r="I345" s="336"/>
      <c r="J345" s="336"/>
      <c r="K345" s="336"/>
      <c r="L345" s="336"/>
      <c r="M345" s="336"/>
      <c r="N345" s="336"/>
      <c r="O345" s="336"/>
      <c r="P345" s="336"/>
      <c r="Q345" s="336"/>
    </row>
    <row r="346" ht="15.75" customHeight="1">
      <c r="A346" s="336"/>
      <c r="B346" s="336"/>
      <c r="C346" s="336"/>
      <c r="D346" s="336"/>
      <c r="E346" s="336"/>
      <c r="F346" s="336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  <c r="Q346" s="336"/>
    </row>
    <row r="347" ht="15.75" customHeight="1">
      <c r="A347" s="336"/>
      <c r="B347" s="336"/>
      <c r="C347" s="336"/>
      <c r="D347" s="336"/>
      <c r="E347" s="336"/>
      <c r="F347" s="336"/>
      <c r="G347" s="336"/>
      <c r="H347" s="336"/>
      <c r="I347" s="336"/>
      <c r="J347" s="336"/>
      <c r="K347" s="336"/>
      <c r="L347" s="336"/>
      <c r="M347" s="336"/>
      <c r="N347" s="336"/>
      <c r="O347" s="336"/>
      <c r="P347" s="336"/>
      <c r="Q347" s="336"/>
    </row>
    <row r="348" ht="15.75" customHeight="1">
      <c r="A348" s="336"/>
      <c r="B348" s="336"/>
      <c r="C348" s="336"/>
      <c r="D348" s="336"/>
      <c r="E348" s="336"/>
      <c r="F348" s="336"/>
      <c r="G348" s="336"/>
      <c r="H348" s="336"/>
      <c r="I348" s="336"/>
      <c r="J348" s="336"/>
      <c r="K348" s="336"/>
      <c r="L348" s="336"/>
      <c r="M348" s="336"/>
      <c r="N348" s="336"/>
      <c r="O348" s="336"/>
      <c r="P348" s="336"/>
      <c r="Q348" s="336"/>
    </row>
    <row r="349" ht="15.75" customHeight="1">
      <c r="A349" s="336"/>
      <c r="B349" s="336"/>
      <c r="C349" s="336"/>
      <c r="D349" s="336"/>
      <c r="E349" s="336"/>
      <c r="F349" s="336"/>
      <c r="G349" s="336"/>
      <c r="H349" s="336"/>
      <c r="I349" s="336"/>
      <c r="J349" s="336"/>
      <c r="K349" s="336"/>
      <c r="L349" s="336"/>
      <c r="M349" s="336"/>
      <c r="N349" s="336"/>
      <c r="O349" s="336"/>
      <c r="P349" s="336"/>
      <c r="Q349" s="336"/>
    </row>
    <row r="350" ht="15.75" customHeight="1">
      <c r="A350" s="336"/>
      <c r="B350" s="336"/>
      <c r="C350" s="336"/>
      <c r="D350" s="336"/>
      <c r="E350" s="336"/>
      <c r="F350" s="336"/>
      <c r="G350" s="336"/>
      <c r="H350" s="336"/>
      <c r="I350" s="336"/>
      <c r="J350" s="336"/>
      <c r="K350" s="336"/>
      <c r="L350" s="336"/>
      <c r="M350" s="336"/>
      <c r="N350" s="336"/>
      <c r="O350" s="336"/>
      <c r="P350" s="336"/>
      <c r="Q350" s="336"/>
    </row>
    <row r="351" ht="15.75" customHeight="1">
      <c r="A351" s="336"/>
      <c r="B351" s="336"/>
      <c r="C351" s="336"/>
      <c r="D351" s="336"/>
      <c r="E351" s="336"/>
      <c r="F351" s="336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  <c r="Q351" s="336"/>
    </row>
    <row r="352" ht="15.75" customHeight="1">
      <c r="A352" s="336"/>
      <c r="B352" s="336"/>
      <c r="C352" s="336"/>
      <c r="D352" s="336"/>
      <c r="E352" s="336"/>
      <c r="F352" s="336"/>
      <c r="G352" s="336"/>
      <c r="H352" s="336"/>
      <c r="I352" s="336"/>
      <c r="J352" s="336"/>
      <c r="K352" s="336"/>
      <c r="L352" s="336"/>
      <c r="M352" s="336"/>
      <c r="N352" s="336"/>
      <c r="O352" s="336"/>
      <c r="P352" s="336"/>
      <c r="Q352" s="336"/>
    </row>
    <row r="353" ht="15.75" customHeight="1">
      <c r="A353" s="336"/>
      <c r="B353" s="336"/>
      <c r="C353" s="336"/>
      <c r="D353" s="336"/>
      <c r="E353" s="336"/>
      <c r="F353" s="336"/>
      <c r="G353" s="336"/>
      <c r="H353" s="336"/>
      <c r="I353" s="336"/>
      <c r="J353" s="336"/>
      <c r="K353" s="336"/>
      <c r="L353" s="336"/>
      <c r="M353" s="336"/>
      <c r="N353" s="336"/>
      <c r="O353" s="336"/>
      <c r="P353" s="336"/>
      <c r="Q353" s="336"/>
    </row>
    <row r="354" ht="15.75" customHeight="1">
      <c r="A354" s="336"/>
      <c r="B354" s="336"/>
      <c r="C354" s="336"/>
      <c r="D354" s="336"/>
      <c r="E354" s="336"/>
      <c r="F354" s="336"/>
      <c r="G354" s="336"/>
      <c r="H354" s="336"/>
      <c r="I354" s="336"/>
      <c r="J354" s="336"/>
      <c r="K354" s="336"/>
      <c r="L354" s="336"/>
      <c r="M354" s="336"/>
      <c r="N354" s="336"/>
      <c r="O354" s="336"/>
      <c r="P354" s="336"/>
      <c r="Q354" s="336"/>
    </row>
    <row r="355" ht="15.75" customHeight="1">
      <c r="A355" s="336"/>
      <c r="B355" s="336"/>
      <c r="C355" s="336"/>
      <c r="D355" s="336"/>
      <c r="E355" s="336"/>
      <c r="F355" s="336"/>
      <c r="G355" s="336"/>
      <c r="H355" s="336"/>
      <c r="I355" s="336"/>
      <c r="J355" s="336"/>
      <c r="K355" s="336"/>
      <c r="L355" s="336"/>
      <c r="M355" s="336"/>
      <c r="N355" s="336"/>
      <c r="O355" s="336"/>
      <c r="P355" s="336"/>
      <c r="Q355" s="336"/>
    </row>
    <row r="356" ht="15.75" customHeight="1">
      <c r="A356" s="336"/>
      <c r="B356" s="336"/>
      <c r="C356" s="336"/>
      <c r="D356" s="336"/>
      <c r="E356" s="336"/>
      <c r="F356" s="336"/>
      <c r="G356" s="336"/>
      <c r="H356" s="336"/>
      <c r="I356" s="336"/>
      <c r="J356" s="336"/>
      <c r="K356" s="336"/>
      <c r="L356" s="336"/>
      <c r="M356" s="336"/>
      <c r="N356" s="336"/>
      <c r="O356" s="336"/>
      <c r="P356" s="336"/>
      <c r="Q356" s="336"/>
    </row>
    <row r="357" ht="15.75" customHeight="1">
      <c r="A357" s="336"/>
      <c r="B357" s="336"/>
      <c r="C357" s="336"/>
      <c r="D357" s="336"/>
      <c r="E357" s="336"/>
      <c r="F357" s="336"/>
      <c r="G357" s="336"/>
      <c r="H357" s="336"/>
      <c r="I357" s="336"/>
      <c r="J357" s="336"/>
      <c r="K357" s="336"/>
      <c r="L357" s="336"/>
      <c r="M357" s="336"/>
      <c r="N357" s="336"/>
      <c r="O357" s="336"/>
      <c r="P357" s="336"/>
      <c r="Q357" s="336"/>
    </row>
    <row r="358" ht="15.75" customHeight="1">
      <c r="A358" s="336"/>
      <c r="B358" s="336"/>
      <c r="C358" s="336"/>
      <c r="D358" s="336"/>
      <c r="E358" s="336"/>
      <c r="F358" s="336"/>
      <c r="G358" s="336"/>
      <c r="H358" s="336"/>
      <c r="I358" s="336"/>
      <c r="J358" s="336"/>
      <c r="K358" s="336"/>
      <c r="L358" s="336"/>
      <c r="M358" s="336"/>
      <c r="N358" s="336"/>
      <c r="O358" s="336"/>
      <c r="P358" s="336"/>
      <c r="Q358" s="336"/>
    </row>
    <row r="359" ht="15.75" customHeight="1">
      <c r="A359" s="336"/>
      <c r="B359" s="336"/>
      <c r="C359" s="336"/>
      <c r="D359" s="336"/>
      <c r="E359" s="336"/>
      <c r="F359" s="336"/>
      <c r="G359" s="336"/>
      <c r="H359" s="336"/>
      <c r="I359" s="336"/>
      <c r="J359" s="336"/>
      <c r="K359" s="336"/>
      <c r="L359" s="336"/>
      <c r="M359" s="336"/>
      <c r="N359" s="336"/>
      <c r="O359" s="336"/>
      <c r="P359" s="336"/>
      <c r="Q359" s="336"/>
    </row>
    <row r="360" ht="15.75" customHeight="1">
      <c r="A360" s="336"/>
      <c r="B360" s="336"/>
      <c r="C360" s="336"/>
      <c r="D360" s="336"/>
      <c r="E360" s="336"/>
      <c r="F360" s="336"/>
      <c r="G360" s="336"/>
      <c r="H360" s="336"/>
      <c r="I360" s="336"/>
      <c r="J360" s="336"/>
      <c r="K360" s="336"/>
      <c r="L360" s="336"/>
      <c r="M360" s="336"/>
      <c r="N360" s="336"/>
      <c r="O360" s="336"/>
      <c r="P360" s="336"/>
      <c r="Q360" s="336"/>
    </row>
    <row r="361" ht="15.75" customHeight="1">
      <c r="A361" s="336"/>
      <c r="B361" s="336"/>
      <c r="C361" s="336"/>
      <c r="D361" s="336"/>
      <c r="E361" s="336"/>
      <c r="F361" s="336"/>
      <c r="G361" s="336"/>
      <c r="H361" s="336"/>
      <c r="I361" s="336"/>
      <c r="J361" s="336"/>
      <c r="K361" s="336"/>
      <c r="L361" s="336"/>
      <c r="M361" s="336"/>
      <c r="N361" s="336"/>
      <c r="O361" s="336"/>
      <c r="P361" s="336"/>
      <c r="Q361" s="336"/>
    </row>
    <row r="362" ht="15.75" customHeight="1">
      <c r="A362" s="336"/>
      <c r="B362" s="336"/>
      <c r="C362" s="336"/>
      <c r="D362" s="336"/>
      <c r="E362" s="336"/>
      <c r="F362" s="336"/>
      <c r="G362" s="336"/>
      <c r="H362" s="336"/>
      <c r="I362" s="336"/>
      <c r="J362" s="336"/>
      <c r="K362" s="336"/>
      <c r="L362" s="336"/>
      <c r="M362" s="336"/>
      <c r="N362" s="336"/>
      <c r="O362" s="336"/>
      <c r="P362" s="336"/>
      <c r="Q362" s="336"/>
    </row>
    <row r="363" ht="15.75" customHeight="1">
      <c r="A363" s="336"/>
      <c r="B363" s="336"/>
      <c r="C363" s="336"/>
      <c r="D363" s="336"/>
      <c r="E363" s="336"/>
      <c r="F363" s="336"/>
      <c r="G363" s="336"/>
      <c r="H363" s="336"/>
      <c r="I363" s="336"/>
      <c r="J363" s="336"/>
      <c r="K363" s="336"/>
      <c r="L363" s="336"/>
      <c r="M363" s="336"/>
      <c r="N363" s="336"/>
      <c r="O363" s="336"/>
      <c r="P363" s="336"/>
      <c r="Q363" s="336"/>
    </row>
    <row r="364" ht="15.75" customHeight="1">
      <c r="A364" s="336"/>
      <c r="B364" s="336"/>
      <c r="C364" s="336"/>
      <c r="D364" s="336"/>
      <c r="E364" s="336"/>
      <c r="F364" s="336"/>
      <c r="G364" s="336"/>
      <c r="H364" s="336"/>
      <c r="I364" s="336"/>
      <c r="J364" s="336"/>
      <c r="K364" s="336"/>
      <c r="L364" s="336"/>
      <c r="M364" s="336"/>
      <c r="N364" s="336"/>
      <c r="O364" s="336"/>
      <c r="P364" s="336"/>
      <c r="Q364" s="336"/>
    </row>
    <row r="365" ht="15.75" customHeight="1">
      <c r="A365" s="336"/>
      <c r="B365" s="336"/>
      <c r="C365" s="336"/>
      <c r="D365" s="336"/>
      <c r="E365" s="336"/>
      <c r="F365" s="336"/>
      <c r="G365" s="336"/>
      <c r="H365" s="336"/>
      <c r="I365" s="336"/>
      <c r="J365" s="336"/>
      <c r="K365" s="336"/>
      <c r="L365" s="336"/>
      <c r="M365" s="336"/>
      <c r="N365" s="336"/>
      <c r="O365" s="336"/>
      <c r="P365" s="336"/>
      <c r="Q365" s="336"/>
    </row>
    <row r="366" ht="15.75" customHeight="1">
      <c r="A366" s="336"/>
      <c r="B366" s="336"/>
      <c r="C366" s="336"/>
      <c r="D366" s="336"/>
      <c r="E366" s="336"/>
      <c r="F366" s="336"/>
      <c r="G366" s="336"/>
      <c r="H366" s="336"/>
      <c r="I366" s="336"/>
      <c r="J366" s="336"/>
      <c r="K366" s="336"/>
      <c r="L366" s="336"/>
      <c r="M366" s="336"/>
      <c r="N366" s="336"/>
      <c r="O366" s="336"/>
      <c r="P366" s="336"/>
      <c r="Q366" s="336"/>
    </row>
    <row r="367" ht="15.75" customHeight="1">
      <c r="A367" s="336"/>
      <c r="B367" s="336"/>
      <c r="C367" s="336"/>
      <c r="D367" s="336"/>
      <c r="E367" s="336"/>
      <c r="F367" s="336"/>
      <c r="G367" s="336"/>
      <c r="H367" s="336"/>
      <c r="I367" s="336"/>
      <c r="J367" s="336"/>
      <c r="K367" s="336"/>
      <c r="L367" s="336"/>
      <c r="M367" s="336"/>
      <c r="N367" s="336"/>
      <c r="O367" s="336"/>
      <c r="P367" s="336"/>
      <c r="Q367" s="336"/>
    </row>
    <row r="368" ht="15.75" customHeight="1">
      <c r="A368" s="336"/>
      <c r="B368" s="336"/>
      <c r="C368" s="336"/>
      <c r="D368" s="336"/>
      <c r="E368" s="336"/>
      <c r="F368" s="336"/>
      <c r="G368" s="336"/>
      <c r="H368" s="336"/>
      <c r="I368" s="336"/>
      <c r="J368" s="336"/>
      <c r="K368" s="336"/>
      <c r="L368" s="336"/>
      <c r="M368" s="336"/>
      <c r="N368" s="336"/>
      <c r="O368" s="336"/>
      <c r="P368" s="336"/>
      <c r="Q368" s="336"/>
    </row>
    <row r="369" ht="15.75" customHeight="1">
      <c r="A369" s="336"/>
      <c r="B369" s="336"/>
      <c r="C369" s="336"/>
      <c r="D369" s="336"/>
      <c r="E369" s="336"/>
      <c r="F369" s="336"/>
      <c r="G369" s="336"/>
      <c r="H369" s="336"/>
      <c r="I369" s="336"/>
      <c r="J369" s="336"/>
      <c r="K369" s="336"/>
      <c r="L369" s="336"/>
      <c r="M369" s="336"/>
      <c r="N369" s="336"/>
      <c r="O369" s="336"/>
      <c r="P369" s="336"/>
      <c r="Q369" s="336"/>
    </row>
    <row r="370" ht="15.75" customHeight="1">
      <c r="A370" s="336"/>
      <c r="B370" s="336"/>
      <c r="C370" s="336"/>
      <c r="D370" s="336"/>
      <c r="E370" s="336"/>
      <c r="F370" s="336"/>
      <c r="G370" s="336"/>
      <c r="H370" s="336"/>
      <c r="I370" s="336"/>
      <c r="J370" s="336"/>
      <c r="K370" s="336"/>
      <c r="L370" s="336"/>
      <c r="M370" s="336"/>
      <c r="N370" s="336"/>
      <c r="O370" s="336"/>
      <c r="P370" s="336"/>
      <c r="Q370" s="336"/>
    </row>
    <row r="371" ht="15.75" customHeight="1">
      <c r="A371" s="336"/>
      <c r="B371" s="336"/>
      <c r="C371" s="336"/>
      <c r="D371" s="336"/>
      <c r="E371" s="336"/>
      <c r="F371" s="336"/>
      <c r="G371" s="336"/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</row>
    <row r="372" ht="15.75" customHeight="1">
      <c r="A372" s="336"/>
      <c r="B372" s="336"/>
      <c r="C372" s="336"/>
      <c r="D372" s="336"/>
      <c r="E372" s="336"/>
      <c r="F372" s="336"/>
      <c r="G372" s="336"/>
      <c r="H372" s="336"/>
      <c r="I372" s="336"/>
      <c r="J372" s="336"/>
      <c r="K372" s="336"/>
      <c r="L372" s="336"/>
      <c r="M372" s="336"/>
      <c r="N372" s="336"/>
      <c r="O372" s="336"/>
      <c r="P372" s="336"/>
      <c r="Q372" s="336"/>
    </row>
    <row r="373" ht="15.75" customHeight="1">
      <c r="A373" s="336"/>
      <c r="B373" s="336"/>
      <c r="C373" s="336"/>
      <c r="D373" s="336"/>
      <c r="E373" s="336"/>
      <c r="F373" s="336"/>
      <c r="G373" s="336"/>
      <c r="H373" s="336"/>
      <c r="I373" s="336"/>
      <c r="J373" s="336"/>
      <c r="K373" s="336"/>
      <c r="L373" s="336"/>
      <c r="M373" s="336"/>
      <c r="N373" s="336"/>
      <c r="O373" s="336"/>
      <c r="P373" s="336"/>
      <c r="Q373" s="336"/>
    </row>
    <row r="374" ht="15.75" customHeight="1">
      <c r="A374" s="336"/>
      <c r="B374" s="336"/>
      <c r="C374" s="336"/>
      <c r="D374" s="336"/>
      <c r="E374" s="336"/>
      <c r="F374" s="336"/>
      <c r="G374" s="336"/>
      <c r="H374" s="336"/>
      <c r="I374" s="336"/>
      <c r="J374" s="336"/>
      <c r="K374" s="336"/>
      <c r="L374" s="336"/>
      <c r="M374" s="336"/>
      <c r="N374" s="336"/>
      <c r="O374" s="336"/>
      <c r="P374" s="336"/>
      <c r="Q374" s="336"/>
    </row>
    <row r="375" ht="15.75" customHeight="1">
      <c r="A375" s="336"/>
      <c r="B375" s="336"/>
      <c r="C375" s="336"/>
      <c r="D375" s="336"/>
      <c r="E375" s="336"/>
      <c r="F375" s="336"/>
      <c r="G375" s="336"/>
      <c r="H375" s="336"/>
      <c r="I375" s="336"/>
      <c r="J375" s="336"/>
      <c r="K375" s="336"/>
      <c r="L375" s="336"/>
      <c r="M375" s="336"/>
      <c r="N375" s="336"/>
      <c r="O375" s="336"/>
      <c r="P375" s="336"/>
      <c r="Q375" s="336"/>
    </row>
    <row r="376" ht="15.75" customHeight="1">
      <c r="A376" s="336"/>
      <c r="B376" s="336"/>
      <c r="C376" s="336"/>
      <c r="D376" s="336"/>
      <c r="E376" s="336"/>
      <c r="F376" s="336"/>
      <c r="G376" s="336"/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</row>
    <row r="377" ht="15.75" customHeight="1">
      <c r="A377" s="336"/>
      <c r="B377" s="336"/>
      <c r="C377" s="336"/>
      <c r="D377" s="336"/>
      <c r="E377" s="336"/>
      <c r="F377" s="336"/>
      <c r="G377" s="336"/>
      <c r="H377" s="336"/>
      <c r="I377" s="336"/>
      <c r="J377" s="336"/>
      <c r="K377" s="336"/>
      <c r="L377" s="336"/>
      <c r="M377" s="336"/>
      <c r="N377" s="336"/>
      <c r="O377" s="336"/>
      <c r="P377" s="336"/>
      <c r="Q377" s="336"/>
    </row>
    <row r="378" ht="15.75" customHeight="1">
      <c r="A378" s="336"/>
      <c r="B378" s="336"/>
      <c r="C378" s="336"/>
      <c r="D378" s="336"/>
      <c r="E378" s="336"/>
      <c r="F378" s="336"/>
      <c r="G378" s="336"/>
      <c r="H378" s="336"/>
      <c r="I378" s="336"/>
      <c r="J378" s="336"/>
      <c r="K378" s="336"/>
      <c r="L378" s="336"/>
      <c r="M378" s="336"/>
      <c r="N378" s="336"/>
      <c r="O378" s="336"/>
      <c r="P378" s="336"/>
      <c r="Q378" s="336"/>
    </row>
    <row r="379" ht="15.75" customHeight="1">
      <c r="A379" s="336"/>
      <c r="B379" s="336"/>
      <c r="C379" s="336"/>
      <c r="D379" s="336"/>
      <c r="E379" s="336"/>
      <c r="F379" s="336"/>
      <c r="G379" s="336"/>
      <c r="H379" s="336"/>
      <c r="I379" s="336"/>
      <c r="J379" s="336"/>
      <c r="K379" s="336"/>
      <c r="L379" s="336"/>
      <c r="M379" s="336"/>
      <c r="N379" s="336"/>
      <c r="O379" s="336"/>
      <c r="P379" s="336"/>
      <c r="Q379" s="336"/>
    </row>
    <row r="380" ht="15.75" customHeight="1">
      <c r="A380" s="336"/>
      <c r="B380" s="336"/>
      <c r="C380" s="336"/>
      <c r="D380" s="336"/>
      <c r="E380" s="336"/>
      <c r="F380" s="336"/>
      <c r="G380" s="336"/>
      <c r="H380" s="336"/>
      <c r="I380" s="336"/>
      <c r="J380" s="336"/>
      <c r="K380" s="336"/>
      <c r="L380" s="336"/>
      <c r="M380" s="336"/>
      <c r="N380" s="336"/>
      <c r="O380" s="336"/>
      <c r="P380" s="336"/>
      <c r="Q380" s="336"/>
    </row>
    <row r="381" ht="15.75" customHeight="1">
      <c r="A381" s="336"/>
      <c r="B381" s="336"/>
      <c r="C381" s="336"/>
      <c r="D381" s="336"/>
      <c r="E381" s="336"/>
      <c r="F381" s="336"/>
      <c r="G381" s="336"/>
      <c r="H381" s="336"/>
      <c r="I381" s="336"/>
      <c r="J381" s="336"/>
      <c r="K381" s="336"/>
      <c r="L381" s="336"/>
      <c r="M381" s="336"/>
      <c r="N381" s="336"/>
      <c r="O381" s="336"/>
      <c r="P381" s="336"/>
      <c r="Q381" s="336"/>
    </row>
    <row r="382" ht="15.75" customHeight="1">
      <c r="A382" s="336"/>
      <c r="B382" s="336"/>
      <c r="C382" s="336"/>
      <c r="D382" s="336"/>
      <c r="E382" s="336"/>
      <c r="F382" s="336"/>
      <c r="G382" s="336"/>
      <c r="H382" s="336"/>
      <c r="I382" s="336"/>
      <c r="J382" s="336"/>
      <c r="K382" s="336"/>
      <c r="L382" s="336"/>
      <c r="M382" s="336"/>
      <c r="N382" s="336"/>
      <c r="O382" s="336"/>
      <c r="P382" s="336"/>
      <c r="Q382" s="336"/>
    </row>
    <row r="383" ht="15.75" customHeight="1">
      <c r="A383" s="336"/>
      <c r="B383" s="336"/>
      <c r="C383" s="336"/>
      <c r="D383" s="336"/>
      <c r="E383" s="336"/>
      <c r="F383" s="336"/>
      <c r="G383" s="336"/>
      <c r="H383" s="336"/>
      <c r="I383" s="336"/>
      <c r="J383" s="336"/>
      <c r="K383" s="336"/>
      <c r="L383" s="336"/>
      <c r="M383" s="336"/>
      <c r="N383" s="336"/>
      <c r="O383" s="336"/>
      <c r="P383" s="336"/>
      <c r="Q383" s="336"/>
    </row>
    <row r="384" ht="15.75" customHeight="1">
      <c r="A384" s="336"/>
      <c r="B384" s="336"/>
      <c r="C384" s="336"/>
      <c r="D384" s="336"/>
      <c r="E384" s="336"/>
      <c r="F384" s="336"/>
      <c r="G384" s="336"/>
      <c r="H384" s="336"/>
      <c r="I384" s="336"/>
      <c r="J384" s="336"/>
      <c r="K384" s="336"/>
      <c r="L384" s="336"/>
      <c r="M384" s="336"/>
      <c r="N384" s="336"/>
      <c r="O384" s="336"/>
      <c r="P384" s="336"/>
      <c r="Q384" s="336"/>
    </row>
    <row r="385" ht="15.75" customHeight="1">
      <c r="A385" s="336"/>
      <c r="B385" s="336"/>
      <c r="C385" s="336"/>
      <c r="D385" s="336"/>
      <c r="E385" s="336"/>
      <c r="F385" s="336"/>
      <c r="G385" s="336"/>
      <c r="H385" s="336"/>
      <c r="I385" s="336"/>
      <c r="J385" s="336"/>
      <c r="K385" s="336"/>
      <c r="L385" s="336"/>
      <c r="M385" s="336"/>
      <c r="N385" s="336"/>
      <c r="O385" s="336"/>
      <c r="P385" s="336"/>
      <c r="Q385" s="336"/>
    </row>
    <row r="386" ht="15.75" customHeight="1">
      <c r="A386" s="336"/>
      <c r="B386" s="336"/>
      <c r="C386" s="336"/>
      <c r="D386" s="336"/>
      <c r="E386" s="336"/>
      <c r="F386" s="336"/>
      <c r="G386" s="336"/>
      <c r="H386" s="336"/>
      <c r="I386" s="336"/>
      <c r="J386" s="336"/>
      <c r="K386" s="336"/>
      <c r="L386" s="336"/>
      <c r="M386" s="336"/>
      <c r="N386" s="336"/>
      <c r="O386" s="336"/>
      <c r="P386" s="336"/>
      <c r="Q386" s="336"/>
    </row>
    <row r="387" ht="15.75" customHeight="1">
      <c r="A387" s="336"/>
      <c r="B387" s="336"/>
      <c r="C387" s="336"/>
      <c r="D387" s="336"/>
      <c r="E387" s="336"/>
      <c r="F387" s="336"/>
      <c r="G387" s="336"/>
      <c r="H387" s="336"/>
      <c r="I387" s="336"/>
      <c r="J387" s="336"/>
      <c r="K387" s="336"/>
      <c r="L387" s="336"/>
      <c r="M387" s="336"/>
      <c r="N387" s="336"/>
      <c r="O387" s="336"/>
      <c r="P387" s="336"/>
      <c r="Q387" s="336"/>
    </row>
    <row r="388" ht="15.75" customHeight="1">
      <c r="A388" s="336"/>
      <c r="B388" s="336"/>
      <c r="C388" s="336"/>
      <c r="D388" s="336"/>
      <c r="E388" s="336"/>
      <c r="F388" s="336"/>
      <c r="G388" s="336"/>
      <c r="H388" s="336"/>
      <c r="I388" s="336"/>
      <c r="J388" s="336"/>
      <c r="K388" s="336"/>
      <c r="L388" s="336"/>
      <c r="M388" s="336"/>
      <c r="N388" s="336"/>
      <c r="O388" s="336"/>
      <c r="P388" s="336"/>
      <c r="Q388" s="336"/>
    </row>
    <row r="389" ht="15.75" customHeight="1">
      <c r="A389" s="336"/>
      <c r="B389" s="336"/>
      <c r="C389" s="336"/>
      <c r="D389" s="336"/>
      <c r="E389" s="336"/>
      <c r="F389" s="336"/>
      <c r="G389" s="336"/>
      <c r="H389" s="336"/>
      <c r="I389" s="336"/>
      <c r="J389" s="336"/>
      <c r="K389" s="336"/>
      <c r="L389" s="336"/>
      <c r="M389" s="336"/>
      <c r="N389" s="336"/>
      <c r="O389" s="336"/>
      <c r="P389" s="336"/>
      <c r="Q389" s="336"/>
    </row>
    <row r="390" ht="15.75" customHeight="1">
      <c r="A390" s="336"/>
      <c r="B390" s="336"/>
      <c r="C390" s="336"/>
      <c r="D390" s="336"/>
      <c r="E390" s="336"/>
      <c r="F390" s="336"/>
      <c r="G390" s="336"/>
      <c r="H390" s="336"/>
      <c r="I390" s="336"/>
      <c r="J390" s="336"/>
      <c r="K390" s="336"/>
      <c r="L390" s="336"/>
      <c r="M390" s="336"/>
      <c r="N390" s="336"/>
      <c r="O390" s="336"/>
      <c r="P390" s="336"/>
      <c r="Q390" s="336"/>
    </row>
    <row r="391" ht="15.75" customHeight="1">
      <c r="A391" s="336"/>
      <c r="B391" s="336"/>
      <c r="C391" s="336"/>
      <c r="D391" s="336"/>
      <c r="E391" s="336"/>
      <c r="F391" s="336"/>
      <c r="G391" s="336"/>
      <c r="H391" s="336"/>
      <c r="I391" s="336"/>
      <c r="J391" s="336"/>
      <c r="K391" s="336"/>
      <c r="L391" s="336"/>
      <c r="M391" s="336"/>
      <c r="N391" s="336"/>
      <c r="O391" s="336"/>
      <c r="P391" s="336"/>
      <c r="Q391" s="336"/>
    </row>
    <row r="392" ht="15.75" customHeight="1">
      <c r="A392" s="336"/>
      <c r="B392" s="336"/>
      <c r="C392" s="336"/>
      <c r="D392" s="336"/>
      <c r="E392" s="336"/>
      <c r="F392" s="336"/>
      <c r="G392" s="336"/>
      <c r="H392" s="336"/>
      <c r="I392" s="336"/>
      <c r="J392" s="336"/>
      <c r="K392" s="336"/>
      <c r="L392" s="336"/>
      <c r="M392" s="336"/>
      <c r="N392" s="336"/>
      <c r="O392" s="336"/>
      <c r="P392" s="336"/>
      <c r="Q392" s="336"/>
    </row>
    <row r="393" ht="15.75" customHeight="1">
      <c r="A393" s="336"/>
      <c r="B393" s="336"/>
      <c r="C393" s="336"/>
      <c r="D393" s="336"/>
      <c r="E393" s="336"/>
      <c r="F393" s="336"/>
      <c r="G393" s="336"/>
      <c r="H393" s="336"/>
      <c r="I393" s="336"/>
      <c r="J393" s="336"/>
      <c r="K393" s="336"/>
      <c r="L393" s="336"/>
      <c r="M393" s="336"/>
      <c r="N393" s="336"/>
      <c r="O393" s="336"/>
      <c r="P393" s="336"/>
      <c r="Q393" s="336"/>
    </row>
    <row r="394" ht="15.75" customHeight="1">
      <c r="A394" s="336"/>
      <c r="B394" s="336"/>
      <c r="C394" s="336"/>
      <c r="D394" s="336"/>
      <c r="E394" s="336"/>
      <c r="F394" s="336"/>
      <c r="G394" s="336"/>
      <c r="H394" s="336"/>
      <c r="I394" s="336"/>
      <c r="J394" s="336"/>
      <c r="K394" s="336"/>
      <c r="L394" s="336"/>
      <c r="M394" s="336"/>
      <c r="N394" s="336"/>
      <c r="O394" s="336"/>
      <c r="P394" s="336"/>
      <c r="Q394" s="336"/>
    </row>
    <row r="395" ht="15.75" customHeight="1">
      <c r="A395" s="336"/>
      <c r="B395" s="336"/>
      <c r="C395" s="336"/>
      <c r="D395" s="336"/>
      <c r="E395" s="336"/>
      <c r="F395" s="336"/>
      <c r="G395" s="336"/>
      <c r="H395" s="336"/>
      <c r="I395" s="336"/>
      <c r="J395" s="336"/>
      <c r="K395" s="336"/>
      <c r="L395" s="336"/>
      <c r="M395" s="336"/>
      <c r="N395" s="336"/>
      <c r="O395" s="336"/>
      <c r="P395" s="336"/>
      <c r="Q395" s="336"/>
    </row>
    <row r="396" ht="15.75" customHeight="1">
      <c r="A396" s="336"/>
      <c r="B396" s="336"/>
      <c r="C396" s="336"/>
      <c r="D396" s="336"/>
      <c r="E396" s="336"/>
      <c r="F396" s="336"/>
      <c r="G396" s="336"/>
      <c r="H396" s="336"/>
      <c r="I396" s="336"/>
      <c r="J396" s="336"/>
      <c r="K396" s="336"/>
      <c r="L396" s="336"/>
      <c r="M396" s="336"/>
      <c r="N396" s="336"/>
      <c r="O396" s="336"/>
      <c r="P396" s="336"/>
      <c r="Q396" s="336"/>
    </row>
    <row r="397" ht="15.75" customHeight="1">
      <c r="A397" s="336"/>
      <c r="B397" s="336"/>
      <c r="C397" s="336"/>
      <c r="D397" s="336"/>
      <c r="E397" s="336"/>
      <c r="F397" s="336"/>
      <c r="G397" s="336"/>
      <c r="H397" s="336"/>
      <c r="I397" s="336"/>
      <c r="J397" s="336"/>
      <c r="K397" s="336"/>
      <c r="L397" s="336"/>
      <c r="M397" s="336"/>
      <c r="N397" s="336"/>
      <c r="O397" s="336"/>
      <c r="P397" s="336"/>
      <c r="Q397" s="336"/>
    </row>
    <row r="398" ht="15.75" customHeight="1">
      <c r="A398" s="336"/>
      <c r="B398" s="336"/>
      <c r="C398" s="336"/>
      <c r="D398" s="336"/>
      <c r="E398" s="336"/>
      <c r="F398" s="336"/>
      <c r="G398" s="336"/>
      <c r="H398" s="336"/>
      <c r="I398" s="336"/>
      <c r="J398" s="336"/>
      <c r="K398" s="336"/>
      <c r="L398" s="336"/>
      <c r="M398" s="336"/>
      <c r="N398" s="336"/>
      <c r="O398" s="336"/>
      <c r="P398" s="336"/>
      <c r="Q398" s="336"/>
    </row>
    <row r="399" ht="15.75" customHeight="1">
      <c r="A399" s="336"/>
      <c r="B399" s="336"/>
      <c r="C399" s="336"/>
      <c r="D399" s="336"/>
      <c r="E399" s="336"/>
      <c r="F399" s="336"/>
      <c r="G399" s="336"/>
      <c r="H399" s="336"/>
      <c r="I399" s="336"/>
      <c r="J399" s="336"/>
      <c r="K399" s="336"/>
      <c r="L399" s="336"/>
      <c r="M399" s="336"/>
      <c r="N399" s="336"/>
      <c r="O399" s="336"/>
      <c r="P399" s="336"/>
      <c r="Q399" s="336"/>
    </row>
    <row r="400" ht="15.75" customHeight="1">
      <c r="A400" s="336"/>
      <c r="B400" s="336"/>
      <c r="C400" s="336"/>
      <c r="D400" s="336"/>
      <c r="E400" s="336"/>
      <c r="F400" s="336"/>
      <c r="G400" s="336"/>
      <c r="H400" s="336"/>
      <c r="I400" s="336"/>
      <c r="J400" s="336"/>
      <c r="K400" s="336"/>
      <c r="L400" s="336"/>
      <c r="M400" s="336"/>
      <c r="N400" s="336"/>
      <c r="O400" s="336"/>
      <c r="P400" s="336"/>
      <c r="Q400" s="336"/>
    </row>
    <row r="401" ht="15.75" customHeight="1">
      <c r="A401" s="336"/>
      <c r="B401" s="336"/>
      <c r="C401" s="336"/>
      <c r="D401" s="336"/>
      <c r="E401" s="336"/>
      <c r="F401" s="336"/>
      <c r="G401" s="336"/>
      <c r="H401" s="336"/>
      <c r="I401" s="336"/>
      <c r="J401" s="336"/>
      <c r="K401" s="336"/>
      <c r="L401" s="336"/>
      <c r="M401" s="336"/>
      <c r="N401" s="336"/>
      <c r="O401" s="336"/>
      <c r="P401" s="336"/>
      <c r="Q401" s="336"/>
    </row>
    <row r="402" ht="15.75" customHeight="1">
      <c r="A402" s="336"/>
      <c r="B402" s="336"/>
      <c r="C402" s="336"/>
      <c r="D402" s="336"/>
      <c r="E402" s="336"/>
      <c r="F402" s="336"/>
      <c r="G402" s="336"/>
      <c r="H402" s="336"/>
      <c r="I402" s="336"/>
      <c r="J402" s="336"/>
      <c r="K402" s="336"/>
      <c r="L402" s="336"/>
      <c r="M402" s="336"/>
      <c r="N402" s="336"/>
      <c r="O402" s="336"/>
      <c r="P402" s="336"/>
      <c r="Q402" s="336"/>
    </row>
    <row r="403" ht="15.75" customHeight="1">
      <c r="A403" s="336"/>
      <c r="B403" s="336"/>
      <c r="C403" s="336"/>
      <c r="D403" s="336"/>
      <c r="E403" s="336"/>
      <c r="F403" s="336"/>
      <c r="G403" s="336"/>
      <c r="H403" s="336"/>
      <c r="I403" s="336"/>
      <c r="J403" s="336"/>
      <c r="K403" s="336"/>
      <c r="L403" s="336"/>
      <c r="M403" s="336"/>
      <c r="N403" s="336"/>
      <c r="O403" s="336"/>
      <c r="P403" s="336"/>
      <c r="Q403" s="336"/>
    </row>
    <row r="404" ht="15.75" customHeight="1">
      <c r="A404" s="336"/>
      <c r="B404" s="336"/>
      <c r="C404" s="336"/>
      <c r="D404" s="336"/>
      <c r="E404" s="336"/>
      <c r="F404" s="336"/>
      <c r="G404" s="336"/>
      <c r="H404" s="336"/>
      <c r="I404" s="336"/>
      <c r="J404" s="336"/>
      <c r="K404" s="336"/>
      <c r="L404" s="336"/>
      <c r="M404" s="336"/>
      <c r="N404" s="336"/>
      <c r="O404" s="336"/>
      <c r="P404" s="336"/>
      <c r="Q404" s="336"/>
    </row>
    <row r="405" ht="15.75" customHeight="1">
      <c r="A405" s="336"/>
      <c r="B405" s="336"/>
      <c r="C405" s="336"/>
      <c r="D405" s="336"/>
      <c r="E405" s="336"/>
      <c r="F405" s="336"/>
      <c r="G405" s="336"/>
      <c r="H405" s="336"/>
      <c r="I405" s="336"/>
      <c r="J405" s="336"/>
      <c r="K405" s="336"/>
      <c r="L405" s="336"/>
      <c r="M405" s="336"/>
      <c r="N405" s="336"/>
      <c r="O405" s="336"/>
      <c r="P405" s="336"/>
      <c r="Q405" s="336"/>
    </row>
    <row r="406" ht="15.75" customHeight="1">
      <c r="A406" s="336"/>
      <c r="B406" s="336"/>
      <c r="C406" s="336"/>
      <c r="D406" s="336"/>
      <c r="E406" s="336"/>
      <c r="F406" s="336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  <c r="Q406" s="336"/>
    </row>
    <row r="407" ht="15.75" customHeight="1">
      <c r="A407" s="336"/>
      <c r="B407" s="336"/>
      <c r="C407" s="336"/>
      <c r="D407" s="336"/>
      <c r="E407" s="336"/>
      <c r="F407" s="336"/>
      <c r="G407" s="336"/>
      <c r="H407" s="336"/>
      <c r="I407" s="336"/>
      <c r="J407" s="336"/>
      <c r="K407" s="336"/>
      <c r="L407" s="336"/>
      <c r="M407" s="336"/>
      <c r="N407" s="336"/>
      <c r="O407" s="336"/>
      <c r="P407" s="336"/>
      <c r="Q407" s="336"/>
    </row>
    <row r="408" ht="15.75" customHeight="1">
      <c r="A408" s="336"/>
      <c r="B408" s="336"/>
      <c r="C408" s="336"/>
      <c r="D408" s="336"/>
      <c r="E408" s="336"/>
      <c r="F408" s="336"/>
      <c r="G408" s="336"/>
      <c r="H408" s="336"/>
      <c r="I408" s="336"/>
      <c r="J408" s="336"/>
      <c r="K408" s="336"/>
      <c r="L408" s="336"/>
      <c r="M408" s="336"/>
      <c r="N408" s="336"/>
      <c r="O408" s="336"/>
      <c r="P408" s="336"/>
      <c r="Q408" s="336"/>
    </row>
    <row r="409" ht="15.75" customHeight="1">
      <c r="A409" s="336"/>
      <c r="B409" s="336"/>
      <c r="C409" s="336"/>
      <c r="D409" s="336"/>
      <c r="E409" s="336"/>
      <c r="F409" s="336"/>
      <c r="G409" s="336"/>
      <c r="H409" s="336"/>
      <c r="I409" s="336"/>
      <c r="J409" s="336"/>
      <c r="K409" s="336"/>
      <c r="L409" s="336"/>
      <c r="M409" s="336"/>
      <c r="N409" s="336"/>
      <c r="O409" s="336"/>
      <c r="P409" s="336"/>
      <c r="Q409" s="336"/>
    </row>
    <row r="410" ht="15.75" customHeight="1">
      <c r="A410" s="336"/>
      <c r="B410" s="336"/>
      <c r="C410" s="336"/>
      <c r="D410" s="336"/>
      <c r="E410" s="336"/>
      <c r="F410" s="336"/>
      <c r="G410" s="336"/>
      <c r="H410" s="336"/>
      <c r="I410" s="336"/>
      <c r="J410" s="336"/>
      <c r="K410" s="336"/>
      <c r="L410" s="336"/>
      <c r="M410" s="336"/>
      <c r="N410" s="336"/>
      <c r="O410" s="336"/>
      <c r="P410" s="336"/>
      <c r="Q410" s="336"/>
    </row>
    <row r="411" ht="15.75" customHeight="1">
      <c r="A411" s="336"/>
      <c r="B411" s="336"/>
      <c r="C411" s="336"/>
      <c r="D411" s="336"/>
      <c r="E411" s="336"/>
      <c r="F411" s="336"/>
      <c r="G411" s="336"/>
      <c r="H411" s="336"/>
      <c r="I411" s="336"/>
      <c r="J411" s="336"/>
      <c r="K411" s="336"/>
      <c r="L411" s="336"/>
      <c r="M411" s="336"/>
      <c r="N411" s="336"/>
      <c r="O411" s="336"/>
      <c r="P411" s="336"/>
      <c r="Q411" s="336"/>
    </row>
    <row r="412" ht="15.75" customHeight="1">
      <c r="A412" s="336"/>
      <c r="B412" s="336"/>
      <c r="C412" s="336"/>
      <c r="D412" s="336"/>
      <c r="E412" s="336"/>
      <c r="F412" s="336"/>
      <c r="G412" s="336"/>
      <c r="H412" s="336"/>
      <c r="I412" s="336"/>
      <c r="J412" s="336"/>
      <c r="K412" s="336"/>
      <c r="L412" s="336"/>
      <c r="M412" s="336"/>
      <c r="N412" s="336"/>
      <c r="O412" s="336"/>
      <c r="P412" s="336"/>
      <c r="Q412" s="336"/>
    </row>
    <row r="413" ht="15.75" customHeight="1">
      <c r="A413" s="336"/>
      <c r="B413" s="336"/>
      <c r="C413" s="336"/>
      <c r="D413" s="336"/>
      <c r="E413" s="336"/>
      <c r="F413" s="336"/>
      <c r="G413" s="336"/>
      <c r="H413" s="336"/>
      <c r="I413" s="336"/>
      <c r="J413" s="336"/>
      <c r="K413" s="336"/>
      <c r="L413" s="336"/>
      <c r="M413" s="336"/>
      <c r="N413" s="336"/>
      <c r="O413" s="336"/>
      <c r="P413" s="336"/>
      <c r="Q413" s="336"/>
    </row>
    <row r="414" ht="15.75" customHeight="1">
      <c r="A414" s="336"/>
      <c r="B414" s="336"/>
      <c r="C414" s="336"/>
      <c r="D414" s="336"/>
      <c r="E414" s="336"/>
      <c r="F414" s="336"/>
      <c r="G414" s="336"/>
      <c r="H414" s="336"/>
      <c r="I414" s="336"/>
      <c r="J414" s="336"/>
      <c r="K414" s="336"/>
      <c r="L414" s="336"/>
      <c r="M414" s="336"/>
      <c r="N414" s="336"/>
      <c r="O414" s="336"/>
      <c r="P414" s="336"/>
      <c r="Q414" s="336"/>
    </row>
    <row r="415" ht="15.75" customHeight="1">
      <c r="A415" s="336"/>
      <c r="B415" s="336"/>
      <c r="C415" s="336"/>
      <c r="D415" s="336"/>
      <c r="E415" s="336"/>
      <c r="F415" s="336"/>
      <c r="G415" s="336"/>
      <c r="H415" s="336"/>
      <c r="I415" s="336"/>
      <c r="J415" s="336"/>
      <c r="K415" s="336"/>
      <c r="L415" s="336"/>
      <c r="M415" s="336"/>
      <c r="N415" s="336"/>
      <c r="O415" s="336"/>
      <c r="P415" s="336"/>
      <c r="Q415" s="336"/>
    </row>
    <row r="416" ht="15.75" customHeight="1">
      <c r="A416" s="336"/>
      <c r="B416" s="336"/>
      <c r="C416" s="336"/>
      <c r="D416" s="336"/>
      <c r="E416" s="336"/>
      <c r="F416" s="336"/>
      <c r="G416" s="336"/>
      <c r="H416" s="336"/>
      <c r="I416" s="336"/>
      <c r="J416" s="336"/>
      <c r="K416" s="336"/>
      <c r="L416" s="336"/>
      <c r="M416" s="336"/>
      <c r="N416" s="336"/>
      <c r="O416" s="336"/>
      <c r="P416" s="336"/>
      <c r="Q416" s="336"/>
    </row>
    <row r="417" ht="15.75" customHeight="1">
      <c r="A417" s="336"/>
      <c r="B417" s="336"/>
      <c r="C417" s="336"/>
      <c r="D417" s="336"/>
      <c r="E417" s="336"/>
      <c r="F417" s="336"/>
      <c r="G417" s="336"/>
      <c r="H417" s="336"/>
      <c r="I417" s="336"/>
      <c r="J417" s="336"/>
      <c r="K417" s="336"/>
      <c r="L417" s="336"/>
      <c r="M417" s="336"/>
      <c r="N417" s="336"/>
      <c r="O417" s="336"/>
      <c r="P417" s="336"/>
      <c r="Q417" s="336"/>
    </row>
    <row r="418" ht="15.75" customHeight="1">
      <c r="A418" s="336"/>
      <c r="B418" s="336"/>
      <c r="C418" s="336"/>
      <c r="D418" s="336"/>
      <c r="E418" s="336"/>
      <c r="F418" s="336"/>
      <c r="G418" s="336"/>
      <c r="H418" s="336"/>
      <c r="I418" s="336"/>
      <c r="J418" s="336"/>
      <c r="K418" s="336"/>
      <c r="L418" s="336"/>
      <c r="M418" s="336"/>
      <c r="N418" s="336"/>
      <c r="O418" s="336"/>
      <c r="P418" s="336"/>
      <c r="Q418" s="336"/>
    </row>
    <row r="419" ht="15.75" customHeight="1">
      <c r="A419" s="336"/>
      <c r="B419" s="336"/>
      <c r="C419" s="336"/>
      <c r="D419" s="336"/>
      <c r="E419" s="336"/>
      <c r="F419" s="336"/>
      <c r="G419" s="336"/>
      <c r="H419" s="336"/>
      <c r="I419" s="336"/>
      <c r="J419" s="336"/>
      <c r="K419" s="336"/>
      <c r="L419" s="336"/>
      <c r="M419" s="336"/>
      <c r="N419" s="336"/>
      <c r="O419" s="336"/>
      <c r="P419" s="336"/>
      <c r="Q419" s="336"/>
    </row>
    <row r="420" ht="15.75" customHeight="1">
      <c r="A420" s="336"/>
      <c r="B420" s="336"/>
      <c r="C420" s="336"/>
      <c r="D420" s="336"/>
      <c r="E420" s="336"/>
      <c r="F420" s="336"/>
      <c r="G420" s="336"/>
      <c r="H420" s="336"/>
      <c r="I420" s="336"/>
      <c r="J420" s="336"/>
      <c r="K420" s="336"/>
      <c r="L420" s="336"/>
      <c r="M420" s="336"/>
      <c r="N420" s="336"/>
      <c r="O420" s="336"/>
      <c r="P420" s="336"/>
      <c r="Q420" s="336"/>
    </row>
    <row r="421" ht="15.75" customHeight="1">
      <c r="A421" s="336"/>
      <c r="B421" s="336"/>
      <c r="C421" s="336"/>
      <c r="D421" s="336"/>
      <c r="E421" s="336"/>
      <c r="F421" s="336"/>
      <c r="G421" s="336"/>
      <c r="H421" s="336"/>
      <c r="I421" s="336"/>
      <c r="J421" s="336"/>
      <c r="K421" s="336"/>
      <c r="L421" s="336"/>
      <c r="M421" s="336"/>
      <c r="N421" s="336"/>
      <c r="O421" s="336"/>
      <c r="P421" s="336"/>
      <c r="Q421" s="336"/>
    </row>
    <row r="422" ht="15.75" customHeight="1">
      <c r="A422" s="336"/>
      <c r="B422" s="336"/>
      <c r="C422" s="336"/>
      <c r="D422" s="336"/>
      <c r="E422" s="336"/>
      <c r="F422" s="336"/>
      <c r="G422" s="336"/>
      <c r="H422" s="336"/>
      <c r="I422" s="336"/>
      <c r="J422" s="336"/>
      <c r="K422" s="336"/>
      <c r="L422" s="336"/>
      <c r="M422" s="336"/>
      <c r="N422" s="336"/>
      <c r="O422" s="336"/>
      <c r="P422" s="336"/>
      <c r="Q422" s="336"/>
    </row>
    <row r="423" ht="15.75" customHeight="1">
      <c r="A423" s="336"/>
      <c r="B423" s="336"/>
      <c r="C423" s="336"/>
      <c r="D423" s="336"/>
      <c r="E423" s="336"/>
      <c r="F423" s="336"/>
      <c r="G423" s="336"/>
      <c r="H423" s="336"/>
      <c r="I423" s="336"/>
      <c r="J423" s="336"/>
      <c r="K423" s="336"/>
      <c r="L423" s="336"/>
      <c r="M423" s="336"/>
      <c r="N423" s="336"/>
      <c r="O423" s="336"/>
      <c r="P423" s="336"/>
      <c r="Q423" s="336"/>
    </row>
    <row r="424" ht="15.75" customHeight="1">
      <c r="A424" s="336"/>
      <c r="B424" s="336"/>
      <c r="C424" s="336"/>
      <c r="D424" s="336"/>
      <c r="E424" s="336"/>
      <c r="F424" s="336"/>
      <c r="G424" s="336"/>
      <c r="H424" s="336"/>
      <c r="I424" s="336"/>
      <c r="J424" s="336"/>
      <c r="K424" s="336"/>
      <c r="L424" s="336"/>
      <c r="M424" s="336"/>
      <c r="N424" s="336"/>
      <c r="O424" s="336"/>
      <c r="P424" s="336"/>
      <c r="Q424" s="336"/>
    </row>
    <row r="425" ht="15.75" customHeight="1">
      <c r="A425" s="336"/>
      <c r="B425" s="336"/>
      <c r="C425" s="336"/>
      <c r="D425" s="336"/>
      <c r="E425" s="336"/>
      <c r="F425" s="336"/>
      <c r="G425" s="336"/>
      <c r="H425" s="336"/>
      <c r="I425" s="336"/>
      <c r="J425" s="336"/>
      <c r="K425" s="336"/>
      <c r="L425" s="336"/>
      <c r="M425" s="336"/>
      <c r="N425" s="336"/>
      <c r="O425" s="336"/>
      <c r="P425" s="336"/>
      <c r="Q425" s="336"/>
    </row>
    <row r="426" ht="15.75" customHeight="1">
      <c r="A426" s="336"/>
      <c r="B426" s="336"/>
      <c r="C426" s="336"/>
      <c r="D426" s="336"/>
      <c r="E426" s="336"/>
      <c r="F426" s="336"/>
      <c r="G426" s="336"/>
      <c r="H426" s="336"/>
      <c r="I426" s="336"/>
      <c r="J426" s="336"/>
      <c r="K426" s="336"/>
      <c r="L426" s="336"/>
      <c r="M426" s="336"/>
      <c r="N426" s="336"/>
      <c r="O426" s="336"/>
      <c r="P426" s="336"/>
      <c r="Q426" s="336"/>
    </row>
    <row r="427" ht="15.75" customHeight="1">
      <c r="A427" s="336"/>
      <c r="B427" s="336"/>
      <c r="C427" s="336"/>
      <c r="D427" s="336"/>
      <c r="E427" s="336"/>
      <c r="F427" s="336"/>
      <c r="G427" s="336"/>
      <c r="H427" s="336"/>
      <c r="I427" s="336"/>
      <c r="J427" s="336"/>
      <c r="K427" s="336"/>
      <c r="L427" s="336"/>
      <c r="M427" s="336"/>
      <c r="N427" s="336"/>
      <c r="O427" s="336"/>
      <c r="P427" s="336"/>
      <c r="Q427" s="336"/>
    </row>
    <row r="428" ht="15.75" customHeight="1">
      <c r="A428" s="336"/>
      <c r="B428" s="336"/>
      <c r="C428" s="336"/>
      <c r="D428" s="336"/>
      <c r="E428" s="336"/>
      <c r="F428" s="336"/>
      <c r="G428" s="336"/>
      <c r="H428" s="336"/>
      <c r="I428" s="336"/>
      <c r="J428" s="336"/>
      <c r="K428" s="336"/>
      <c r="L428" s="336"/>
      <c r="M428" s="336"/>
      <c r="N428" s="336"/>
      <c r="O428" s="336"/>
      <c r="P428" s="336"/>
      <c r="Q428" s="336"/>
    </row>
    <row r="429" ht="15.75" customHeight="1">
      <c r="A429" s="336"/>
      <c r="B429" s="336"/>
      <c r="C429" s="336"/>
      <c r="D429" s="336"/>
      <c r="E429" s="336"/>
      <c r="F429" s="336"/>
      <c r="G429" s="336"/>
      <c r="H429" s="336"/>
      <c r="I429" s="336"/>
      <c r="J429" s="336"/>
      <c r="K429" s="336"/>
      <c r="L429" s="336"/>
      <c r="M429" s="336"/>
      <c r="N429" s="336"/>
      <c r="O429" s="336"/>
      <c r="P429" s="336"/>
      <c r="Q429" s="336"/>
    </row>
    <row r="430" ht="15.75" customHeight="1">
      <c r="A430" s="336"/>
      <c r="B430" s="336"/>
      <c r="C430" s="336"/>
      <c r="D430" s="336"/>
      <c r="E430" s="336"/>
      <c r="F430" s="336"/>
      <c r="G430" s="336"/>
      <c r="H430" s="336"/>
      <c r="I430" s="336"/>
      <c r="J430" s="336"/>
      <c r="K430" s="336"/>
      <c r="L430" s="336"/>
      <c r="M430" s="336"/>
      <c r="N430" s="336"/>
      <c r="O430" s="336"/>
      <c r="P430" s="336"/>
      <c r="Q430" s="336"/>
    </row>
    <row r="431" ht="15.75" customHeight="1">
      <c r="A431" s="336"/>
      <c r="B431" s="336"/>
      <c r="C431" s="336"/>
      <c r="D431" s="336"/>
      <c r="E431" s="336"/>
      <c r="F431" s="336"/>
      <c r="G431" s="336"/>
      <c r="H431" s="336"/>
      <c r="I431" s="336"/>
      <c r="J431" s="336"/>
      <c r="K431" s="336"/>
      <c r="L431" s="336"/>
      <c r="M431" s="336"/>
      <c r="N431" s="336"/>
      <c r="O431" s="336"/>
      <c r="P431" s="336"/>
      <c r="Q431" s="336"/>
    </row>
    <row r="432" ht="15.75" customHeight="1">
      <c r="A432" s="336"/>
      <c r="B432" s="336"/>
      <c r="C432" s="336"/>
      <c r="D432" s="336"/>
      <c r="E432" s="336"/>
      <c r="F432" s="336"/>
      <c r="G432" s="336"/>
      <c r="H432" s="336"/>
      <c r="I432" s="336"/>
      <c r="J432" s="336"/>
      <c r="K432" s="336"/>
      <c r="L432" s="336"/>
      <c r="M432" s="336"/>
      <c r="N432" s="336"/>
      <c r="O432" s="336"/>
      <c r="P432" s="336"/>
      <c r="Q432" s="336"/>
    </row>
    <row r="433" ht="15.75" customHeight="1">
      <c r="A433" s="336"/>
      <c r="B433" s="336"/>
      <c r="C433" s="336"/>
      <c r="D433" s="336"/>
      <c r="E433" s="336"/>
      <c r="F433" s="336"/>
      <c r="G433" s="336"/>
      <c r="H433" s="336"/>
      <c r="I433" s="336"/>
      <c r="J433" s="336"/>
      <c r="K433" s="336"/>
      <c r="L433" s="336"/>
      <c r="M433" s="336"/>
      <c r="N433" s="336"/>
      <c r="O433" s="336"/>
      <c r="P433" s="336"/>
      <c r="Q433" s="336"/>
    </row>
    <row r="434" ht="15.75" customHeight="1">
      <c r="A434" s="336"/>
      <c r="B434" s="336"/>
      <c r="C434" s="336"/>
      <c r="D434" s="336"/>
      <c r="E434" s="336"/>
      <c r="F434" s="336"/>
      <c r="G434" s="336"/>
      <c r="H434" s="336"/>
      <c r="I434" s="336"/>
      <c r="J434" s="336"/>
      <c r="K434" s="336"/>
      <c r="L434" s="336"/>
      <c r="M434" s="336"/>
      <c r="N434" s="336"/>
      <c r="O434" s="336"/>
      <c r="P434" s="336"/>
      <c r="Q434" s="336"/>
    </row>
    <row r="435" ht="15.75" customHeight="1">
      <c r="A435" s="336"/>
      <c r="B435" s="336"/>
      <c r="C435" s="336"/>
      <c r="D435" s="336"/>
      <c r="E435" s="336"/>
      <c r="F435" s="336"/>
      <c r="G435" s="336"/>
      <c r="H435" s="336"/>
      <c r="I435" s="336"/>
      <c r="J435" s="336"/>
      <c r="K435" s="336"/>
      <c r="L435" s="336"/>
      <c r="M435" s="336"/>
      <c r="N435" s="336"/>
      <c r="O435" s="336"/>
      <c r="P435" s="336"/>
      <c r="Q435" s="336"/>
    </row>
    <row r="436" ht="15.75" customHeight="1">
      <c r="A436" s="336"/>
      <c r="B436" s="336"/>
      <c r="C436" s="336"/>
      <c r="D436" s="336"/>
      <c r="E436" s="336"/>
      <c r="F436" s="336"/>
      <c r="G436" s="336"/>
      <c r="H436" s="336"/>
      <c r="I436" s="336"/>
      <c r="J436" s="336"/>
      <c r="K436" s="336"/>
      <c r="L436" s="336"/>
      <c r="M436" s="336"/>
      <c r="N436" s="336"/>
      <c r="O436" s="336"/>
      <c r="P436" s="336"/>
      <c r="Q436" s="336"/>
    </row>
    <row r="437" ht="15.75" customHeight="1">
      <c r="A437" s="336"/>
      <c r="B437" s="336"/>
      <c r="C437" s="336"/>
      <c r="D437" s="336"/>
      <c r="E437" s="336"/>
      <c r="F437" s="336"/>
      <c r="G437" s="336"/>
      <c r="H437" s="336"/>
      <c r="I437" s="336"/>
      <c r="J437" s="336"/>
      <c r="K437" s="336"/>
      <c r="L437" s="336"/>
      <c r="M437" s="336"/>
      <c r="N437" s="336"/>
      <c r="O437" s="336"/>
      <c r="P437" s="336"/>
      <c r="Q437" s="336"/>
    </row>
    <row r="438" ht="15.75" customHeight="1">
      <c r="A438" s="336"/>
      <c r="B438" s="336"/>
      <c r="C438" s="336"/>
      <c r="D438" s="336"/>
      <c r="E438" s="336"/>
      <c r="F438" s="336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  <c r="Q438" s="336"/>
    </row>
    <row r="439" ht="15.75" customHeight="1">
      <c r="A439" s="336"/>
      <c r="B439" s="336"/>
      <c r="C439" s="336"/>
      <c r="D439" s="336"/>
      <c r="E439" s="336"/>
      <c r="F439" s="336"/>
      <c r="G439" s="336"/>
      <c r="H439" s="336"/>
      <c r="I439" s="336"/>
      <c r="J439" s="336"/>
      <c r="K439" s="336"/>
      <c r="L439" s="336"/>
      <c r="M439" s="336"/>
      <c r="N439" s="336"/>
      <c r="O439" s="336"/>
      <c r="P439" s="336"/>
      <c r="Q439" s="336"/>
    </row>
    <row r="440" ht="15.75" customHeight="1">
      <c r="A440" s="336"/>
      <c r="B440" s="336"/>
      <c r="C440" s="336"/>
      <c r="D440" s="336"/>
      <c r="E440" s="336"/>
      <c r="F440" s="336"/>
      <c r="G440" s="336"/>
      <c r="H440" s="336"/>
      <c r="I440" s="336"/>
      <c r="J440" s="336"/>
      <c r="K440" s="336"/>
      <c r="L440" s="336"/>
      <c r="M440" s="336"/>
      <c r="N440" s="336"/>
      <c r="O440" s="336"/>
      <c r="P440" s="336"/>
      <c r="Q440" s="336"/>
    </row>
    <row r="441" ht="15.75" customHeight="1">
      <c r="A441" s="336"/>
      <c r="B441" s="336"/>
      <c r="C441" s="336"/>
      <c r="D441" s="336"/>
      <c r="E441" s="336"/>
      <c r="F441" s="336"/>
      <c r="G441" s="336"/>
      <c r="H441" s="336"/>
      <c r="I441" s="336"/>
      <c r="J441" s="336"/>
      <c r="K441" s="336"/>
      <c r="L441" s="336"/>
      <c r="M441" s="336"/>
      <c r="N441" s="336"/>
      <c r="O441" s="336"/>
      <c r="P441" s="336"/>
      <c r="Q441" s="336"/>
    </row>
    <row r="442" ht="15.75" customHeight="1">
      <c r="A442" s="336"/>
      <c r="B442" s="336"/>
      <c r="C442" s="336"/>
      <c r="D442" s="336"/>
      <c r="E442" s="336"/>
      <c r="F442" s="336"/>
      <c r="G442" s="336"/>
      <c r="H442" s="336"/>
      <c r="I442" s="336"/>
      <c r="J442" s="336"/>
      <c r="K442" s="336"/>
      <c r="L442" s="336"/>
      <c r="M442" s="336"/>
      <c r="N442" s="336"/>
      <c r="O442" s="336"/>
      <c r="P442" s="336"/>
      <c r="Q442" s="336"/>
    </row>
    <row r="443" ht="15.75" customHeight="1">
      <c r="A443" s="336"/>
      <c r="B443" s="336"/>
      <c r="C443" s="336"/>
      <c r="D443" s="336"/>
      <c r="E443" s="336"/>
      <c r="F443" s="336"/>
      <c r="G443" s="336"/>
      <c r="H443" s="336"/>
      <c r="I443" s="336"/>
      <c r="J443" s="336"/>
      <c r="K443" s="336"/>
      <c r="L443" s="336"/>
      <c r="M443" s="336"/>
      <c r="N443" s="336"/>
      <c r="O443" s="336"/>
      <c r="P443" s="336"/>
      <c r="Q443" s="336"/>
    </row>
    <row r="444" ht="15.75" customHeight="1">
      <c r="A444" s="336"/>
      <c r="B444" s="336"/>
      <c r="C444" s="336"/>
      <c r="D444" s="336"/>
      <c r="E444" s="336"/>
      <c r="F444" s="336"/>
      <c r="G444" s="336"/>
      <c r="H444" s="336"/>
      <c r="I444" s="336"/>
      <c r="J444" s="336"/>
      <c r="K444" s="336"/>
      <c r="L444" s="336"/>
      <c r="M444" s="336"/>
      <c r="N444" s="336"/>
      <c r="O444" s="336"/>
      <c r="P444" s="336"/>
      <c r="Q444" s="336"/>
    </row>
    <row r="445" ht="15.75" customHeight="1">
      <c r="A445" s="336"/>
      <c r="B445" s="336"/>
      <c r="C445" s="336"/>
      <c r="D445" s="336"/>
      <c r="E445" s="336"/>
      <c r="F445" s="336"/>
      <c r="G445" s="336"/>
      <c r="H445" s="336"/>
      <c r="I445" s="336"/>
      <c r="J445" s="336"/>
      <c r="K445" s="336"/>
      <c r="L445" s="336"/>
      <c r="M445" s="336"/>
      <c r="N445" s="336"/>
      <c r="O445" s="336"/>
      <c r="P445" s="336"/>
      <c r="Q445" s="336"/>
    </row>
    <row r="446" ht="15.75" customHeight="1">
      <c r="A446" s="336"/>
      <c r="B446" s="336"/>
      <c r="C446" s="336"/>
      <c r="D446" s="336"/>
      <c r="E446" s="336"/>
      <c r="F446" s="336"/>
      <c r="G446" s="336"/>
      <c r="H446" s="336"/>
      <c r="I446" s="336"/>
      <c r="J446" s="336"/>
      <c r="K446" s="336"/>
      <c r="L446" s="336"/>
      <c r="M446" s="336"/>
      <c r="N446" s="336"/>
      <c r="O446" s="336"/>
      <c r="P446" s="336"/>
      <c r="Q446" s="336"/>
    </row>
    <row r="447" ht="15.75" customHeight="1">
      <c r="A447" s="336"/>
      <c r="B447" s="336"/>
      <c r="C447" s="336"/>
      <c r="D447" s="336"/>
      <c r="E447" s="336"/>
      <c r="F447" s="336"/>
      <c r="G447" s="336"/>
      <c r="H447" s="336"/>
      <c r="I447" s="336"/>
      <c r="J447" s="336"/>
      <c r="K447" s="336"/>
      <c r="L447" s="336"/>
      <c r="M447" s="336"/>
      <c r="N447" s="336"/>
      <c r="O447" s="336"/>
      <c r="P447" s="336"/>
      <c r="Q447" s="336"/>
    </row>
    <row r="448" ht="15.75" customHeight="1">
      <c r="A448" s="336"/>
      <c r="B448" s="336"/>
      <c r="C448" s="336"/>
      <c r="D448" s="336"/>
      <c r="E448" s="336"/>
      <c r="F448" s="336"/>
      <c r="G448" s="336"/>
      <c r="H448" s="336"/>
      <c r="I448" s="336"/>
      <c r="J448" s="336"/>
      <c r="K448" s="336"/>
      <c r="L448" s="336"/>
      <c r="M448" s="336"/>
      <c r="N448" s="336"/>
      <c r="O448" s="336"/>
      <c r="P448" s="336"/>
      <c r="Q448" s="336"/>
    </row>
    <row r="449" ht="15.75" customHeight="1">
      <c r="A449" s="336"/>
      <c r="B449" s="336"/>
      <c r="C449" s="336"/>
      <c r="D449" s="336"/>
      <c r="E449" s="336"/>
      <c r="F449" s="336"/>
      <c r="G449" s="336"/>
      <c r="H449" s="336"/>
      <c r="I449" s="336"/>
      <c r="J449" s="336"/>
      <c r="K449" s="336"/>
      <c r="L449" s="336"/>
      <c r="M449" s="336"/>
      <c r="N449" s="336"/>
      <c r="O449" s="336"/>
      <c r="P449" s="336"/>
      <c r="Q449" s="336"/>
    </row>
    <row r="450" ht="15.75" customHeight="1">
      <c r="A450" s="336"/>
      <c r="B450" s="336"/>
      <c r="C450" s="336"/>
      <c r="D450" s="336"/>
      <c r="E450" s="336"/>
      <c r="F450" s="336"/>
      <c r="G450" s="336"/>
      <c r="H450" s="336"/>
      <c r="I450" s="336"/>
      <c r="J450" s="336"/>
      <c r="K450" s="336"/>
      <c r="L450" s="336"/>
      <c r="M450" s="336"/>
      <c r="N450" s="336"/>
      <c r="O450" s="336"/>
      <c r="P450" s="336"/>
      <c r="Q450" s="336"/>
    </row>
    <row r="451" ht="15.75" customHeight="1">
      <c r="A451" s="336"/>
      <c r="B451" s="336"/>
      <c r="C451" s="336"/>
      <c r="D451" s="336"/>
      <c r="E451" s="336"/>
      <c r="F451" s="336"/>
      <c r="G451" s="336"/>
      <c r="H451" s="336"/>
      <c r="I451" s="336"/>
      <c r="J451" s="336"/>
      <c r="K451" s="336"/>
      <c r="L451" s="336"/>
      <c r="M451" s="336"/>
      <c r="N451" s="336"/>
      <c r="O451" s="336"/>
      <c r="P451" s="336"/>
      <c r="Q451" s="336"/>
    </row>
    <row r="452" ht="15.75" customHeight="1">
      <c r="A452" s="336"/>
      <c r="B452" s="336"/>
      <c r="C452" s="336"/>
      <c r="D452" s="336"/>
      <c r="E452" s="336"/>
      <c r="F452" s="336"/>
      <c r="G452" s="336"/>
      <c r="H452" s="336"/>
      <c r="I452" s="336"/>
      <c r="J452" s="336"/>
      <c r="K452" s="336"/>
      <c r="L452" s="336"/>
      <c r="M452" s="336"/>
      <c r="N452" s="336"/>
      <c r="O452" s="336"/>
      <c r="P452" s="336"/>
      <c r="Q452" s="336"/>
    </row>
    <row r="453" ht="15.75" customHeight="1">
      <c r="A453" s="336"/>
      <c r="B453" s="336"/>
      <c r="C453" s="336"/>
      <c r="D453" s="336"/>
      <c r="E453" s="336"/>
      <c r="F453" s="336"/>
      <c r="G453" s="336"/>
      <c r="H453" s="336"/>
      <c r="I453" s="336"/>
      <c r="J453" s="336"/>
      <c r="K453" s="336"/>
      <c r="L453" s="336"/>
      <c r="M453" s="336"/>
      <c r="N453" s="336"/>
      <c r="O453" s="336"/>
      <c r="P453" s="336"/>
      <c r="Q453" s="336"/>
    </row>
    <row r="454" ht="15.75" customHeight="1">
      <c r="A454" s="336"/>
      <c r="B454" s="336"/>
      <c r="C454" s="336"/>
      <c r="D454" s="336"/>
      <c r="E454" s="336"/>
      <c r="F454" s="336"/>
      <c r="G454" s="336"/>
      <c r="H454" s="336"/>
      <c r="I454" s="336"/>
      <c r="J454" s="336"/>
      <c r="K454" s="336"/>
      <c r="L454" s="336"/>
      <c r="M454" s="336"/>
      <c r="N454" s="336"/>
      <c r="O454" s="336"/>
      <c r="P454" s="336"/>
      <c r="Q454" s="336"/>
    </row>
    <row r="455" ht="15.75" customHeight="1">
      <c r="A455" s="336"/>
      <c r="B455" s="336"/>
      <c r="C455" s="336"/>
      <c r="D455" s="336"/>
      <c r="E455" s="336"/>
      <c r="F455" s="336"/>
      <c r="G455" s="336"/>
      <c r="H455" s="336"/>
      <c r="I455" s="336"/>
      <c r="J455" s="336"/>
      <c r="K455" s="336"/>
      <c r="L455" s="336"/>
      <c r="M455" s="336"/>
      <c r="N455" s="336"/>
      <c r="O455" s="336"/>
      <c r="P455" s="336"/>
      <c r="Q455" s="336"/>
    </row>
    <row r="456" ht="15.75" customHeight="1">
      <c r="A456" s="336"/>
      <c r="B456" s="336"/>
      <c r="C456" s="336"/>
      <c r="D456" s="336"/>
      <c r="E456" s="336"/>
      <c r="F456" s="336"/>
      <c r="G456" s="336"/>
      <c r="H456" s="336"/>
      <c r="I456" s="336"/>
      <c r="J456" s="336"/>
      <c r="K456" s="336"/>
      <c r="L456" s="336"/>
      <c r="M456" s="336"/>
      <c r="N456" s="336"/>
      <c r="O456" s="336"/>
      <c r="P456" s="336"/>
      <c r="Q456" s="336"/>
    </row>
    <row r="457" ht="15.75" customHeight="1">
      <c r="A457" s="336"/>
      <c r="B457" s="336"/>
      <c r="C457" s="336"/>
      <c r="D457" s="336"/>
      <c r="E457" s="336"/>
      <c r="F457" s="336"/>
      <c r="G457" s="336"/>
      <c r="H457" s="336"/>
      <c r="I457" s="336"/>
      <c r="J457" s="336"/>
      <c r="K457" s="336"/>
      <c r="L457" s="336"/>
      <c r="M457" s="336"/>
      <c r="N457" s="336"/>
      <c r="O457" s="336"/>
      <c r="P457" s="336"/>
      <c r="Q457" s="336"/>
    </row>
    <row r="458" ht="15.75" customHeight="1">
      <c r="A458" s="336"/>
      <c r="B458" s="336"/>
      <c r="C458" s="336"/>
      <c r="D458" s="336"/>
      <c r="E458" s="336"/>
      <c r="F458" s="336"/>
      <c r="G458" s="336"/>
      <c r="H458" s="336"/>
      <c r="I458" s="336"/>
      <c r="J458" s="336"/>
      <c r="K458" s="336"/>
      <c r="L458" s="336"/>
      <c r="M458" s="336"/>
      <c r="N458" s="336"/>
      <c r="O458" s="336"/>
      <c r="P458" s="336"/>
      <c r="Q458" s="336"/>
    </row>
    <row r="459" ht="15.75" customHeight="1">
      <c r="A459" s="336"/>
      <c r="B459" s="336"/>
      <c r="C459" s="336"/>
      <c r="D459" s="336"/>
      <c r="E459" s="336"/>
      <c r="F459" s="336"/>
      <c r="G459" s="336"/>
      <c r="H459" s="336"/>
      <c r="I459" s="336"/>
      <c r="J459" s="336"/>
      <c r="K459" s="336"/>
      <c r="L459" s="336"/>
      <c r="M459" s="336"/>
      <c r="N459" s="336"/>
      <c r="O459" s="336"/>
      <c r="P459" s="336"/>
      <c r="Q459" s="336"/>
    </row>
    <row r="460" ht="15.75" customHeight="1">
      <c r="A460" s="336"/>
      <c r="B460" s="336"/>
      <c r="C460" s="336"/>
      <c r="D460" s="336"/>
      <c r="E460" s="336"/>
      <c r="F460" s="336"/>
      <c r="G460" s="336"/>
      <c r="H460" s="336"/>
      <c r="I460" s="336"/>
      <c r="J460" s="336"/>
      <c r="K460" s="336"/>
      <c r="L460" s="336"/>
      <c r="M460" s="336"/>
      <c r="N460" s="336"/>
      <c r="O460" s="336"/>
      <c r="P460" s="336"/>
      <c r="Q460" s="336"/>
    </row>
    <row r="461" ht="15.75" customHeight="1">
      <c r="A461" s="336"/>
      <c r="B461" s="336"/>
      <c r="C461" s="336"/>
      <c r="D461" s="336"/>
      <c r="E461" s="336"/>
      <c r="F461" s="336"/>
      <c r="G461" s="336"/>
      <c r="H461" s="336"/>
      <c r="I461" s="336"/>
      <c r="J461" s="336"/>
      <c r="K461" s="336"/>
      <c r="L461" s="336"/>
      <c r="M461" s="336"/>
      <c r="N461" s="336"/>
      <c r="O461" s="336"/>
      <c r="P461" s="336"/>
      <c r="Q461" s="336"/>
    </row>
    <row r="462" ht="15.75" customHeight="1">
      <c r="A462" s="336"/>
      <c r="B462" s="336"/>
      <c r="C462" s="336"/>
      <c r="D462" s="336"/>
      <c r="E462" s="336"/>
      <c r="F462" s="336"/>
      <c r="G462" s="336"/>
      <c r="H462" s="336"/>
      <c r="I462" s="336"/>
      <c r="J462" s="336"/>
      <c r="K462" s="336"/>
      <c r="L462" s="336"/>
      <c r="M462" s="336"/>
      <c r="N462" s="336"/>
      <c r="O462" s="336"/>
      <c r="P462" s="336"/>
      <c r="Q462" s="336"/>
    </row>
    <row r="463" ht="15.75" customHeight="1">
      <c r="A463" s="336"/>
      <c r="B463" s="336"/>
      <c r="C463" s="336"/>
      <c r="D463" s="336"/>
      <c r="E463" s="336"/>
      <c r="F463" s="336"/>
      <c r="G463" s="336"/>
      <c r="H463" s="336"/>
      <c r="I463" s="336"/>
      <c r="J463" s="336"/>
      <c r="K463" s="336"/>
      <c r="L463" s="336"/>
      <c r="M463" s="336"/>
      <c r="N463" s="336"/>
      <c r="O463" s="336"/>
      <c r="P463" s="336"/>
      <c r="Q463" s="336"/>
    </row>
    <row r="464" ht="15.75" customHeight="1">
      <c r="A464" s="336"/>
      <c r="B464" s="336"/>
      <c r="C464" s="336"/>
      <c r="D464" s="336"/>
      <c r="E464" s="336"/>
      <c r="F464" s="336"/>
      <c r="G464" s="336"/>
      <c r="H464" s="336"/>
      <c r="I464" s="336"/>
      <c r="J464" s="336"/>
      <c r="K464" s="336"/>
      <c r="L464" s="336"/>
      <c r="M464" s="336"/>
      <c r="N464" s="336"/>
      <c r="O464" s="336"/>
      <c r="P464" s="336"/>
      <c r="Q464" s="336"/>
    </row>
    <row r="465" ht="15.75" customHeight="1">
      <c r="A465" s="336"/>
      <c r="B465" s="336"/>
      <c r="C465" s="336"/>
      <c r="D465" s="336"/>
      <c r="E465" s="336"/>
      <c r="F465" s="336"/>
      <c r="G465" s="336"/>
      <c r="H465" s="336"/>
      <c r="I465" s="336"/>
      <c r="J465" s="336"/>
      <c r="K465" s="336"/>
      <c r="L465" s="336"/>
      <c r="M465" s="336"/>
      <c r="N465" s="336"/>
      <c r="O465" s="336"/>
      <c r="P465" s="336"/>
      <c r="Q465" s="336"/>
    </row>
    <row r="466" ht="15.75" customHeight="1">
      <c r="A466" s="336"/>
      <c r="B466" s="336"/>
      <c r="C466" s="336"/>
      <c r="D466" s="336"/>
      <c r="E466" s="336"/>
      <c r="F466" s="336"/>
      <c r="G466" s="336"/>
      <c r="H466" s="336"/>
      <c r="I466" s="336"/>
      <c r="J466" s="336"/>
      <c r="K466" s="336"/>
      <c r="L466" s="336"/>
      <c r="M466" s="336"/>
      <c r="N466" s="336"/>
      <c r="O466" s="336"/>
      <c r="P466" s="336"/>
      <c r="Q466" s="336"/>
    </row>
    <row r="467" ht="15.75" customHeight="1">
      <c r="A467" s="336"/>
      <c r="B467" s="336"/>
      <c r="C467" s="336"/>
      <c r="D467" s="336"/>
      <c r="E467" s="336"/>
      <c r="F467" s="336"/>
      <c r="G467" s="336"/>
      <c r="H467" s="336"/>
      <c r="I467" s="336"/>
      <c r="J467" s="336"/>
      <c r="K467" s="336"/>
      <c r="L467" s="336"/>
      <c r="M467" s="336"/>
      <c r="N467" s="336"/>
      <c r="O467" s="336"/>
      <c r="P467" s="336"/>
      <c r="Q467" s="336"/>
    </row>
    <row r="468" ht="15.75" customHeight="1">
      <c r="A468" s="336"/>
      <c r="B468" s="336"/>
      <c r="C468" s="336"/>
      <c r="D468" s="336"/>
      <c r="E468" s="336"/>
      <c r="F468" s="336"/>
      <c r="G468" s="336"/>
      <c r="H468" s="336"/>
      <c r="I468" s="336"/>
      <c r="J468" s="336"/>
      <c r="K468" s="336"/>
      <c r="L468" s="336"/>
      <c r="M468" s="336"/>
      <c r="N468" s="336"/>
      <c r="O468" s="336"/>
      <c r="P468" s="336"/>
      <c r="Q468" s="336"/>
    </row>
    <row r="469" ht="15.75" customHeight="1">
      <c r="A469" s="336"/>
      <c r="B469" s="336"/>
      <c r="C469" s="336"/>
      <c r="D469" s="336"/>
      <c r="E469" s="336"/>
      <c r="F469" s="336"/>
      <c r="G469" s="336"/>
      <c r="H469" s="336"/>
      <c r="I469" s="336"/>
      <c r="J469" s="336"/>
      <c r="K469" s="336"/>
      <c r="L469" s="336"/>
      <c r="M469" s="336"/>
      <c r="N469" s="336"/>
      <c r="O469" s="336"/>
      <c r="P469" s="336"/>
      <c r="Q469" s="336"/>
    </row>
    <row r="470" ht="15.75" customHeight="1">
      <c r="A470" s="336"/>
      <c r="B470" s="336"/>
      <c r="C470" s="336"/>
      <c r="D470" s="336"/>
      <c r="E470" s="336"/>
      <c r="F470" s="336"/>
      <c r="G470" s="336"/>
      <c r="H470" s="336"/>
      <c r="I470" s="336"/>
      <c r="J470" s="336"/>
      <c r="K470" s="336"/>
      <c r="L470" s="336"/>
      <c r="M470" s="336"/>
      <c r="N470" s="336"/>
      <c r="O470" s="336"/>
      <c r="P470" s="336"/>
      <c r="Q470" s="336"/>
    </row>
    <row r="471" ht="15.75" customHeight="1">
      <c r="A471" s="336"/>
      <c r="B471" s="336"/>
      <c r="C471" s="336"/>
      <c r="D471" s="336"/>
      <c r="E471" s="336"/>
      <c r="F471" s="336"/>
      <c r="G471" s="336"/>
      <c r="H471" s="336"/>
      <c r="I471" s="336"/>
      <c r="J471" s="336"/>
      <c r="K471" s="336"/>
      <c r="L471" s="336"/>
      <c r="M471" s="336"/>
      <c r="N471" s="336"/>
      <c r="O471" s="336"/>
      <c r="P471" s="336"/>
      <c r="Q471" s="336"/>
    </row>
    <row r="472" ht="15.75" customHeight="1">
      <c r="A472" s="336"/>
      <c r="B472" s="336"/>
      <c r="C472" s="336"/>
      <c r="D472" s="336"/>
      <c r="E472" s="336"/>
      <c r="F472" s="336"/>
      <c r="G472" s="336"/>
      <c r="H472" s="336"/>
      <c r="I472" s="336"/>
      <c r="J472" s="336"/>
      <c r="K472" s="336"/>
      <c r="L472" s="336"/>
      <c r="M472" s="336"/>
      <c r="N472" s="336"/>
      <c r="O472" s="336"/>
      <c r="P472" s="336"/>
      <c r="Q472" s="336"/>
    </row>
    <row r="473" ht="15.75" customHeight="1">
      <c r="A473" s="336"/>
      <c r="B473" s="336"/>
      <c r="C473" s="336"/>
      <c r="D473" s="336"/>
      <c r="E473" s="336"/>
      <c r="F473" s="336"/>
      <c r="G473" s="336"/>
      <c r="H473" s="336"/>
      <c r="I473" s="336"/>
      <c r="J473" s="336"/>
      <c r="K473" s="336"/>
      <c r="L473" s="336"/>
      <c r="M473" s="336"/>
      <c r="N473" s="336"/>
      <c r="O473" s="336"/>
      <c r="P473" s="336"/>
      <c r="Q473" s="336"/>
    </row>
    <row r="474" ht="15.75" customHeight="1">
      <c r="A474" s="336"/>
      <c r="B474" s="336"/>
      <c r="C474" s="336"/>
      <c r="D474" s="336"/>
      <c r="E474" s="336"/>
      <c r="F474" s="336"/>
      <c r="G474" s="336"/>
      <c r="H474" s="336"/>
      <c r="I474" s="336"/>
      <c r="J474" s="336"/>
      <c r="K474" s="336"/>
      <c r="L474" s="336"/>
      <c r="M474" s="336"/>
      <c r="N474" s="336"/>
      <c r="O474" s="336"/>
      <c r="P474" s="336"/>
      <c r="Q474" s="336"/>
    </row>
    <row r="475" ht="15.75" customHeight="1">
      <c r="A475" s="336"/>
      <c r="B475" s="336"/>
      <c r="C475" s="336"/>
      <c r="D475" s="336"/>
      <c r="E475" s="336"/>
      <c r="F475" s="336"/>
      <c r="G475" s="336"/>
      <c r="H475" s="336"/>
      <c r="I475" s="336"/>
      <c r="J475" s="336"/>
      <c r="K475" s="336"/>
      <c r="L475" s="336"/>
      <c r="M475" s="336"/>
      <c r="N475" s="336"/>
      <c r="O475" s="336"/>
      <c r="P475" s="336"/>
      <c r="Q475" s="336"/>
    </row>
    <row r="476" ht="15.75" customHeight="1">
      <c r="A476" s="336"/>
      <c r="B476" s="336"/>
      <c r="C476" s="336"/>
      <c r="D476" s="336"/>
      <c r="E476" s="336"/>
      <c r="F476" s="336"/>
      <c r="G476" s="336"/>
      <c r="H476" s="336"/>
      <c r="I476" s="336"/>
      <c r="J476" s="336"/>
      <c r="K476" s="336"/>
      <c r="L476" s="336"/>
      <c r="M476" s="336"/>
      <c r="N476" s="336"/>
      <c r="O476" s="336"/>
      <c r="P476" s="336"/>
      <c r="Q476" s="336"/>
    </row>
    <row r="477" ht="15.75" customHeight="1">
      <c r="A477" s="336"/>
      <c r="B477" s="336"/>
      <c r="C477" s="336"/>
      <c r="D477" s="336"/>
      <c r="E477" s="336"/>
      <c r="F477" s="336"/>
      <c r="G477" s="336"/>
      <c r="H477" s="336"/>
      <c r="I477" s="336"/>
      <c r="J477" s="336"/>
      <c r="K477" s="336"/>
      <c r="L477" s="336"/>
      <c r="M477" s="336"/>
      <c r="N477" s="336"/>
      <c r="O477" s="336"/>
      <c r="P477" s="336"/>
      <c r="Q477" s="336"/>
    </row>
    <row r="478" ht="15.75" customHeight="1">
      <c r="A478" s="336"/>
      <c r="B478" s="336"/>
      <c r="C478" s="336"/>
      <c r="D478" s="336"/>
      <c r="E478" s="336"/>
      <c r="F478" s="336"/>
      <c r="G478" s="336"/>
      <c r="H478" s="336"/>
      <c r="I478" s="336"/>
      <c r="J478" s="336"/>
      <c r="K478" s="336"/>
      <c r="L478" s="336"/>
      <c r="M478" s="336"/>
      <c r="N478" s="336"/>
      <c r="O478" s="336"/>
      <c r="P478" s="336"/>
      <c r="Q478" s="336"/>
    </row>
    <row r="479" ht="15.75" customHeight="1">
      <c r="A479" s="336"/>
      <c r="B479" s="336"/>
      <c r="C479" s="336"/>
      <c r="D479" s="336"/>
      <c r="E479" s="336"/>
      <c r="F479" s="336"/>
      <c r="G479" s="336"/>
      <c r="H479" s="336"/>
      <c r="I479" s="336"/>
      <c r="J479" s="336"/>
      <c r="K479" s="336"/>
      <c r="L479" s="336"/>
      <c r="M479" s="336"/>
      <c r="N479" s="336"/>
      <c r="O479" s="336"/>
      <c r="P479" s="336"/>
      <c r="Q479" s="336"/>
    </row>
    <row r="480" ht="15.75" customHeight="1">
      <c r="A480" s="336"/>
      <c r="B480" s="336"/>
      <c r="C480" s="336"/>
      <c r="D480" s="336"/>
      <c r="E480" s="336"/>
      <c r="F480" s="336"/>
      <c r="G480" s="336"/>
      <c r="H480" s="336"/>
      <c r="I480" s="336"/>
      <c r="J480" s="336"/>
      <c r="K480" s="336"/>
      <c r="L480" s="336"/>
      <c r="M480" s="336"/>
      <c r="N480" s="336"/>
      <c r="O480" s="336"/>
      <c r="P480" s="336"/>
      <c r="Q480" s="336"/>
    </row>
    <row r="481" ht="15.75" customHeight="1">
      <c r="A481" s="336"/>
      <c r="B481" s="336"/>
      <c r="C481" s="336"/>
      <c r="D481" s="336"/>
      <c r="E481" s="336"/>
      <c r="F481" s="336"/>
      <c r="G481" s="336"/>
      <c r="H481" s="336"/>
      <c r="I481" s="336"/>
      <c r="J481" s="336"/>
      <c r="K481" s="336"/>
      <c r="L481" s="336"/>
      <c r="M481" s="336"/>
      <c r="N481" s="336"/>
      <c r="O481" s="336"/>
      <c r="P481" s="336"/>
      <c r="Q481" s="336"/>
    </row>
    <row r="482" ht="15.75" customHeight="1">
      <c r="A482" s="336"/>
      <c r="B482" s="336"/>
      <c r="C482" s="336"/>
      <c r="D482" s="336"/>
      <c r="E482" s="336"/>
      <c r="F482" s="336"/>
      <c r="G482" s="336"/>
      <c r="H482" s="336"/>
      <c r="I482" s="336"/>
      <c r="J482" s="336"/>
      <c r="K482" s="336"/>
      <c r="L482" s="336"/>
      <c r="M482" s="336"/>
      <c r="N482" s="336"/>
      <c r="O482" s="336"/>
      <c r="P482" s="336"/>
      <c r="Q482" s="336"/>
    </row>
    <row r="483" ht="15.75" customHeight="1">
      <c r="A483" s="336"/>
      <c r="B483" s="336"/>
      <c r="C483" s="336"/>
      <c r="D483" s="336"/>
      <c r="E483" s="336"/>
      <c r="F483" s="336"/>
      <c r="G483" s="336"/>
      <c r="H483" s="336"/>
      <c r="I483" s="336"/>
      <c r="J483" s="336"/>
      <c r="K483" s="336"/>
      <c r="L483" s="336"/>
      <c r="M483" s="336"/>
      <c r="N483" s="336"/>
      <c r="O483" s="336"/>
      <c r="P483" s="336"/>
      <c r="Q483" s="336"/>
    </row>
    <row r="484" ht="15.75" customHeight="1">
      <c r="A484" s="336"/>
      <c r="B484" s="336"/>
      <c r="C484" s="336"/>
      <c r="D484" s="336"/>
      <c r="E484" s="336"/>
      <c r="F484" s="336"/>
      <c r="G484" s="336"/>
      <c r="H484" s="336"/>
      <c r="I484" s="336"/>
      <c r="J484" s="336"/>
      <c r="K484" s="336"/>
      <c r="L484" s="336"/>
      <c r="M484" s="336"/>
      <c r="N484" s="336"/>
      <c r="O484" s="336"/>
      <c r="P484" s="336"/>
      <c r="Q484" s="336"/>
    </row>
    <row r="485" ht="15.75" customHeight="1">
      <c r="A485" s="336"/>
      <c r="B485" s="336"/>
      <c r="C485" s="336"/>
      <c r="D485" s="336"/>
      <c r="E485" s="336"/>
      <c r="F485" s="336"/>
      <c r="G485" s="336"/>
      <c r="H485" s="336"/>
      <c r="I485" s="336"/>
      <c r="J485" s="336"/>
      <c r="K485" s="336"/>
      <c r="L485" s="336"/>
      <c r="M485" s="336"/>
      <c r="N485" s="336"/>
      <c r="O485" s="336"/>
      <c r="P485" s="336"/>
      <c r="Q485" s="336"/>
    </row>
    <row r="486" ht="15.75" customHeight="1">
      <c r="A486" s="336"/>
      <c r="B486" s="336"/>
      <c r="C486" s="336"/>
      <c r="D486" s="336"/>
      <c r="E486" s="336"/>
      <c r="F486" s="336"/>
      <c r="G486" s="336"/>
      <c r="H486" s="336"/>
      <c r="I486" s="336"/>
      <c r="J486" s="336"/>
      <c r="K486" s="336"/>
      <c r="L486" s="336"/>
      <c r="M486" s="336"/>
      <c r="N486" s="336"/>
      <c r="O486" s="336"/>
      <c r="P486" s="336"/>
      <c r="Q486" s="336"/>
    </row>
    <row r="487" ht="15.75" customHeight="1">
      <c r="A487" s="336"/>
      <c r="B487" s="336"/>
      <c r="C487" s="336"/>
      <c r="D487" s="336"/>
      <c r="E487" s="336"/>
      <c r="F487" s="336"/>
      <c r="G487" s="336"/>
      <c r="H487" s="336"/>
      <c r="I487" s="336"/>
      <c r="J487" s="336"/>
      <c r="K487" s="336"/>
      <c r="L487" s="336"/>
      <c r="M487" s="336"/>
      <c r="N487" s="336"/>
      <c r="O487" s="336"/>
      <c r="P487" s="336"/>
      <c r="Q487" s="336"/>
    </row>
    <row r="488" ht="15.75" customHeight="1">
      <c r="A488" s="336"/>
      <c r="B488" s="336"/>
      <c r="C488" s="336"/>
      <c r="D488" s="336"/>
      <c r="E488" s="336"/>
      <c r="F488" s="336"/>
      <c r="G488" s="336"/>
      <c r="H488" s="336"/>
      <c r="I488" s="336"/>
      <c r="J488" s="336"/>
      <c r="K488" s="336"/>
      <c r="L488" s="336"/>
      <c r="M488" s="336"/>
      <c r="N488" s="336"/>
      <c r="O488" s="336"/>
      <c r="P488" s="336"/>
      <c r="Q488" s="336"/>
    </row>
    <row r="489" ht="15.75" customHeight="1">
      <c r="A489" s="336"/>
      <c r="B489" s="336"/>
      <c r="C489" s="336"/>
      <c r="D489" s="336"/>
      <c r="E489" s="336"/>
      <c r="F489" s="336"/>
      <c r="G489" s="336"/>
      <c r="H489" s="336"/>
      <c r="I489" s="336"/>
      <c r="J489" s="336"/>
      <c r="K489" s="336"/>
      <c r="L489" s="336"/>
      <c r="M489" s="336"/>
      <c r="N489" s="336"/>
      <c r="O489" s="336"/>
      <c r="P489" s="336"/>
      <c r="Q489" s="336"/>
    </row>
    <row r="490" ht="15.75" customHeight="1">
      <c r="A490" s="336"/>
      <c r="B490" s="336"/>
      <c r="C490" s="336"/>
      <c r="D490" s="336"/>
      <c r="E490" s="336"/>
      <c r="F490" s="336"/>
      <c r="G490" s="336"/>
      <c r="H490" s="336"/>
      <c r="I490" s="336"/>
      <c r="J490" s="336"/>
      <c r="K490" s="336"/>
      <c r="L490" s="336"/>
      <c r="M490" s="336"/>
      <c r="N490" s="336"/>
      <c r="O490" s="336"/>
      <c r="P490" s="336"/>
      <c r="Q490" s="336"/>
    </row>
    <row r="491" ht="15.75" customHeight="1">
      <c r="A491" s="336"/>
      <c r="B491" s="336"/>
      <c r="C491" s="336"/>
      <c r="D491" s="336"/>
      <c r="E491" s="336"/>
      <c r="F491" s="336"/>
      <c r="G491" s="336"/>
      <c r="H491" s="336"/>
      <c r="I491" s="336"/>
      <c r="J491" s="336"/>
      <c r="K491" s="336"/>
      <c r="L491" s="336"/>
      <c r="M491" s="336"/>
      <c r="N491" s="336"/>
      <c r="O491" s="336"/>
      <c r="P491" s="336"/>
      <c r="Q491" s="336"/>
    </row>
    <row r="492" ht="15.75" customHeight="1">
      <c r="A492" s="336"/>
      <c r="B492" s="336"/>
      <c r="C492" s="336"/>
      <c r="D492" s="336"/>
      <c r="E492" s="336"/>
      <c r="F492" s="336"/>
      <c r="G492" s="336"/>
      <c r="H492" s="336"/>
      <c r="I492" s="336"/>
      <c r="J492" s="336"/>
      <c r="K492" s="336"/>
      <c r="L492" s="336"/>
      <c r="M492" s="336"/>
      <c r="N492" s="336"/>
      <c r="O492" s="336"/>
      <c r="P492" s="336"/>
      <c r="Q492" s="336"/>
    </row>
    <row r="493" ht="15.75" customHeight="1">
      <c r="A493" s="336"/>
      <c r="B493" s="336"/>
      <c r="C493" s="336"/>
      <c r="D493" s="336"/>
      <c r="E493" s="336"/>
      <c r="F493" s="336"/>
      <c r="G493" s="336"/>
      <c r="H493" s="336"/>
      <c r="I493" s="336"/>
      <c r="J493" s="336"/>
      <c r="K493" s="336"/>
      <c r="L493" s="336"/>
      <c r="M493" s="336"/>
      <c r="N493" s="336"/>
      <c r="O493" s="336"/>
      <c r="P493" s="336"/>
      <c r="Q493" s="336"/>
    </row>
    <row r="494" ht="15.75" customHeight="1">
      <c r="A494" s="336"/>
      <c r="B494" s="336"/>
      <c r="C494" s="336"/>
      <c r="D494" s="336"/>
      <c r="E494" s="336"/>
      <c r="F494" s="336"/>
      <c r="G494" s="336"/>
      <c r="H494" s="336"/>
      <c r="I494" s="336"/>
      <c r="J494" s="336"/>
      <c r="K494" s="336"/>
      <c r="L494" s="336"/>
      <c r="M494" s="336"/>
      <c r="N494" s="336"/>
      <c r="O494" s="336"/>
      <c r="P494" s="336"/>
      <c r="Q494" s="336"/>
    </row>
    <row r="495" ht="15.75" customHeight="1">
      <c r="A495" s="336"/>
      <c r="B495" s="336"/>
      <c r="C495" s="336"/>
      <c r="D495" s="336"/>
      <c r="E495" s="336"/>
      <c r="F495" s="336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  <c r="Q495" s="336"/>
    </row>
    <row r="496" ht="15.75" customHeight="1">
      <c r="A496" s="336"/>
      <c r="B496" s="336"/>
      <c r="C496" s="336"/>
      <c r="D496" s="336"/>
      <c r="E496" s="336"/>
      <c r="F496" s="336"/>
      <c r="G496" s="336"/>
      <c r="H496" s="336"/>
      <c r="I496" s="336"/>
      <c r="J496" s="336"/>
      <c r="K496" s="336"/>
      <c r="L496" s="336"/>
      <c r="M496" s="336"/>
      <c r="N496" s="336"/>
      <c r="O496" s="336"/>
      <c r="P496" s="336"/>
      <c r="Q496" s="336"/>
    </row>
    <row r="497" ht="15.75" customHeight="1">
      <c r="A497" s="336"/>
      <c r="B497" s="336"/>
      <c r="C497" s="336"/>
      <c r="D497" s="336"/>
      <c r="E497" s="336"/>
      <c r="F497" s="336"/>
      <c r="G497" s="336"/>
      <c r="H497" s="336"/>
      <c r="I497" s="336"/>
      <c r="J497" s="336"/>
      <c r="K497" s="336"/>
      <c r="L497" s="336"/>
      <c r="M497" s="336"/>
      <c r="N497" s="336"/>
      <c r="O497" s="336"/>
      <c r="P497" s="336"/>
      <c r="Q497" s="336"/>
    </row>
    <row r="498" ht="15.75" customHeight="1">
      <c r="A498" s="336"/>
      <c r="B498" s="336"/>
      <c r="C498" s="336"/>
      <c r="D498" s="336"/>
      <c r="E498" s="336"/>
      <c r="F498" s="336"/>
      <c r="G498" s="336"/>
      <c r="H498" s="336"/>
      <c r="I498" s="336"/>
      <c r="J498" s="336"/>
      <c r="K498" s="336"/>
      <c r="L498" s="336"/>
      <c r="M498" s="336"/>
      <c r="N498" s="336"/>
      <c r="O498" s="336"/>
      <c r="P498" s="336"/>
      <c r="Q498" s="336"/>
    </row>
    <row r="499" ht="15.75" customHeight="1">
      <c r="A499" s="336"/>
      <c r="B499" s="336"/>
      <c r="C499" s="336"/>
      <c r="D499" s="336"/>
      <c r="E499" s="336"/>
      <c r="F499" s="336"/>
      <c r="G499" s="336"/>
      <c r="H499" s="336"/>
      <c r="I499" s="336"/>
      <c r="J499" s="336"/>
      <c r="K499" s="336"/>
      <c r="L499" s="336"/>
      <c r="M499" s="336"/>
      <c r="N499" s="336"/>
      <c r="O499" s="336"/>
      <c r="P499" s="336"/>
      <c r="Q499" s="336"/>
    </row>
    <row r="500" ht="15.75" customHeight="1">
      <c r="A500" s="336"/>
      <c r="B500" s="336"/>
      <c r="C500" s="336"/>
      <c r="D500" s="336"/>
      <c r="E500" s="336"/>
      <c r="F500" s="336"/>
      <c r="G500" s="336"/>
      <c r="H500" s="336"/>
      <c r="I500" s="336"/>
      <c r="J500" s="336"/>
      <c r="K500" s="336"/>
      <c r="L500" s="336"/>
      <c r="M500" s="336"/>
      <c r="N500" s="336"/>
      <c r="O500" s="336"/>
      <c r="P500" s="336"/>
      <c r="Q500" s="336"/>
    </row>
    <row r="501" ht="15.75" customHeight="1">
      <c r="A501" s="336"/>
      <c r="B501" s="336"/>
      <c r="C501" s="336"/>
      <c r="D501" s="336"/>
      <c r="E501" s="336"/>
      <c r="F501" s="336"/>
      <c r="G501" s="336"/>
      <c r="H501" s="336"/>
      <c r="I501" s="336"/>
      <c r="J501" s="336"/>
      <c r="K501" s="336"/>
      <c r="L501" s="336"/>
      <c r="M501" s="336"/>
      <c r="N501" s="336"/>
      <c r="O501" s="336"/>
      <c r="P501" s="336"/>
      <c r="Q501" s="336"/>
    </row>
    <row r="502" ht="15.75" customHeight="1">
      <c r="A502" s="336"/>
      <c r="B502" s="336"/>
      <c r="C502" s="336"/>
      <c r="D502" s="336"/>
      <c r="E502" s="336"/>
      <c r="F502" s="336"/>
      <c r="G502" s="336"/>
      <c r="H502" s="336"/>
      <c r="I502" s="336"/>
      <c r="J502" s="336"/>
      <c r="K502" s="336"/>
      <c r="L502" s="336"/>
      <c r="M502" s="336"/>
      <c r="N502" s="336"/>
      <c r="O502" s="336"/>
      <c r="P502" s="336"/>
      <c r="Q502" s="336"/>
    </row>
    <row r="503" ht="15.75" customHeight="1">
      <c r="A503" s="336"/>
      <c r="B503" s="336"/>
      <c r="C503" s="336"/>
      <c r="D503" s="336"/>
      <c r="E503" s="336"/>
      <c r="F503" s="336"/>
      <c r="G503" s="336"/>
      <c r="H503" s="336"/>
      <c r="I503" s="336"/>
      <c r="J503" s="336"/>
      <c r="K503" s="336"/>
      <c r="L503" s="336"/>
      <c r="M503" s="336"/>
      <c r="N503" s="336"/>
      <c r="O503" s="336"/>
      <c r="P503" s="336"/>
      <c r="Q503" s="336"/>
    </row>
    <row r="504" ht="15.75" customHeight="1">
      <c r="A504" s="336"/>
      <c r="B504" s="336"/>
      <c r="C504" s="336"/>
      <c r="D504" s="336"/>
      <c r="E504" s="336"/>
      <c r="F504" s="336"/>
      <c r="G504" s="336"/>
      <c r="H504" s="336"/>
      <c r="I504" s="336"/>
      <c r="J504" s="336"/>
      <c r="K504" s="336"/>
      <c r="L504" s="336"/>
      <c r="M504" s="336"/>
      <c r="N504" s="336"/>
      <c r="O504" s="336"/>
      <c r="P504" s="336"/>
      <c r="Q504" s="336"/>
    </row>
    <row r="505" ht="15.75" customHeight="1">
      <c r="A505" s="336"/>
      <c r="B505" s="336"/>
      <c r="C505" s="336"/>
      <c r="D505" s="336"/>
      <c r="E505" s="336"/>
      <c r="F505" s="336"/>
      <c r="G505" s="336"/>
      <c r="H505" s="336"/>
      <c r="I505" s="336"/>
      <c r="J505" s="336"/>
      <c r="K505" s="336"/>
      <c r="L505" s="336"/>
      <c r="M505" s="336"/>
      <c r="N505" s="336"/>
      <c r="O505" s="336"/>
      <c r="P505" s="336"/>
      <c r="Q505" s="336"/>
    </row>
    <row r="506" ht="15.75" customHeight="1">
      <c r="A506" s="336"/>
      <c r="B506" s="336"/>
      <c r="C506" s="336"/>
      <c r="D506" s="336"/>
      <c r="E506" s="336"/>
      <c r="F506" s="336"/>
      <c r="G506" s="336"/>
      <c r="H506" s="336"/>
      <c r="I506" s="336"/>
      <c r="J506" s="336"/>
      <c r="K506" s="336"/>
      <c r="L506" s="336"/>
      <c r="M506" s="336"/>
      <c r="N506" s="336"/>
      <c r="O506" s="336"/>
      <c r="P506" s="336"/>
      <c r="Q506" s="336"/>
    </row>
    <row r="507" ht="15.75" customHeight="1">
      <c r="A507" s="336"/>
      <c r="B507" s="336"/>
      <c r="C507" s="336"/>
      <c r="D507" s="336"/>
      <c r="E507" s="336"/>
      <c r="F507" s="336"/>
      <c r="G507" s="336"/>
      <c r="H507" s="336"/>
      <c r="I507" s="336"/>
      <c r="J507" s="336"/>
      <c r="K507" s="336"/>
      <c r="L507" s="336"/>
      <c r="M507" s="336"/>
      <c r="N507" s="336"/>
      <c r="O507" s="336"/>
      <c r="P507" s="336"/>
      <c r="Q507" s="336"/>
    </row>
    <row r="508" ht="15.75" customHeight="1">
      <c r="A508" s="336"/>
      <c r="B508" s="336"/>
      <c r="C508" s="336"/>
      <c r="D508" s="336"/>
      <c r="E508" s="336"/>
      <c r="F508" s="336"/>
      <c r="G508" s="336"/>
      <c r="H508" s="336"/>
      <c r="I508" s="336"/>
      <c r="J508" s="336"/>
      <c r="K508" s="336"/>
      <c r="L508" s="336"/>
      <c r="M508" s="336"/>
      <c r="N508" s="336"/>
      <c r="O508" s="336"/>
      <c r="P508" s="336"/>
      <c r="Q508" s="336"/>
    </row>
    <row r="509" ht="15.75" customHeight="1">
      <c r="A509" s="336"/>
      <c r="B509" s="336"/>
      <c r="C509" s="336"/>
      <c r="D509" s="336"/>
      <c r="E509" s="336"/>
      <c r="F509" s="336"/>
      <c r="G509" s="336"/>
      <c r="H509" s="336"/>
      <c r="I509" s="336"/>
      <c r="J509" s="336"/>
      <c r="K509" s="336"/>
      <c r="L509" s="336"/>
      <c r="M509" s="336"/>
      <c r="N509" s="336"/>
      <c r="O509" s="336"/>
      <c r="P509" s="336"/>
      <c r="Q509" s="336"/>
    </row>
    <row r="510" ht="15.75" customHeight="1">
      <c r="A510" s="336"/>
      <c r="B510" s="336"/>
      <c r="C510" s="336"/>
      <c r="D510" s="336"/>
      <c r="E510" s="336"/>
      <c r="F510" s="336"/>
      <c r="G510" s="336"/>
      <c r="H510" s="336"/>
      <c r="I510" s="336"/>
      <c r="J510" s="336"/>
      <c r="K510" s="336"/>
      <c r="L510" s="336"/>
      <c r="M510" s="336"/>
      <c r="N510" s="336"/>
      <c r="O510" s="336"/>
      <c r="P510" s="336"/>
      <c r="Q510" s="336"/>
    </row>
    <row r="511" ht="15.75" customHeight="1">
      <c r="A511" s="336"/>
      <c r="B511" s="336"/>
      <c r="C511" s="336"/>
      <c r="D511" s="336"/>
      <c r="E511" s="336"/>
      <c r="F511" s="336"/>
      <c r="G511" s="336"/>
      <c r="H511" s="336"/>
      <c r="I511" s="336"/>
      <c r="J511" s="336"/>
      <c r="K511" s="336"/>
      <c r="L511" s="336"/>
      <c r="M511" s="336"/>
      <c r="N511" s="336"/>
      <c r="O511" s="336"/>
      <c r="P511" s="336"/>
      <c r="Q511" s="336"/>
    </row>
    <row r="512" ht="15.75" customHeight="1">
      <c r="A512" s="336"/>
      <c r="B512" s="336"/>
      <c r="C512" s="336"/>
      <c r="D512" s="336"/>
      <c r="E512" s="336"/>
      <c r="F512" s="336"/>
      <c r="G512" s="336"/>
      <c r="H512" s="336"/>
      <c r="I512" s="336"/>
      <c r="J512" s="336"/>
      <c r="K512" s="336"/>
      <c r="L512" s="336"/>
      <c r="M512" s="336"/>
      <c r="N512" s="336"/>
      <c r="O512" s="336"/>
      <c r="P512" s="336"/>
      <c r="Q512" s="336"/>
    </row>
    <row r="513" ht="15.75" customHeight="1">
      <c r="A513" s="336"/>
      <c r="B513" s="336"/>
      <c r="C513" s="336"/>
      <c r="D513" s="336"/>
      <c r="E513" s="336"/>
      <c r="F513" s="336"/>
      <c r="G513" s="336"/>
      <c r="H513" s="336"/>
      <c r="I513" s="336"/>
      <c r="J513" s="336"/>
      <c r="K513" s="336"/>
      <c r="L513" s="336"/>
      <c r="M513" s="336"/>
      <c r="N513" s="336"/>
      <c r="O513" s="336"/>
      <c r="P513" s="336"/>
      <c r="Q513" s="336"/>
    </row>
    <row r="514" ht="15.75" customHeight="1">
      <c r="A514" s="336"/>
      <c r="B514" s="336"/>
      <c r="C514" s="336"/>
      <c r="D514" s="336"/>
      <c r="E514" s="336"/>
      <c r="F514" s="336"/>
      <c r="G514" s="336"/>
      <c r="H514" s="336"/>
      <c r="I514" s="336"/>
      <c r="J514" s="336"/>
      <c r="K514" s="336"/>
      <c r="L514" s="336"/>
      <c r="M514" s="336"/>
      <c r="N514" s="336"/>
      <c r="O514" s="336"/>
      <c r="P514" s="336"/>
      <c r="Q514" s="336"/>
    </row>
    <row r="515" ht="15.75" customHeight="1">
      <c r="A515" s="336"/>
      <c r="B515" s="336"/>
      <c r="C515" s="336"/>
      <c r="D515" s="336"/>
      <c r="E515" s="336"/>
      <c r="F515" s="336"/>
      <c r="G515" s="336"/>
      <c r="H515" s="336"/>
      <c r="I515" s="336"/>
      <c r="J515" s="336"/>
      <c r="K515" s="336"/>
      <c r="L515" s="336"/>
      <c r="M515" s="336"/>
      <c r="N515" s="336"/>
      <c r="O515" s="336"/>
      <c r="P515" s="336"/>
      <c r="Q515" s="336"/>
    </row>
    <row r="516" ht="15.75" customHeight="1">
      <c r="A516" s="336"/>
      <c r="B516" s="336"/>
      <c r="C516" s="336"/>
      <c r="D516" s="336"/>
      <c r="E516" s="336"/>
      <c r="F516" s="336"/>
      <c r="G516" s="336"/>
      <c r="H516" s="336"/>
      <c r="I516" s="336"/>
      <c r="J516" s="336"/>
      <c r="K516" s="336"/>
      <c r="L516" s="336"/>
      <c r="M516" s="336"/>
      <c r="N516" s="336"/>
      <c r="O516" s="336"/>
      <c r="P516" s="336"/>
      <c r="Q516" s="336"/>
    </row>
    <row r="517" ht="15.75" customHeight="1">
      <c r="A517" s="336"/>
      <c r="B517" s="336"/>
      <c r="C517" s="336"/>
      <c r="D517" s="336"/>
      <c r="E517" s="336"/>
      <c r="F517" s="336"/>
      <c r="G517" s="336"/>
      <c r="H517" s="336"/>
      <c r="I517" s="336"/>
      <c r="J517" s="336"/>
      <c r="K517" s="336"/>
      <c r="L517" s="336"/>
      <c r="M517" s="336"/>
      <c r="N517" s="336"/>
      <c r="O517" s="336"/>
      <c r="P517" s="336"/>
      <c r="Q517" s="336"/>
    </row>
    <row r="518" ht="15.75" customHeight="1">
      <c r="A518" s="336"/>
      <c r="B518" s="336"/>
      <c r="C518" s="336"/>
      <c r="D518" s="336"/>
      <c r="E518" s="336"/>
      <c r="F518" s="336"/>
      <c r="G518" s="336"/>
      <c r="H518" s="336"/>
      <c r="I518" s="336"/>
      <c r="J518" s="336"/>
      <c r="K518" s="336"/>
      <c r="L518" s="336"/>
      <c r="M518" s="336"/>
      <c r="N518" s="336"/>
      <c r="O518" s="336"/>
      <c r="P518" s="336"/>
      <c r="Q518" s="336"/>
    </row>
    <row r="519" ht="15.75" customHeight="1">
      <c r="A519" s="336"/>
      <c r="B519" s="336"/>
      <c r="C519" s="336"/>
      <c r="D519" s="336"/>
      <c r="E519" s="336"/>
      <c r="F519" s="336"/>
      <c r="G519" s="336"/>
      <c r="H519" s="336"/>
      <c r="I519" s="336"/>
      <c r="J519" s="336"/>
      <c r="K519" s="336"/>
      <c r="L519" s="336"/>
      <c r="M519" s="336"/>
      <c r="N519" s="336"/>
      <c r="O519" s="336"/>
      <c r="P519" s="336"/>
      <c r="Q519" s="336"/>
    </row>
    <row r="520" ht="15.75" customHeight="1">
      <c r="A520" s="336"/>
      <c r="B520" s="336"/>
      <c r="C520" s="336"/>
      <c r="D520" s="336"/>
      <c r="E520" s="336"/>
      <c r="F520" s="336"/>
      <c r="G520" s="336"/>
      <c r="H520" s="336"/>
      <c r="I520" s="336"/>
      <c r="J520" s="336"/>
      <c r="K520" s="336"/>
      <c r="L520" s="336"/>
      <c r="M520" s="336"/>
      <c r="N520" s="336"/>
      <c r="O520" s="336"/>
      <c r="P520" s="336"/>
      <c r="Q520" s="336"/>
    </row>
    <row r="521" ht="15.75" customHeight="1">
      <c r="A521" s="336"/>
      <c r="B521" s="336"/>
      <c r="C521" s="336"/>
      <c r="D521" s="336"/>
      <c r="E521" s="336"/>
      <c r="F521" s="336"/>
      <c r="G521" s="336"/>
      <c r="H521" s="336"/>
      <c r="I521" s="336"/>
      <c r="J521" s="336"/>
      <c r="K521" s="336"/>
      <c r="L521" s="336"/>
      <c r="M521" s="336"/>
      <c r="N521" s="336"/>
      <c r="O521" s="336"/>
      <c r="P521" s="336"/>
      <c r="Q521" s="336"/>
    </row>
    <row r="522" ht="15.75" customHeight="1">
      <c r="A522" s="336"/>
      <c r="B522" s="336"/>
      <c r="C522" s="336"/>
      <c r="D522" s="336"/>
      <c r="E522" s="336"/>
      <c r="F522" s="336"/>
      <c r="G522" s="336"/>
      <c r="H522" s="336"/>
      <c r="I522" s="336"/>
      <c r="J522" s="336"/>
      <c r="K522" s="336"/>
      <c r="L522" s="336"/>
      <c r="M522" s="336"/>
      <c r="N522" s="336"/>
      <c r="O522" s="336"/>
      <c r="P522" s="336"/>
      <c r="Q522" s="336"/>
    </row>
    <row r="523" ht="15.75" customHeight="1">
      <c r="A523" s="336"/>
      <c r="B523" s="336"/>
      <c r="C523" s="336"/>
      <c r="D523" s="336"/>
      <c r="E523" s="336"/>
      <c r="F523" s="336"/>
      <c r="G523" s="336"/>
      <c r="H523" s="336"/>
      <c r="I523" s="336"/>
      <c r="J523" s="336"/>
      <c r="K523" s="336"/>
      <c r="L523" s="336"/>
      <c r="M523" s="336"/>
      <c r="N523" s="336"/>
      <c r="O523" s="336"/>
      <c r="P523" s="336"/>
      <c r="Q523" s="336"/>
    </row>
    <row r="524" ht="15.75" customHeight="1">
      <c r="A524" s="336"/>
      <c r="B524" s="336"/>
      <c r="C524" s="336"/>
      <c r="D524" s="336"/>
      <c r="E524" s="336"/>
      <c r="F524" s="336"/>
      <c r="G524" s="336"/>
      <c r="H524" s="336"/>
      <c r="I524" s="336"/>
      <c r="J524" s="336"/>
      <c r="K524" s="336"/>
      <c r="L524" s="336"/>
      <c r="M524" s="336"/>
      <c r="N524" s="336"/>
      <c r="O524" s="336"/>
      <c r="P524" s="336"/>
      <c r="Q524" s="336"/>
    </row>
    <row r="525" ht="15.75" customHeight="1">
      <c r="A525" s="336"/>
      <c r="B525" s="336"/>
      <c r="C525" s="336"/>
      <c r="D525" s="336"/>
      <c r="E525" s="336"/>
      <c r="F525" s="336"/>
      <c r="G525" s="336"/>
      <c r="H525" s="336"/>
      <c r="I525" s="336"/>
      <c r="J525" s="336"/>
      <c r="K525" s="336"/>
      <c r="L525" s="336"/>
      <c r="M525" s="336"/>
      <c r="N525" s="336"/>
      <c r="O525" s="336"/>
      <c r="P525" s="336"/>
      <c r="Q525" s="336"/>
    </row>
    <row r="526" ht="15.75" customHeight="1">
      <c r="A526" s="336"/>
      <c r="B526" s="336"/>
      <c r="C526" s="336"/>
      <c r="D526" s="336"/>
      <c r="E526" s="336"/>
      <c r="F526" s="336"/>
      <c r="G526" s="336"/>
      <c r="H526" s="336"/>
      <c r="I526" s="336"/>
      <c r="J526" s="336"/>
      <c r="K526" s="336"/>
      <c r="L526" s="336"/>
      <c r="M526" s="336"/>
      <c r="N526" s="336"/>
      <c r="O526" s="336"/>
      <c r="P526" s="336"/>
      <c r="Q526" s="336"/>
    </row>
    <row r="527" ht="15.75" customHeight="1">
      <c r="A527" s="336"/>
      <c r="B527" s="336"/>
      <c r="C527" s="336"/>
      <c r="D527" s="336"/>
      <c r="E527" s="336"/>
      <c r="F527" s="336"/>
      <c r="G527" s="336"/>
      <c r="H527" s="336"/>
      <c r="I527" s="336"/>
      <c r="J527" s="336"/>
      <c r="K527" s="336"/>
      <c r="L527" s="336"/>
      <c r="M527" s="336"/>
      <c r="N527" s="336"/>
      <c r="O527" s="336"/>
      <c r="P527" s="336"/>
      <c r="Q527" s="336"/>
    </row>
    <row r="528" ht="15.75" customHeight="1">
      <c r="A528" s="336"/>
      <c r="B528" s="336"/>
      <c r="C528" s="336"/>
      <c r="D528" s="336"/>
      <c r="E528" s="336"/>
      <c r="F528" s="336"/>
      <c r="G528" s="336"/>
      <c r="H528" s="336"/>
      <c r="I528" s="336"/>
      <c r="J528" s="336"/>
      <c r="K528" s="336"/>
      <c r="L528" s="336"/>
      <c r="M528" s="336"/>
      <c r="N528" s="336"/>
      <c r="O528" s="336"/>
      <c r="P528" s="336"/>
      <c r="Q528" s="336"/>
    </row>
    <row r="529" ht="15.75" customHeight="1">
      <c r="A529" s="336"/>
      <c r="B529" s="336"/>
      <c r="C529" s="336"/>
      <c r="D529" s="336"/>
      <c r="E529" s="336"/>
      <c r="F529" s="336"/>
      <c r="G529" s="336"/>
      <c r="H529" s="336"/>
      <c r="I529" s="336"/>
      <c r="J529" s="336"/>
      <c r="K529" s="336"/>
      <c r="L529" s="336"/>
      <c r="M529" s="336"/>
      <c r="N529" s="336"/>
      <c r="O529" s="336"/>
      <c r="P529" s="336"/>
      <c r="Q529" s="336"/>
    </row>
    <row r="530" ht="15.75" customHeight="1">
      <c r="A530" s="336"/>
      <c r="B530" s="336"/>
      <c r="C530" s="336"/>
      <c r="D530" s="336"/>
      <c r="E530" s="336"/>
      <c r="F530" s="336"/>
      <c r="G530" s="336"/>
      <c r="H530" s="336"/>
      <c r="I530" s="336"/>
      <c r="J530" s="336"/>
      <c r="K530" s="336"/>
      <c r="L530" s="336"/>
      <c r="M530" s="336"/>
      <c r="N530" s="336"/>
      <c r="O530" s="336"/>
      <c r="P530" s="336"/>
      <c r="Q530" s="336"/>
    </row>
    <row r="531" ht="15.75" customHeight="1">
      <c r="A531" s="336"/>
      <c r="B531" s="336"/>
      <c r="C531" s="336"/>
      <c r="D531" s="336"/>
      <c r="E531" s="336"/>
      <c r="F531" s="336"/>
      <c r="G531" s="336"/>
      <c r="H531" s="336"/>
      <c r="I531" s="336"/>
      <c r="J531" s="336"/>
      <c r="K531" s="336"/>
      <c r="L531" s="336"/>
      <c r="M531" s="336"/>
      <c r="N531" s="336"/>
      <c r="O531" s="336"/>
      <c r="P531" s="336"/>
      <c r="Q531" s="336"/>
    </row>
    <row r="532" ht="15.75" customHeight="1">
      <c r="A532" s="336"/>
      <c r="B532" s="336"/>
      <c r="C532" s="336"/>
      <c r="D532" s="336"/>
      <c r="E532" s="336"/>
      <c r="F532" s="336"/>
      <c r="G532" s="336"/>
      <c r="H532" s="336"/>
      <c r="I532" s="336"/>
      <c r="J532" s="336"/>
      <c r="K532" s="336"/>
      <c r="L532" s="336"/>
      <c r="M532" s="336"/>
      <c r="N532" s="336"/>
      <c r="O532" s="336"/>
      <c r="P532" s="336"/>
      <c r="Q532" s="336"/>
    </row>
    <row r="533" ht="15.75" customHeight="1">
      <c r="A533" s="336"/>
      <c r="B533" s="336"/>
      <c r="C533" s="336"/>
      <c r="D533" s="336"/>
      <c r="E533" s="336"/>
      <c r="F533" s="336"/>
      <c r="G533" s="336"/>
      <c r="H533" s="336"/>
      <c r="I533" s="336"/>
      <c r="J533" s="336"/>
      <c r="K533" s="336"/>
      <c r="L533" s="336"/>
      <c r="M533" s="336"/>
      <c r="N533" s="336"/>
      <c r="O533" s="336"/>
      <c r="P533" s="336"/>
      <c r="Q533" s="336"/>
    </row>
    <row r="534" ht="15.75" customHeight="1">
      <c r="A534" s="336"/>
      <c r="B534" s="336"/>
      <c r="C534" s="336"/>
      <c r="D534" s="336"/>
      <c r="E534" s="336"/>
      <c r="F534" s="336"/>
      <c r="G534" s="336"/>
      <c r="H534" s="336"/>
      <c r="I534" s="336"/>
      <c r="J534" s="336"/>
      <c r="K534" s="336"/>
      <c r="L534" s="336"/>
      <c r="M534" s="336"/>
      <c r="N534" s="336"/>
      <c r="O534" s="336"/>
      <c r="P534" s="336"/>
      <c r="Q534" s="336"/>
    </row>
    <row r="535" ht="15.75" customHeight="1">
      <c r="A535" s="336"/>
      <c r="B535" s="336"/>
      <c r="C535" s="336"/>
      <c r="D535" s="336"/>
      <c r="E535" s="336"/>
      <c r="F535" s="336"/>
      <c r="G535" s="336"/>
      <c r="H535" s="336"/>
      <c r="I535" s="336"/>
      <c r="J535" s="336"/>
      <c r="K535" s="336"/>
      <c r="L535" s="336"/>
      <c r="M535" s="336"/>
      <c r="N535" s="336"/>
      <c r="O535" s="336"/>
      <c r="P535" s="336"/>
      <c r="Q535" s="336"/>
    </row>
    <row r="536" ht="15.75" customHeight="1">
      <c r="A536" s="336"/>
      <c r="B536" s="336"/>
      <c r="C536" s="336"/>
      <c r="D536" s="336"/>
      <c r="E536" s="336"/>
      <c r="F536" s="336"/>
      <c r="G536" s="336"/>
      <c r="H536" s="336"/>
      <c r="I536" s="336"/>
      <c r="J536" s="336"/>
      <c r="K536" s="336"/>
      <c r="L536" s="336"/>
      <c r="M536" s="336"/>
      <c r="N536" s="336"/>
      <c r="O536" s="336"/>
      <c r="P536" s="336"/>
      <c r="Q536" s="336"/>
    </row>
    <row r="537" ht="15.75" customHeight="1">
      <c r="A537" s="336"/>
      <c r="B537" s="336"/>
      <c r="C537" s="336"/>
      <c r="D537" s="336"/>
      <c r="E537" s="336"/>
      <c r="F537" s="336"/>
      <c r="G537" s="336"/>
      <c r="H537" s="336"/>
      <c r="I537" s="336"/>
      <c r="J537" s="336"/>
      <c r="K537" s="336"/>
      <c r="L537" s="336"/>
      <c r="M537" s="336"/>
      <c r="N537" s="336"/>
      <c r="O537" s="336"/>
      <c r="P537" s="336"/>
      <c r="Q537" s="336"/>
    </row>
    <row r="538" ht="15.75" customHeight="1">
      <c r="A538" s="336"/>
      <c r="B538" s="336"/>
      <c r="C538" s="336"/>
      <c r="D538" s="336"/>
      <c r="E538" s="336"/>
      <c r="F538" s="336"/>
      <c r="G538" s="336"/>
      <c r="H538" s="336"/>
      <c r="I538" s="336"/>
      <c r="J538" s="336"/>
      <c r="K538" s="336"/>
      <c r="L538" s="336"/>
      <c r="M538" s="336"/>
      <c r="N538" s="336"/>
      <c r="O538" s="336"/>
      <c r="P538" s="336"/>
      <c r="Q538" s="336"/>
    </row>
    <row r="539" ht="15.75" customHeight="1">
      <c r="A539" s="336"/>
      <c r="B539" s="336"/>
      <c r="C539" s="336"/>
      <c r="D539" s="336"/>
      <c r="E539" s="336"/>
      <c r="F539" s="336"/>
      <c r="G539" s="336"/>
      <c r="H539" s="336"/>
      <c r="I539" s="336"/>
      <c r="J539" s="336"/>
      <c r="K539" s="336"/>
      <c r="L539" s="336"/>
      <c r="M539" s="336"/>
      <c r="N539" s="336"/>
      <c r="O539" s="336"/>
      <c r="P539" s="336"/>
      <c r="Q539" s="336"/>
    </row>
    <row r="540" ht="15.75" customHeight="1">
      <c r="A540" s="336"/>
      <c r="B540" s="336"/>
      <c r="C540" s="336"/>
      <c r="D540" s="336"/>
      <c r="E540" s="336"/>
      <c r="F540" s="336"/>
      <c r="G540" s="336"/>
      <c r="H540" s="336"/>
      <c r="I540" s="336"/>
      <c r="J540" s="336"/>
      <c r="K540" s="336"/>
      <c r="L540" s="336"/>
      <c r="M540" s="336"/>
      <c r="N540" s="336"/>
      <c r="O540" s="336"/>
      <c r="P540" s="336"/>
      <c r="Q540" s="336"/>
    </row>
    <row r="541" ht="15.75" customHeight="1">
      <c r="A541" s="336"/>
      <c r="B541" s="336"/>
      <c r="C541" s="336"/>
      <c r="D541" s="336"/>
      <c r="E541" s="336"/>
      <c r="F541" s="336"/>
      <c r="G541" s="336"/>
      <c r="H541" s="336"/>
      <c r="I541" s="336"/>
      <c r="J541" s="336"/>
      <c r="K541" s="336"/>
      <c r="L541" s="336"/>
      <c r="M541" s="336"/>
      <c r="N541" s="336"/>
      <c r="O541" s="336"/>
      <c r="P541" s="336"/>
      <c r="Q541" s="336"/>
    </row>
    <row r="542" ht="15.75" customHeight="1">
      <c r="A542" s="336"/>
      <c r="B542" s="336"/>
      <c r="C542" s="336"/>
      <c r="D542" s="336"/>
      <c r="E542" s="336"/>
      <c r="F542" s="336"/>
      <c r="G542" s="336"/>
      <c r="H542" s="336"/>
      <c r="I542" s="336"/>
      <c r="J542" s="336"/>
      <c r="K542" s="336"/>
      <c r="L542" s="336"/>
      <c r="M542" s="336"/>
      <c r="N542" s="336"/>
      <c r="O542" s="336"/>
      <c r="P542" s="336"/>
      <c r="Q542" s="336"/>
    </row>
    <row r="543" ht="15.75" customHeight="1">
      <c r="A543" s="336"/>
      <c r="B543" s="336"/>
      <c r="C543" s="336"/>
      <c r="D543" s="336"/>
      <c r="E543" s="336"/>
      <c r="F543" s="336"/>
      <c r="G543" s="336"/>
      <c r="H543" s="336"/>
      <c r="I543" s="336"/>
      <c r="J543" s="336"/>
      <c r="K543" s="336"/>
      <c r="L543" s="336"/>
      <c r="M543" s="336"/>
      <c r="N543" s="336"/>
      <c r="O543" s="336"/>
      <c r="P543" s="336"/>
      <c r="Q543" s="336"/>
    </row>
    <row r="544" ht="15.75" customHeight="1">
      <c r="A544" s="336"/>
      <c r="B544" s="336"/>
      <c r="C544" s="336"/>
      <c r="D544" s="336"/>
      <c r="E544" s="336"/>
      <c r="F544" s="336"/>
      <c r="G544" s="336"/>
      <c r="H544" s="336"/>
      <c r="I544" s="336"/>
      <c r="J544" s="336"/>
      <c r="K544" s="336"/>
      <c r="L544" s="336"/>
      <c r="M544" s="336"/>
      <c r="N544" s="336"/>
      <c r="O544" s="336"/>
      <c r="P544" s="336"/>
      <c r="Q544" s="336"/>
    </row>
    <row r="545" ht="15.75" customHeight="1">
      <c r="A545" s="336"/>
      <c r="B545" s="336"/>
      <c r="C545" s="336"/>
      <c r="D545" s="336"/>
      <c r="E545" s="336"/>
      <c r="F545" s="336"/>
      <c r="G545" s="336"/>
      <c r="H545" s="336"/>
      <c r="I545" s="336"/>
      <c r="J545" s="336"/>
      <c r="K545" s="336"/>
      <c r="L545" s="336"/>
      <c r="M545" s="336"/>
      <c r="N545" s="336"/>
      <c r="O545" s="336"/>
      <c r="P545" s="336"/>
      <c r="Q545" s="336"/>
    </row>
    <row r="546" ht="15.75" customHeight="1">
      <c r="A546" s="336"/>
      <c r="B546" s="336"/>
      <c r="C546" s="336"/>
      <c r="D546" s="336"/>
      <c r="E546" s="336"/>
      <c r="F546" s="336"/>
      <c r="G546" s="336"/>
      <c r="H546" s="336"/>
      <c r="I546" s="336"/>
      <c r="J546" s="336"/>
      <c r="K546" s="336"/>
      <c r="L546" s="336"/>
      <c r="M546" s="336"/>
      <c r="N546" s="336"/>
      <c r="O546" s="336"/>
      <c r="P546" s="336"/>
      <c r="Q546" s="336"/>
    </row>
    <row r="547" ht="15.75" customHeight="1">
      <c r="A547" s="336"/>
      <c r="B547" s="336"/>
      <c r="C547" s="336"/>
      <c r="D547" s="336"/>
      <c r="E547" s="336"/>
      <c r="F547" s="336"/>
      <c r="G547" s="336"/>
      <c r="H547" s="336"/>
      <c r="I547" s="336"/>
      <c r="J547" s="336"/>
      <c r="K547" s="336"/>
      <c r="L547" s="336"/>
      <c r="M547" s="336"/>
      <c r="N547" s="336"/>
      <c r="O547" s="336"/>
      <c r="P547" s="336"/>
      <c r="Q547" s="336"/>
    </row>
    <row r="548" ht="15.75" customHeight="1">
      <c r="A548" s="336"/>
      <c r="B548" s="336"/>
      <c r="C548" s="336"/>
      <c r="D548" s="336"/>
      <c r="E548" s="336"/>
      <c r="F548" s="336"/>
      <c r="G548" s="336"/>
      <c r="H548" s="336"/>
      <c r="I548" s="336"/>
      <c r="J548" s="336"/>
      <c r="K548" s="336"/>
      <c r="L548" s="336"/>
      <c r="M548" s="336"/>
      <c r="N548" s="336"/>
      <c r="O548" s="336"/>
      <c r="P548" s="336"/>
      <c r="Q548" s="336"/>
    </row>
    <row r="549" ht="15.75" customHeight="1">
      <c r="A549" s="336"/>
      <c r="B549" s="336"/>
      <c r="C549" s="336"/>
      <c r="D549" s="336"/>
      <c r="E549" s="336"/>
      <c r="F549" s="336"/>
      <c r="G549" s="336"/>
      <c r="H549" s="336"/>
      <c r="I549" s="336"/>
      <c r="J549" s="336"/>
      <c r="K549" s="336"/>
      <c r="L549" s="336"/>
      <c r="M549" s="336"/>
      <c r="N549" s="336"/>
      <c r="O549" s="336"/>
      <c r="P549" s="336"/>
      <c r="Q549" s="336"/>
    </row>
    <row r="550" ht="15.75" customHeight="1">
      <c r="A550" s="336"/>
      <c r="B550" s="336"/>
      <c r="C550" s="336"/>
      <c r="D550" s="336"/>
      <c r="E550" s="336"/>
      <c r="F550" s="336"/>
      <c r="G550" s="336"/>
      <c r="H550" s="336"/>
      <c r="I550" s="336"/>
      <c r="J550" s="336"/>
      <c r="K550" s="336"/>
      <c r="L550" s="336"/>
      <c r="M550" s="336"/>
      <c r="N550" s="336"/>
      <c r="O550" s="336"/>
      <c r="P550" s="336"/>
      <c r="Q550" s="336"/>
    </row>
    <row r="551" ht="15.75" customHeight="1">
      <c r="A551" s="336"/>
      <c r="B551" s="336"/>
      <c r="C551" s="336"/>
      <c r="D551" s="336"/>
      <c r="E551" s="336"/>
      <c r="F551" s="336"/>
      <c r="G551" s="336"/>
      <c r="H551" s="336"/>
      <c r="I551" s="336"/>
      <c r="J551" s="336"/>
      <c r="K551" s="336"/>
      <c r="L551" s="336"/>
      <c r="M551" s="336"/>
      <c r="N551" s="336"/>
      <c r="O551" s="336"/>
      <c r="P551" s="336"/>
      <c r="Q551" s="336"/>
    </row>
    <row r="552" ht="15.75" customHeight="1">
      <c r="A552" s="336"/>
      <c r="B552" s="336"/>
      <c r="C552" s="336"/>
      <c r="D552" s="336"/>
      <c r="E552" s="336"/>
      <c r="F552" s="336"/>
      <c r="G552" s="336"/>
      <c r="H552" s="336"/>
      <c r="I552" s="336"/>
      <c r="J552" s="336"/>
      <c r="K552" s="336"/>
      <c r="L552" s="336"/>
      <c r="M552" s="336"/>
      <c r="N552" s="336"/>
      <c r="O552" s="336"/>
      <c r="P552" s="336"/>
      <c r="Q552" s="336"/>
    </row>
    <row r="553" ht="15.75" customHeight="1">
      <c r="A553" s="336"/>
      <c r="B553" s="336"/>
      <c r="C553" s="336"/>
      <c r="D553" s="336"/>
      <c r="E553" s="336"/>
      <c r="F553" s="336"/>
      <c r="G553" s="336"/>
      <c r="H553" s="336"/>
      <c r="I553" s="336"/>
      <c r="J553" s="336"/>
      <c r="K553" s="336"/>
      <c r="L553" s="336"/>
      <c r="M553" s="336"/>
      <c r="N553" s="336"/>
      <c r="O553" s="336"/>
      <c r="P553" s="336"/>
      <c r="Q553" s="336"/>
    </row>
    <row r="554" ht="15.75" customHeight="1">
      <c r="A554" s="336"/>
      <c r="B554" s="336"/>
      <c r="C554" s="336"/>
      <c r="D554" s="336"/>
      <c r="E554" s="336"/>
      <c r="F554" s="336"/>
      <c r="G554" s="336"/>
      <c r="H554" s="336"/>
      <c r="I554" s="336"/>
      <c r="J554" s="336"/>
      <c r="K554" s="336"/>
      <c r="L554" s="336"/>
      <c r="M554" s="336"/>
      <c r="N554" s="336"/>
      <c r="O554" s="336"/>
      <c r="P554" s="336"/>
      <c r="Q554" s="336"/>
    </row>
    <row r="555" ht="15.75" customHeight="1">
      <c r="A555" s="336"/>
      <c r="B555" s="336"/>
      <c r="C555" s="336"/>
      <c r="D555" s="336"/>
      <c r="E555" s="336"/>
      <c r="F555" s="336"/>
      <c r="G555" s="336"/>
      <c r="H555" s="336"/>
      <c r="I555" s="336"/>
      <c r="J555" s="336"/>
      <c r="K555" s="336"/>
      <c r="L555" s="336"/>
      <c r="M555" s="336"/>
      <c r="N555" s="336"/>
      <c r="O555" s="336"/>
      <c r="P555" s="336"/>
      <c r="Q555" s="336"/>
    </row>
    <row r="556" ht="15.75" customHeight="1">
      <c r="A556" s="336"/>
      <c r="B556" s="336"/>
      <c r="C556" s="336"/>
      <c r="D556" s="336"/>
      <c r="E556" s="336"/>
      <c r="F556" s="336"/>
      <c r="G556" s="336"/>
      <c r="H556" s="336"/>
      <c r="I556" s="336"/>
      <c r="J556" s="336"/>
      <c r="K556" s="336"/>
      <c r="L556" s="336"/>
      <c r="M556" s="336"/>
      <c r="N556" s="336"/>
      <c r="O556" s="336"/>
      <c r="P556" s="336"/>
      <c r="Q556" s="336"/>
    </row>
    <row r="557" ht="15.75" customHeight="1">
      <c r="A557" s="336"/>
      <c r="B557" s="336"/>
      <c r="C557" s="336"/>
      <c r="D557" s="336"/>
      <c r="E557" s="336"/>
      <c r="F557" s="336"/>
      <c r="G557" s="336"/>
      <c r="H557" s="336"/>
      <c r="I557" s="336"/>
      <c r="J557" s="336"/>
      <c r="K557" s="336"/>
      <c r="L557" s="336"/>
      <c r="M557" s="336"/>
      <c r="N557" s="336"/>
      <c r="O557" s="336"/>
      <c r="P557" s="336"/>
      <c r="Q557" s="336"/>
    </row>
    <row r="558" ht="15.75" customHeight="1">
      <c r="A558" s="336"/>
      <c r="B558" s="336"/>
      <c r="C558" s="336"/>
      <c r="D558" s="336"/>
      <c r="E558" s="336"/>
      <c r="F558" s="336"/>
      <c r="G558" s="336"/>
      <c r="H558" s="336"/>
      <c r="I558" s="336"/>
      <c r="J558" s="336"/>
      <c r="K558" s="336"/>
      <c r="L558" s="336"/>
      <c r="M558" s="336"/>
      <c r="N558" s="336"/>
      <c r="O558" s="336"/>
      <c r="P558" s="336"/>
      <c r="Q558" s="336"/>
    </row>
    <row r="559" ht="15.75" customHeight="1">
      <c r="A559" s="336"/>
      <c r="B559" s="336"/>
      <c r="C559" s="336"/>
      <c r="D559" s="336"/>
      <c r="E559" s="336"/>
      <c r="F559" s="336"/>
      <c r="G559" s="336"/>
      <c r="H559" s="336"/>
      <c r="I559" s="336"/>
      <c r="J559" s="336"/>
      <c r="K559" s="336"/>
      <c r="L559" s="336"/>
      <c r="M559" s="336"/>
      <c r="N559" s="336"/>
      <c r="O559" s="336"/>
      <c r="P559" s="336"/>
      <c r="Q559" s="336"/>
    </row>
    <row r="560" ht="15.75" customHeight="1">
      <c r="A560" s="336"/>
      <c r="B560" s="336"/>
      <c r="C560" s="336"/>
      <c r="D560" s="336"/>
      <c r="E560" s="336"/>
      <c r="F560" s="336"/>
      <c r="G560" s="336"/>
      <c r="H560" s="336"/>
      <c r="I560" s="336"/>
      <c r="J560" s="336"/>
      <c r="K560" s="336"/>
      <c r="L560" s="336"/>
      <c r="M560" s="336"/>
      <c r="N560" s="336"/>
      <c r="O560" s="336"/>
      <c r="P560" s="336"/>
      <c r="Q560" s="336"/>
    </row>
    <row r="561" ht="15.75" customHeight="1">
      <c r="A561" s="336"/>
      <c r="B561" s="336"/>
      <c r="C561" s="336"/>
      <c r="D561" s="336"/>
      <c r="E561" s="336"/>
      <c r="F561" s="336"/>
      <c r="G561" s="336"/>
      <c r="H561" s="336"/>
      <c r="I561" s="336"/>
      <c r="J561" s="336"/>
      <c r="K561" s="336"/>
      <c r="L561" s="336"/>
      <c r="M561" s="336"/>
      <c r="N561" s="336"/>
      <c r="O561" s="336"/>
      <c r="P561" s="336"/>
      <c r="Q561" s="336"/>
    </row>
    <row r="562" ht="15.75" customHeight="1">
      <c r="A562" s="336"/>
      <c r="B562" s="336"/>
      <c r="C562" s="336"/>
      <c r="D562" s="336"/>
      <c r="E562" s="336"/>
      <c r="F562" s="336"/>
      <c r="G562" s="336"/>
      <c r="H562" s="336"/>
      <c r="I562" s="336"/>
      <c r="J562" s="336"/>
      <c r="K562" s="336"/>
      <c r="L562" s="336"/>
      <c r="M562" s="336"/>
      <c r="N562" s="336"/>
      <c r="O562" s="336"/>
      <c r="P562" s="336"/>
      <c r="Q562" s="336"/>
    </row>
    <row r="563" ht="15.75" customHeight="1">
      <c r="A563" s="336"/>
      <c r="B563" s="336"/>
      <c r="C563" s="336"/>
      <c r="D563" s="336"/>
      <c r="E563" s="336"/>
      <c r="F563" s="336"/>
      <c r="G563" s="336"/>
      <c r="H563" s="336"/>
      <c r="I563" s="336"/>
      <c r="J563" s="336"/>
      <c r="K563" s="336"/>
      <c r="L563" s="336"/>
      <c r="M563" s="336"/>
      <c r="N563" s="336"/>
      <c r="O563" s="336"/>
      <c r="P563" s="336"/>
      <c r="Q563" s="336"/>
    </row>
    <row r="564" ht="15.75" customHeight="1">
      <c r="A564" s="336"/>
      <c r="B564" s="336"/>
      <c r="C564" s="336"/>
      <c r="D564" s="336"/>
      <c r="E564" s="336"/>
      <c r="F564" s="336"/>
      <c r="G564" s="336"/>
      <c r="H564" s="336"/>
      <c r="I564" s="336"/>
      <c r="J564" s="336"/>
      <c r="K564" s="336"/>
      <c r="L564" s="336"/>
      <c r="M564" s="336"/>
      <c r="N564" s="336"/>
      <c r="O564" s="336"/>
      <c r="P564" s="336"/>
      <c r="Q564" s="336"/>
    </row>
    <row r="565" ht="15.75" customHeight="1">
      <c r="A565" s="336"/>
      <c r="B565" s="336"/>
      <c r="C565" s="336"/>
      <c r="D565" s="336"/>
      <c r="E565" s="336"/>
      <c r="F565" s="336"/>
      <c r="G565" s="336"/>
      <c r="H565" s="336"/>
      <c r="I565" s="336"/>
      <c r="J565" s="336"/>
      <c r="K565" s="336"/>
      <c r="L565" s="336"/>
      <c r="M565" s="336"/>
      <c r="N565" s="336"/>
      <c r="O565" s="336"/>
      <c r="P565" s="336"/>
      <c r="Q565" s="336"/>
    </row>
    <row r="566" ht="15.75" customHeight="1">
      <c r="A566" s="336"/>
      <c r="B566" s="336"/>
      <c r="C566" s="336"/>
      <c r="D566" s="336"/>
      <c r="E566" s="336"/>
      <c r="F566" s="336"/>
      <c r="G566" s="336"/>
      <c r="H566" s="336"/>
      <c r="I566" s="336"/>
      <c r="J566" s="336"/>
      <c r="K566" s="336"/>
      <c r="L566" s="336"/>
      <c r="M566" s="336"/>
      <c r="N566" s="336"/>
      <c r="O566" s="336"/>
      <c r="P566" s="336"/>
      <c r="Q566" s="336"/>
    </row>
    <row r="567" ht="15.75" customHeight="1">
      <c r="A567" s="336"/>
      <c r="B567" s="336"/>
      <c r="C567" s="336"/>
      <c r="D567" s="336"/>
      <c r="E567" s="336"/>
      <c r="F567" s="336"/>
      <c r="G567" s="336"/>
      <c r="H567" s="336"/>
      <c r="I567" s="336"/>
      <c r="J567" s="336"/>
      <c r="K567" s="336"/>
      <c r="L567" s="336"/>
      <c r="M567" s="336"/>
      <c r="N567" s="336"/>
      <c r="O567" s="336"/>
      <c r="P567" s="336"/>
      <c r="Q567" s="336"/>
    </row>
    <row r="568" ht="15.75" customHeight="1">
      <c r="A568" s="336"/>
      <c r="B568" s="336"/>
      <c r="C568" s="336"/>
      <c r="D568" s="336"/>
      <c r="E568" s="336"/>
      <c r="F568" s="336"/>
      <c r="G568" s="336"/>
      <c r="H568" s="336"/>
      <c r="I568" s="336"/>
      <c r="J568" s="336"/>
      <c r="K568" s="336"/>
      <c r="L568" s="336"/>
      <c r="M568" s="336"/>
      <c r="N568" s="336"/>
      <c r="O568" s="336"/>
      <c r="P568" s="336"/>
      <c r="Q568" s="336"/>
    </row>
    <row r="569" ht="15.75" customHeight="1">
      <c r="A569" s="336"/>
      <c r="B569" s="336"/>
      <c r="C569" s="336"/>
      <c r="D569" s="336"/>
      <c r="E569" s="336"/>
      <c r="F569" s="336"/>
      <c r="G569" s="336"/>
      <c r="H569" s="336"/>
      <c r="I569" s="336"/>
      <c r="J569" s="336"/>
      <c r="K569" s="336"/>
      <c r="L569" s="336"/>
      <c r="M569" s="336"/>
      <c r="N569" s="336"/>
      <c r="O569" s="336"/>
      <c r="P569" s="336"/>
      <c r="Q569" s="336"/>
    </row>
    <row r="570" ht="15.75" customHeight="1">
      <c r="A570" s="336"/>
      <c r="B570" s="336"/>
      <c r="C570" s="336"/>
      <c r="D570" s="336"/>
      <c r="E570" s="336"/>
      <c r="F570" s="336"/>
      <c r="G570" s="336"/>
      <c r="H570" s="336"/>
      <c r="I570" s="336"/>
      <c r="J570" s="336"/>
      <c r="K570" s="336"/>
      <c r="L570" s="336"/>
      <c r="M570" s="336"/>
      <c r="N570" s="336"/>
      <c r="O570" s="336"/>
      <c r="P570" s="336"/>
      <c r="Q570" s="336"/>
    </row>
    <row r="571" ht="15.75" customHeight="1">
      <c r="A571" s="336"/>
      <c r="B571" s="336"/>
      <c r="C571" s="336"/>
      <c r="D571" s="336"/>
      <c r="E571" s="336"/>
      <c r="F571" s="336"/>
      <c r="G571" s="336"/>
      <c r="H571" s="336"/>
      <c r="I571" s="336"/>
      <c r="J571" s="336"/>
      <c r="K571" s="336"/>
      <c r="L571" s="336"/>
      <c r="M571" s="336"/>
      <c r="N571" s="336"/>
      <c r="O571" s="336"/>
      <c r="P571" s="336"/>
      <c r="Q571" s="336"/>
    </row>
    <row r="572" ht="15.75" customHeight="1">
      <c r="A572" s="336"/>
      <c r="B572" s="336"/>
      <c r="C572" s="336"/>
      <c r="D572" s="336"/>
      <c r="E572" s="336"/>
      <c r="F572" s="336"/>
      <c r="G572" s="336"/>
      <c r="H572" s="336"/>
      <c r="I572" s="336"/>
      <c r="J572" s="336"/>
      <c r="K572" s="336"/>
      <c r="L572" s="336"/>
      <c r="M572" s="336"/>
      <c r="N572" s="336"/>
      <c r="O572" s="336"/>
      <c r="P572" s="336"/>
      <c r="Q572" s="336"/>
    </row>
    <row r="573" ht="15.75" customHeight="1">
      <c r="A573" s="336"/>
      <c r="B573" s="336"/>
      <c r="C573" s="336"/>
      <c r="D573" s="336"/>
      <c r="E573" s="336"/>
      <c r="F573" s="336"/>
      <c r="G573" s="336"/>
      <c r="H573" s="336"/>
      <c r="I573" s="336"/>
      <c r="J573" s="336"/>
      <c r="K573" s="336"/>
      <c r="L573" s="336"/>
      <c r="M573" s="336"/>
      <c r="N573" s="336"/>
      <c r="O573" s="336"/>
      <c r="P573" s="336"/>
      <c r="Q573" s="336"/>
    </row>
    <row r="574" ht="15.75" customHeight="1">
      <c r="A574" s="336"/>
      <c r="B574" s="336"/>
      <c r="C574" s="336"/>
      <c r="D574" s="336"/>
      <c r="E574" s="336"/>
      <c r="F574" s="336"/>
      <c r="G574" s="336"/>
      <c r="H574" s="336"/>
      <c r="I574" s="336"/>
      <c r="J574" s="336"/>
      <c r="K574" s="336"/>
      <c r="L574" s="336"/>
      <c r="M574" s="336"/>
      <c r="N574" s="336"/>
      <c r="O574" s="336"/>
      <c r="P574" s="336"/>
      <c r="Q574" s="336"/>
    </row>
    <row r="575" ht="15.75" customHeight="1">
      <c r="A575" s="336"/>
      <c r="B575" s="336"/>
      <c r="C575" s="336"/>
      <c r="D575" s="336"/>
      <c r="E575" s="336"/>
      <c r="F575" s="336"/>
      <c r="G575" s="336"/>
      <c r="H575" s="336"/>
      <c r="I575" s="336"/>
      <c r="J575" s="336"/>
      <c r="K575" s="336"/>
      <c r="L575" s="336"/>
      <c r="M575" s="336"/>
      <c r="N575" s="336"/>
      <c r="O575" s="336"/>
      <c r="P575" s="336"/>
      <c r="Q575" s="336"/>
    </row>
    <row r="576" ht="15.75" customHeight="1">
      <c r="A576" s="336"/>
      <c r="B576" s="336"/>
      <c r="C576" s="336"/>
      <c r="D576" s="336"/>
      <c r="E576" s="336"/>
      <c r="F576" s="336"/>
      <c r="G576" s="336"/>
      <c r="H576" s="336"/>
      <c r="I576" s="336"/>
      <c r="J576" s="336"/>
      <c r="K576" s="336"/>
      <c r="L576" s="336"/>
      <c r="M576" s="336"/>
      <c r="N576" s="336"/>
      <c r="O576" s="336"/>
      <c r="P576" s="336"/>
      <c r="Q576" s="336"/>
    </row>
    <row r="577" ht="15.75" customHeight="1">
      <c r="A577" s="336"/>
      <c r="B577" s="336"/>
      <c r="C577" s="336"/>
      <c r="D577" s="336"/>
      <c r="E577" s="336"/>
      <c r="F577" s="336"/>
      <c r="G577" s="336"/>
      <c r="H577" s="336"/>
      <c r="I577" s="336"/>
      <c r="J577" s="336"/>
      <c r="K577" s="336"/>
      <c r="L577" s="336"/>
      <c r="M577" s="336"/>
      <c r="N577" s="336"/>
      <c r="O577" s="336"/>
      <c r="P577" s="336"/>
      <c r="Q577" s="336"/>
    </row>
    <row r="578" ht="15.75" customHeight="1">
      <c r="A578" s="336"/>
      <c r="B578" s="336"/>
      <c r="C578" s="336"/>
      <c r="D578" s="336"/>
      <c r="E578" s="336"/>
      <c r="F578" s="336"/>
      <c r="G578" s="336"/>
      <c r="H578" s="336"/>
      <c r="I578" s="336"/>
      <c r="J578" s="336"/>
      <c r="K578" s="336"/>
      <c r="L578" s="336"/>
      <c r="M578" s="336"/>
      <c r="N578" s="336"/>
      <c r="O578" s="336"/>
      <c r="P578" s="336"/>
      <c r="Q578" s="336"/>
    </row>
    <row r="579" ht="15.75" customHeight="1">
      <c r="A579" s="336"/>
      <c r="B579" s="336"/>
      <c r="C579" s="336"/>
      <c r="D579" s="336"/>
      <c r="E579" s="336"/>
      <c r="F579" s="336"/>
      <c r="G579" s="336"/>
      <c r="H579" s="336"/>
      <c r="I579" s="336"/>
      <c r="J579" s="336"/>
      <c r="K579" s="336"/>
      <c r="L579" s="336"/>
      <c r="M579" s="336"/>
      <c r="N579" s="336"/>
      <c r="O579" s="336"/>
      <c r="P579" s="336"/>
      <c r="Q579" s="336"/>
    </row>
    <row r="580" ht="15.75" customHeight="1">
      <c r="A580" s="336"/>
      <c r="B580" s="336"/>
      <c r="C580" s="336"/>
      <c r="D580" s="336"/>
      <c r="E580" s="336"/>
      <c r="F580" s="336"/>
      <c r="G580" s="336"/>
      <c r="H580" s="336"/>
      <c r="I580" s="336"/>
      <c r="J580" s="336"/>
      <c r="K580" s="336"/>
      <c r="L580" s="336"/>
      <c r="M580" s="336"/>
      <c r="N580" s="336"/>
      <c r="O580" s="336"/>
      <c r="P580" s="336"/>
      <c r="Q580" s="336"/>
    </row>
    <row r="581" ht="15.75" customHeight="1">
      <c r="A581" s="336"/>
      <c r="B581" s="336"/>
      <c r="C581" s="336"/>
      <c r="D581" s="336"/>
      <c r="E581" s="336"/>
      <c r="F581" s="336"/>
      <c r="G581" s="336"/>
      <c r="H581" s="336"/>
      <c r="I581" s="336"/>
      <c r="J581" s="336"/>
      <c r="K581" s="336"/>
      <c r="L581" s="336"/>
      <c r="M581" s="336"/>
      <c r="N581" s="336"/>
      <c r="O581" s="336"/>
      <c r="P581" s="336"/>
      <c r="Q581" s="336"/>
    </row>
    <row r="582" ht="15.75" customHeight="1">
      <c r="A582" s="336"/>
      <c r="B582" s="336"/>
      <c r="C582" s="336"/>
      <c r="D582" s="336"/>
      <c r="E582" s="336"/>
      <c r="F582" s="336"/>
      <c r="G582" s="336"/>
      <c r="H582" s="336"/>
      <c r="I582" s="336"/>
      <c r="J582" s="336"/>
      <c r="K582" s="336"/>
      <c r="L582" s="336"/>
      <c r="M582" s="336"/>
      <c r="N582" s="336"/>
      <c r="O582" s="336"/>
      <c r="P582" s="336"/>
      <c r="Q582" s="336"/>
    </row>
    <row r="583" ht="15.75" customHeight="1">
      <c r="A583" s="336"/>
      <c r="B583" s="336"/>
      <c r="C583" s="336"/>
      <c r="D583" s="336"/>
      <c r="E583" s="336"/>
      <c r="F583" s="336"/>
      <c r="G583" s="336"/>
      <c r="H583" s="336"/>
      <c r="I583" s="336"/>
      <c r="J583" s="336"/>
      <c r="K583" s="336"/>
      <c r="L583" s="336"/>
      <c r="M583" s="336"/>
      <c r="N583" s="336"/>
      <c r="O583" s="336"/>
      <c r="P583" s="336"/>
      <c r="Q583" s="336"/>
    </row>
    <row r="584" ht="15.75" customHeight="1">
      <c r="A584" s="336"/>
      <c r="B584" s="336"/>
      <c r="C584" s="336"/>
      <c r="D584" s="336"/>
      <c r="E584" s="336"/>
      <c r="F584" s="336"/>
      <c r="G584" s="336"/>
      <c r="H584" s="336"/>
      <c r="I584" s="336"/>
      <c r="J584" s="336"/>
      <c r="K584" s="336"/>
      <c r="L584" s="336"/>
      <c r="M584" s="336"/>
      <c r="N584" s="336"/>
      <c r="O584" s="336"/>
      <c r="P584" s="336"/>
      <c r="Q584" s="336"/>
    </row>
    <row r="585" ht="15.75" customHeight="1">
      <c r="A585" s="336"/>
      <c r="B585" s="336"/>
      <c r="C585" s="336"/>
      <c r="D585" s="336"/>
      <c r="E585" s="336"/>
      <c r="F585" s="336"/>
      <c r="G585" s="336"/>
      <c r="H585" s="336"/>
      <c r="I585" s="336"/>
      <c r="J585" s="336"/>
      <c r="K585" s="336"/>
      <c r="L585" s="336"/>
      <c r="M585" s="336"/>
      <c r="N585" s="336"/>
      <c r="O585" s="336"/>
      <c r="P585" s="336"/>
      <c r="Q585" s="336"/>
    </row>
    <row r="586" ht="15.75" customHeight="1">
      <c r="A586" s="336"/>
      <c r="B586" s="336"/>
      <c r="C586" s="336"/>
      <c r="D586" s="336"/>
      <c r="E586" s="336"/>
      <c r="F586" s="336"/>
      <c r="G586" s="336"/>
      <c r="H586" s="336"/>
      <c r="I586" s="336"/>
      <c r="J586" s="336"/>
      <c r="K586" s="336"/>
      <c r="L586" s="336"/>
      <c r="M586" s="336"/>
      <c r="N586" s="336"/>
      <c r="O586" s="336"/>
      <c r="P586" s="336"/>
      <c r="Q586" s="336"/>
    </row>
    <row r="587" ht="15.75" customHeight="1">
      <c r="A587" s="336"/>
      <c r="B587" s="336"/>
      <c r="C587" s="336"/>
      <c r="D587" s="336"/>
      <c r="E587" s="336"/>
      <c r="F587" s="336"/>
      <c r="G587" s="336"/>
      <c r="H587" s="336"/>
      <c r="I587" s="336"/>
      <c r="J587" s="336"/>
      <c r="K587" s="336"/>
      <c r="L587" s="336"/>
      <c r="M587" s="336"/>
      <c r="N587" s="336"/>
      <c r="O587" s="336"/>
      <c r="P587" s="336"/>
      <c r="Q587" s="336"/>
    </row>
    <row r="588" ht="15.75" customHeight="1">
      <c r="A588" s="336"/>
      <c r="B588" s="336"/>
      <c r="C588" s="336"/>
      <c r="D588" s="336"/>
      <c r="E588" s="336"/>
      <c r="F588" s="336"/>
      <c r="G588" s="336"/>
      <c r="H588" s="336"/>
      <c r="I588" s="336"/>
      <c r="J588" s="336"/>
      <c r="K588" s="336"/>
      <c r="L588" s="336"/>
      <c r="M588" s="336"/>
      <c r="N588" s="336"/>
      <c r="O588" s="336"/>
      <c r="P588" s="336"/>
      <c r="Q588" s="336"/>
    </row>
    <row r="589" ht="15.75" customHeight="1">
      <c r="A589" s="336"/>
      <c r="B589" s="336"/>
      <c r="C589" s="336"/>
      <c r="D589" s="336"/>
      <c r="E589" s="336"/>
      <c r="F589" s="336"/>
      <c r="G589" s="336"/>
      <c r="H589" s="336"/>
      <c r="I589" s="336"/>
      <c r="J589" s="336"/>
      <c r="K589" s="336"/>
      <c r="L589" s="336"/>
      <c r="M589" s="336"/>
      <c r="N589" s="336"/>
      <c r="O589" s="336"/>
      <c r="P589" s="336"/>
      <c r="Q589" s="336"/>
    </row>
    <row r="590" ht="15.75" customHeight="1">
      <c r="A590" s="336"/>
      <c r="B590" s="336"/>
      <c r="C590" s="336"/>
      <c r="D590" s="336"/>
      <c r="E590" s="336"/>
      <c r="F590" s="336"/>
      <c r="G590" s="336"/>
      <c r="H590" s="336"/>
      <c r="I590" s="336"/>
      <c r="J590" s="336"/>
      <c r="K590" s="336"/>
      <c r="L590" s="336"/>
      <c r="M590" s="336"/>
      <c r="N590" s="336"/>
      <c r="O590" s="336"/>
      <c r="P590" s="336"/>
      <c r="Q590" s="336"/>
    </row>
    <row r="591" ht="15.75" customHeight="1">
      <c r="A591" s="336"/>
      <c r="B591" s="336"/>
      <c r="C591" s="336"/>
      <c r="D591" s="336"/>
      <c r="E591" s="336"/>
      <c r="F591" s="336"/>
      <c r="G591" s="336"/>
      <c r="H591" s="336"/>
      <c r="I591" s="336"/>
      <c r="J591" s="336"/>
      <c r="K591" s="336"/>
      <c r="L591" s="336"/>
      <c r="M591" s="336"/>
      <c r="N591" s="336"/>
      <c r="O591" s="336"/>
      <c r="P591" s="336"/>
      <c r="Q591" s="336"/>
    </row>
    <row r="592" ht="15.75" customHeight="1">
      <c r="A592" s="336"/>
      <c r="B592" s="336"/>
      <c r="C592" s="336"/>
      <c r="D592" s="336"/>
      <c r="E592" s="336"/>
      <c r="F592" s="336"/>
      <c r="G592" s="336"/>
      <c r="H592" s="336"/>
      <c r="I592" s="336"/>
      <c r="J592" s="336"/>
      <c r="K592" s="336"/>
      <c r="L592" s="336"/>
      <c r="M592" s="336"/>
      <c r="N592" s="336"/>
      <c r="O592" s="336"/>
      <c r="P592" s="336"/>
      <c r="Q592" s="336"/>
    </row>
    <row r="593" ht="15.75" customHeight="1">
      <c r="A593" s="336"/>
      <c r="B593" s="336"/>
      <c r="C593" s="336"/>
      <c r="D593" s="336"/>
      <c r="E593" s="336"/>
      <c r="F593" s="336"/>
      <c r="G593" s="336"/>
      <c r="H593" s="336"/>
      <c r="I593" s="336"/>
      <c r="J593" s="336"/>
      <c r="K593" s="336"/>
      <c r="L593" s="336"/>
      <c r="M593" s="336"/>
      <c r="N593" s="336"/>
      <c r="O593" s="336"/>
      <c r="P593" s="336"/>
      <c r="Q593" s="336"/>
    </row>
    <row r="594" ht="15.75" customHeight="1">
      <c r="A594" s="336"/>
      <c r="B594" s="336"/>
      <c r="C594" s="336"/>
      <c r="D594" s="336"/>
      <c r="E594" s="336"/>
      <c r="F594" s="336"/>
      <c r="G594" s="336"/>
      <c r="H594" s="336"/>
      <c r="I594" s="336"/>
      <c r="J594" s="336"/>
      <c r="K594" s="336"/>
      <c r="L594" s="336"/>
      <c r="M594" s="336"/>
      <c r="N594" s="336"/>
      <c r="O594" s="336"/>
      <c r="P594" s="336"/>
      <c r="Q594" s="336"/>
    </row>
    <row r="595" ht="15.75" customHeight="1">
      <c r="A595" s="336"/>
      <c r="B595" s="336"/>
      <c r="C595" s="336"/>
      <c r="D595" s="336"/>
      <c r="E595" s="336"/>
      <c r="F595" s="336"/>
      <c r="G595" s="336"/>
      <c r="H595" s="336"/>
      <c r="I595" s="336"/>
      <c r="J595" s="336"/>
      <c r="K595" s="336"/>
      <c r="L595" s="336"/>
      <c r="M595" s="336"/>
      <c r="N595" s="336"/>
      <c r="O595" s="336"/>
      <c r="P595" s="336"/>
      <c r="Q595" s="336"/>
    </row>
    <row r="596" ht="15.75" customHeight="1">
      <c r="A596" s="336"/>
      <c r="B596" s="336"/>
      <c r="C596" s="336"/>
      <c r="D596" s="336"/>
      <c r="E596" s="336"/>
      <c r="F596" s="336"/>
      <c r="G596" s="336"/>
      <c r="H596" s="336"/>
      <c r="I596" s="336"/>
      <c r="J596" s="336"/>
      <c r="K596" s="336"/>
      <c r="L596" s="336"/>
      <c r="M596" s="336"/>
      <c r="N596" s="336"/>
      <c r="O596" s="336"/>
      <c r="P596" s="336"/>
      <c r="Q596" s="336"/>
    </row>
    <row r="597" ht="15.75" customHeight="1">
      <c r="A597" s="336"/>
      <c r="B597" s="336"/>
      <c r="C597" s="336"/>
      <c r="D597" s="336"/>
      <c r="E597" s="336"/>
      <c r="F597" s="336"/>
      <c r="G597" s="336"/>
      <c r="H597" s="336"/>
      <c r="I597" s="336"/>
      <c r="J597" s="336"/>
      <c r="K597" s="336"/>
      <c r="L597" s="336"/>
      <c r="M597" s="336"/>
      <c r="N597" s="336"/>
      <c r="O597" s="336"/>
      <c r="P597" s="336"/>
      <c r="Q597" s="336"/>
    </row>
    <row r="598" ht="15.75" customHeight="1">
      <c r="A598" s="336"/>
      <c r="B598" s="336"/>
      <c r="C598" s="336"/>
      <c r="D598" s="336"/>
      <c r="E598" s="336"/>
      <c r="F598" s="336"/>
      <c r="G598" s="336"/>
      <c r="H598" s="336"/>
      <c r="I598" s="336"/>
      <c r="J598" s="336"/>
      <c r="K598" s="336"/>
      <c r="L598" s="336"/>
      <c r="M598" s="336"/>
      <c r="N598" s="336"/>
      <c r="O598" s="336"/>
      <c r="P598" s="336"/>
      <c r="Q598" s="336"/>
    </row>
    <row r="599" ht="15.75" customHeight="1">
      <c r="A599" s="336"/>
      <c r="B599" s="336"/>
      <c r="C599" s="336"/>
      <c r="D599" s="336"/>
      <c r="E599" s="336"/>
      <c r="F599" s="336"/>
      <c r="G599" s="336"/>
      <c r="H599" s="336"/>
      <c r="I599" s="336"/>
      <c r="J599" s="336"/>
      <c r="K599" s="336"/>
      <c r="L599" s="336"/>
      <c r="M599" s="336"/>
      <c r="N599" s="336"/>
      <c r="O599" s="336"/>
      <c r="P599" s="336"/>
      <c r="Q599" s="336"/>
    </row>
    <row r="600" ht="15.75" customHeight="1">
      <c r="A600" s="336"/>
      <c r="B600" s="336"/>
      <c r="C600" s="336"/>
      <c r="D600" s="336"/>
      <c r="E600" s="336"/>
      <c r="F600" s="336"/>
      <c r="G600" s="336"/>
      <c r="H600" s="336"/>
      <c r="I600" s="336"/>
      <c r="J600" s="336"/>
      <c r="K600" s="336"/>
      <c r="L600" s="336"/>
      <c r="M600" s="336"/>
      <c r="N600" s="336"/>
      <c r="O600" s="336"/>
      <c r="P600" s="336"/>
      <c r="Q600" s="336"/>
    </row>
    <row r="601" ht="15.75" customHeight="1">
      <c r="A601" s="336"/>
      <c r="B601" s="336"/>
      <c r="C601" s="336"/>
      <c r="D601" s="336"/>
      <c r="E601" s="336"/>
      <c r="F601" s="336"/>
      <c r="G601" s="336"/>
      <c r="H601" s="336"/>
      <c r="I601" s="336"/>
      <c r="J601" s="336"/>
      <c r="K601" s="336"/>
      <c r="L601" s="336"/>
      <c r="M601" s="336"/>
      <c r="N601" s="336"/>
      <c r="O601" s="336"/>
      <c r="P601" s="336"/>
      <c r="Q601" s="336"/>
    </row>
    <row r="602" ht="15.75" customHeight="1">
      <c r="A602" s="336"/>
      <c r="B602" s="336"/>
      <c r="C602" s="336"/>
      <c r="D602" s="336"/>
      <c r="E602" s="336"/>
      <c r="F602" s="336"/>
      <c r="G602" s="336"/>
      <c r="H602" s="336"/>
      <c r="I602" s="336"/>
      <c r="J602" s="336"/>
      <c r="K602" s="336"/>
      <c r="L602" s="336"/>
      <c r="M602" s="336"/>
      <c r="N602" s="336"/>
      <c r="O602" s="336"/>
      <c r="P602" s="336"/>
      <c r="Q602" s="336"/>
    </row>
    <row r="603" ht="15.75" customHeight="1">
      <c r="A603" s="336"/>
      <c r="B603" s="336"/>
      <c r="C603" s="336"/>
      <c r="D603" s="336"/>
      <c r="E603" s="336"/>
      <c r="F603" s="336"/>
      <c r="G603" s="336"/>
      <c r="H603" s="336"/>
      <c r="I603" s="336"/>
      <c r="J603" s="336"/>
      <c r="K603" s="336"/>
      <c r="L603" s="336"/>
      <c r="M603" s="336"/>
      <c r="N603" s="336"/>
      <c r="O603" s="336"/>
      <c r="P603" s="336"/>
      <c r="Q603" s="336"/>
    </row>
    <row r="604" ht="15.75" customHeight="1">
      <c r="A604" s="336"/>
      <c r="B604" s="336"/>
      <c r="C604" s="336"/>
      <c r="D604" s="336"/>
      <c r="E604" s="336"/>
      <c r="F604" s="336"/>
      <c r="G604" s="336"/>
      <c r="H604" s="336"/>
      <c r="I604" s="336"/>
      <c r="J604" s="336"/>
      <c r="K604" s="336"/>
      <c r="L604" s="336"/>
      <c r="M604" s="336"/>
      <c r="N604" s="336"/>
      <c r="O604" s="336"/>
      <c r="P604" s="336"/>
      <c r="Q604" s="336"/>
    </row>
    <row r="605" ht="15.75" customHeight="1">
      <c r="A605" s="336"/>
      <c r="B605" s="336"/>
      <c r="C605" s="336"/>
      <c r="D605" s="336"/>
      <c r="E605" s="336"/>
      <c r="F605" s="336"/>
      <c r="G605" s="336"/>
      <c r="H605" s="336"/>
      <c r="I605" s="336"/>
      <c r="J605" s="336"/>
      <c r="K605" s="336"/>
      <c r="L605" s="336"/>
      <c r="M605" s="336"/>
      <c r="N605" s="336"/>
      <c r="O605" s="336"/>
      <c r="P605" s="336"/>
      <c r="Q605" s="336"/>
    </row>
    <row r="606" ht="15.75" customHeight="1">
      <c r="A606" s="336"/>
      <c r="B606" s="336"/>
      <c r="C606" s="336"/>
      <c r="D606" s="336"/>
      <c r="E606" s="336"/>
      <c r="F606" s="336"/>
      <c r="G606" s="336"/>
      <c r="H606" s="336"/>
      <c r="I606" s="336"/>
      <c r="J606" s="336"/>
      <c r="K606" s="336"/>
      <c r="L606" s="336"/>
      <c r="M606" s="336"/>
      <c r="N606" s="336"/>
      <c r="O606" s="336"/>
      <c r="P606" s="336"/>
      <c r="Q606" s="336"/>
    </row>
    <row r="607" ht="15.75" customHeight="1">
      <c r="A607" s="336"/>
      <c r="B607" s="336"/>
      <c r="C607" s="336"/>
      <c r="D607" s="336"/>
      <c r="E607" s="336"/>
      <c r="F607" s="336"/>
      <c r="G607" s="336"/>
      <c r="H607" s="336"/>
      <c r="I607" s="336"/>
      <c r="J607" s="336"/>
      <c r="K607" s="336"/>
      <c r="L607" s="336"/>
      <c r="M607" s="336"/>
      <c r="N607" s="336"/>
      <c r="O607" s="336"/>
      <c r="P607" s="336"/>
      <c r="Q607" s="336"/>
    </row>
    <row r="608" ht="15.75" customHeight="1">
      <c r="A608" s="336"/>
      <c r="B608" s="336"/>
      <c r="C608" s="336"/>
      <c r="D608" s="336"/>
      <c r="E608" s="336"/>
      <c r="F608" s="336"/>
      <c r="G608" s="336"/>
      <c r="H608" s="336"/>
      <c r="I608" s="336"/>
      <c r="J608" s="336"/>
      <c r="K608" s="336"/>
      <c r="L608" s="336"/>
      <c r="M608" s="336"/>
      <c r="N608" s="336"/>
      <c r="O608" s="336"/>
      <c r="P608" s="336"/>
      <c r="Q608" s="336"/>
    </row>
    <row r="609" ht="15.75" customHeight="1">
      <c r="A609" s="336"/>
      <c r="B609" s="336"/>
      <c r="C609" s="336"/>
      <c r="D609" s="336"/>
      <c r="E609" s="336"/>
      <c r="F609" s="336"/>
      <c r="G609" s="336"/>
      <c r="H609" s="336"/>
      <c r="I609" s="336"/>
      <c r="J609" s="336"/>
      <c r="K609" s="336"/>
      <c r="L609" s="336"/>
      <c r="M609" s="336"/>
      <c r="N609" s="336"/>
      <c r="O609" s="336"/>
      <c r="P609" s="336"/>
      <c r="Q609" s="336"/>
    </row>
    <row r="610" ht="15.75" customHeight="1">
      <c r="A610" s="336"/>
      <c r="B610" s="336"/>
      <c r="C610" s="336"/>
      <c r="D610" s="336"/>
      <c r="E610" s="336"/>
      <c r="F610" s="336"/>
      <c r="G610" s="336"/>
      <c r="H610" s="336"/>
      <c r="I610" s="336"/>
      <c r="J610" s="336"/>
      <c r="K610" s="336"/>
      <c r="L610" s="336"/>
      <c r="M610" s="336"/>
      <c r="N610" s="336"/>
      <c r="O610" s="336"/>
      <c r="P610" s="336"/>
      <c r="Q610" s="336"/>
    </row>
    <row r="611" ht="15.75" customHeight="1">
      <c r="A611" s="336"/>
      <c r="B611" s="336"/>
      <c r="C611" s="336"/>
      <c r="D611" s="336"/>
      <c r="E611" s="336"/>
      <c r="F611" s="336"/>
      <c r="G611" s="336"/>
      <c r="H611" s="336"/>
      <c r="I611" s="336"/>
      <c r="J611" s="336"/>
      <c r="K611" s="336"/>
      <c r="L611" s="336"/>
      <c r="M611" s="336"/>
      <c r="N611" s="336"/>
      <c r="O611" s="336"/>
      <c r="P611" s="336"/>
      <c r="Q611" s="336"/>
    </row>
    <row r="612" ht="15.75" customHeight="1">
      <c r="A612" s="336"/>
      <c r="B612" s="336"/>
      <c r="C612" s="336"/>
      <c r="D612" s="336"/>
      <c r="E612" s="336"/>
      <c r="F612" s="336"/>
      <c r="G612" s="336"/>
      <c r="H612" s="336"/>
      <c r="I612" s="336"/>
      <c r="J612" s="336"/>
      <c r="K612" s="336"/>
      <c r="L612" s="336"/>
      <c r="M612" s="336"/>
      <c r="N612" s="336"/>
      <c r="O612" s="336"/>
      <c r="P612" s="336"/>
      <c r="Q612" s="336"/>
    </row>
    <row r="613" ht="15.75" customHeight="1">
      <c r="A613" s="336"/>
      <c r="B613" s="336"/>
      <c r="C613" s="336"/>
      <c r="D613" s="336"/>
      <c r="E613" s="336"/>
      <c r="F613" s="336"/>
      <c r="G613" s="336"/>
      <c r="H613" s="336"/>
      <c r="I613" s="336"/>
      <c r="J613" s="336"/>
      <c r="K613" s="336"/>
      <c r="L613" s="336"/>
      <c r="M613" s="336"/>
      <c r="N613" s="336"/>
      <c r="O613" s="336"/>
      <c r="P613" s="336"/>
      <c r="Q613" s="336"/>
    </row>
    <row r="614" ht="15.75" customHeight="1">
      <c r="A614" s="336"/>
      <c r="B614" s="336"/>
      <c r="C614" s="336"/>
      <c r="D614" s="336"/>
      <c r="E614" s="336"/>
      <c r="F614" s="336"/>
      <c r="G614" s="336"/>
      <c r="H614" s="336"/>
      <c r="I614" s="336"/>
      <c r="J614" s="336"/>
      <c r="K614" s="336"/>
      <c r="L614" s="336"/>
      <c r="M614" s="336"/>
      <c r="N614" s="336"/>
      <c r="O614" s="336"/>
      <c r="P614" s="336"/>
      <c r="Q614" s="336"/>
    </row>
    <row r="615" ht="15.75" customHeight="1">
      <c r="A615" s="336"/>
      <c r="B615" s="336"/>
      <c r="C615" s="336"/>
      <c r="D615" s="336"/>
      <c r="E615" s="336"/>
      <c r="F615" s="336"/>
      <c r="G615" s="336"/>
      <c r="H615" s="336"/>
      <c r="I615" s="336"/>
      <c r="J615" s="336"/>
      <c r="K615" s="336"/>
      <c r="L615" s="336"/>
      <c r="M615" s="336"/>
      <c r="N615" s="336"/>
      <c r="O615" s="336"/>
      <c r="P615" s="336"/>
      <c r="Q615" s="336"/>
    </row>
    <row r="616" ht="15.75" customHeight="1">
      <c r="A616" s="336"/>
      <c r="B616" s="336"/>
      <c r="C616" s="336"/>
      <c r="D616" s="336"/>
      <c r="E616" s="336"/>
      <c r="F616" s="336"/>
      <c r="G616" s="336"/>
      <c r="H616" s="336"/>
      <c r="I616" s="336"/>
      <c r="J616" s="336"/>
      <c r="K616" s="336"/>
      <c r="L616" s="336"/>
      <c r="M616" s="336"/>
      <c r="N616" s="336"/>
      <c r="O616" s="336"/>
      <c r="P616" s="336"/>
      <c r="Q616" s="336"/>
    </row>
    <row r="617" ht="15.75" customHeight="1">
      <c r="A617" s="336"/>
      <c r="B617" s="336"/>
      <c r="C617" s="336"/>
      <c r="D617" s="336"/>
      <c r="E617" s="336"/>
      <c r="F617" s="336"/>
      <c r="G617" s="336"/>
      <c r="H617" s="336"/>
      <c r="I617" s="336"/>
      <c r="J617" s="336"/>
      <c r="K617" s="336"/>
      <c r="L617" s="336"/>
      <c r="M617" s="336"/>
      <c r="N617" s="336"/>
      <c r="O617" s="336"/>
      <c r="P617" s="336"/>
      <c r="Q617" s="336"/>
    </row>
    <row r="618" ht="15.75" customHeight="1">
      <c r="A618" s="336"/>
      <c r="B618" s="336"/>
      <c r="C618" s="336"/>
      <c r="D618" s="336"/>
      <c r="E618" s="336"/>
      <c r="F618" s="336"/>
      <c r="G618" s="336"/>
      <c r="H618" s="336"/>
      <c r="I618" s="336"/>
      <c r="J618" s="336"/>
      <c r="K618" s="336"/>
      <c r="L618" s="336"/>
      <c r="M618" s="336"/>
      <c r="N618" s="336"/>
      <c r="O618" s="336"/>
      <c r="P618" s="336"/>
      <c r="Q618" s="336"/>
    </row>
    <row r="619" ht="15.75" customHeight="1">
      <c r="A619" s="336"/>
      <c r="B619" s="336"/>
      <c r="C619" s="336"/>
      <c r="D619" s="336"/>
      <c r="E619" s="336"/>
      <c r="F619" s="336"/>
      <c r="G619" s="336"/>
      <c r="H619" s="336"/>
      <c r="I619" s="336"/>
      <c r="J619" s="336"/>
      <c r="K619" s="336"/>
      <c r="L619" s="336"/>
      <c r="M619" s="336"/>
      <c r="N619" s="336"/>
      <c r="O619" s="336"/>
      <c r="P619" s="336"/>
      <c r="Q619" s="336"/>
    </row>
    <row r="620" ht="15.75" customHeight="1">
      <c r="A620" s="336"/>
      <c r="B620" s="336"/>
      <c r="C620" s="336"/>
      <c r="D620" s="336"/>
      <c r="E620" s="336"/>
      <c r="F620" s="336"/>
      <c r="G620" s="336"/>
      <c r="H620" s="336"/>
      <c r="I620" s="336"/>
      <c r="J620" s="336"/>
      <c r="K620" s="336"/>
      <c r="L620" s="336"/>
      <c r="M620" s="336"/>
      <c r="N620" s="336"/>
      <c r="O620" s="336"/>
      <c r="P620" s="336"/>
      <c r="Q620" s="336"/>
    </row>
    <row r="621" ht="15.75" customHeight="1">
      <c r="A621" s="336"/>
      <c r="B621" s="336"/>
      <c r="C621" s="336"/>
      <c r="D621" s="336"/>
      <c r="E621" s="336"/>
      <c r="F621" s="336"/>
      <c r="G621" s="336"/>
      <c r="H621" s="336"/>
      <c r="I621" s="336"/>
      <c r="J621" s="336"/>
      <c r="K621" s="336"/>
      <c r="L621" s="336"/>
      <c r="M621" s="336"/>
      <c r="N621" s="336"/>
      <c r="O621" s="336"/>
      <c r="P621" s="336"/>
      <c r="Q621" s="336"/>
    </row>
    <row r="622" ht="15.75" customHeight="1">
      <c r="A622" s="336"/>
      <c r="B622" s="336"/>
      <c r="C622" s="336"/>
      <c r="D622" s="336"/>
      <c r="E622" s="336"/>
      <c r="F622" s="336"/>
      <c r="G622" s="336"/>
      <c r="H622" s="336"/>
      <c r="I622" s="336"/>
      <c r="J622" s="336"/>
      <c r="K622" s="336"/>
      <c r="L622" s="336"/>
      <c r="M622" s="336"/>
      <c r="N622" s="336"/>
      <c r="O622" s="336"/>
      <c r="P622" s="336"/>
      <c r="Q622" s="336"/>
    </row>
    <row r="623" ht="15.75" customHeight="1">
      <c r="A623" s="336"/>
      <c r="B623" s="336"/>
      <c r="C623" s="336"/>
      <c r="D623" s="336"/>
      <c r="E623" s="336"/>
      <c r="F623" s="336"/>
      <c r="G623" s="336"/>
      <c r="H623" s="336"/>
      <c r="I623" s="336"/>
      <c r="J623" s="336"/>
      <c r="K623" s="336"/>
      <c r="L623" s="336"/>
      <c r="M623" s="336"/>
      <c r="N623" s="336"/>
      <c r="O623" s="336"/>
      <c r="P623" s="336"/>
      <c r="Q623" s="336"/>
    </row>
    <row r="624" ht="15.75" customHeight="1">
      <c r="A624" s="336"/>
      <c r="B624" s="336"/>
      <c r="C624" s="336"/>
      <c r="D624" s="336"/>
      <c r="E624" s="336"/>
      <c r="F624" s="336"/>
      <c r="G624" s="336"/>
      <c r="H624" s="336"/>
      <c r="I624" s="336"/>
      <c r="J624" s="336"/>
      <c r="K624" s="336"/>
      <c r="L624" s="336"/>
      <c r="M624" s="336"/>
      <c r="N624" s="336"/>
      <c r="O624" s="336"/>
      <c r="P624" s="336"/>
      <c r="Q624" s="336"/>
    </row>
    <row r="625" ht="15.75" customHeight="1">
      <c r="A625" s="336"/>
      <c r="B625" s="336"/>
      <c r="C625" s="336"/>
      <c r="D625" s="336"/>
      <c r="E625" s="336"/>
      <c r="F625" s="336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  <c r="Q625" s="336"/>
    </row>
    <row r="626" ht="15.75" customHeight="1">
      <c r="A626" s="336"/>
      <c r="B626" s="336"/>
      <c r="C626" s="336"/>
      <c r="D626" s="336"/>
      <c r="E626" s="336"/>
      <c r="F626" s="336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  <c r="Q626" s="336"/>
    </row>
    <row r="627" ht="15.75" customHeight="1">
      <c r="A627" s="336"/>
      <c r="B627" s="336"/>
      <c r="C627" s="336"/>
      <c r="D627" s="336"/>
      <c r="E627" s="336"/>
      <c r="F627" s="336"/>
      <c r="G627" s="336"/>
      <c r="H627" s="336"/>
      <c r="I627" s="336"/>
      <c r="J627" s="336"/>
      <c r="K627" s="336"/>
      <c r="L627" s="336"/>
      <c r="M627" s="336"/>
      <c r="N627" s="336"/>
      <c r="O627" s="336"/>
      <c r="P627" s="336"/>
      <c r="Q627" s="336"/>
    </row>
    <row r="628" ht="15.75" customHeight="1">
      <c r="A628" s="336"/>
      <c r="B628" s="336"/>
      <c r="C628" s="336"/>
      <c r="D628" s="336"/>
      <c r="E628" s="336"/>
      <c r="F628" s="336"/>
      <c r="G628" s="336"/>
      <c r="H628" s="336"/>
      <c r="I628" s="336"/>
      <c r="J628" s="336"/>
      <c r="K628" s="336"/>
      <c r="L628" s="336"/>
      <c r="M628" s="336"/>
      <c r="N628" s="336"/>
      <c r="O628" s="336"/>
      <c r="P628" s="336"/>
      <c r="Q628" s="336"/>
    </row>
    <row r="629" ht="15.75" customHeight="1">
      <c r="A629" s="336"/>
      <c r="B629" s="336"/>
      <c r="C629" s="336"/>
      <c r="D629" s="336"/>
      <c r="E629" s="336"/>
      <c r="F629" s="336"/>
      <c r="G629" s="336"/>
      <c r="H629" s="336"/>
      <c r="I629" s="336"/>
      <c r="J629" s="336"/>
      <c r="K629" s="336"/>
      <c r="L629" s="336"/>
      <c r="M629" s="336"/>
      <c r="N629" s="336"/>
      <c r="O629" s="336"/>
      <c r="P629" s="336"/>
      <c r="Q629" s="336"/>
    </row>
    <row r="630" ht="15.75" customHeight="1">
      <c r="A630" s="336"/>
      <c r="B630" s="336"/>
      <c r="C630" s="336"/>
      <c r="D630" s="336"/>
      <c r="E630" s="336"/>
      <c r="F630" s="336"/>
      <c r="G630" s="336"/>
      <c r="H630" s="336"/>
      <c r="I630" s="336"/>
      <c r="J630" s="336"/>
      <c r="K630" s="336"/>
      <c r="L630" s="336"/>
      <c r="M630" s="336"/>
      <c r="N630" s="336"/>
      <c r="O630" s="336"/>
      <c r="P630" s="336"/>
      <c r="Q630" s="336"/>
    </row>
    <row r="631" ht="15.75" customHeight="1">
      <c r="A631" s="336"/>
      <c r="B631" s="336"/>
      <c r="C631" s="336"/>
      <c r="D631" s="336"/>
      <c r="E631" s="336"/>
      <c r="F631" s="336"/>
      <c r="G631" s="336"/>
      <c r="H631" s="336"/>
      <c r="I631" s="336"/>
      <c r="J631" s="336"/>
      <c r="K631" s="336"/>
      <c r="L631" s="336"/>
      <c r="M631" s="336"/>
      <c r="N631" s="336"/>
      <c r="O631" s="336"/>
      <c r="P631" s="336"/>
      <c r="Q631" s="336"/>
    </row>
    <row r="632" ht="15.75" customHeight="1">
      <c r="A632" s="336"/>
      <c r="B632" s="336"/>
      <c r="C632" s="336"/>
      <c r="D632" s="336"/>
      <c r="E632" s="336"/>
      <c r="F632" s="336"/>
      <c r="G632" s="336"/>
      <c r="H632" s="336"/>
      <c r="I632" s="336"/>
      <c r="J632" s="336"/>
      <c r="K632" s="336"/>
      <c r="L632" s="336"/>
      <c r="M632" s="336"/>
      <c r="N632" s="336"/>
      <c r="O632" s="336"/>
      <c r="P632" s="336"/>
      <c r="Q632" s="336"/>
    </row>
    <row r="633" ht="15.75" customHeight="1">
      <c r="A633" s="336"/>
      <c r="B633" s="336"/>
      <c r="C633" s="336"/>
      <c r="D633" s="336"/>
      <c r="E633" s="336"/>
      <c r="F633" s="336"/>
      <c r="G633" s="336"/>
      <c r="H633" s="336"/>
      <c r="I633" s="336"/>
      <c r="J633" s="336"/>
      <c r="K633" s="336"/>
      <c r="L633" s="336"/>
      <c r="M633" s="336"/>
      <c r="N633" s="336"/>
      <c r="O633" s="336"/>
      <c r="P633" s="336"/>
      <c r="Q633" s="336"/>
    </row>
    <row r="634" ht="15.75" customHeight="1">
      <c r="A634" s="336"/>
      <c r="B634" s="336"/>
      <c r="C634" s="336"/>
      <c r="D634" s="336"/>
      <c r="E634" s="336"/>
      <c r="F634" s="336"/>
      <c r="G634" s="336"/>
      <c r="H634" s="336"/>
      <c r="I634" s="336"/>
      <c r="J634" s="336"/>
      <c r="K634" s="336"/>
      <c r="L634" s="336"/>
      <c r="M634" s="336"/>
      <c r="N634" s="336"/>
      <c r="O634" s="336"/>
      <c r="P634" s="336"/>
      <c r="Q634" s="336"/>
    </row>
    <row r="635" ht="15.75" customHeight="1">
      <c r="A635" s="336"/>
      <c r="B635" s="336"/>
      <c r="C635" s="336"/>
      <c r="D635" s="336"/>
      <c r="E635" s="336"/>
      <c r="F635" s="336"/>
      <c r="G635" s="336"/>
      <c r="H635" s="336"/>
      <c r="I635" s="336"/>
      <c r="J635" s="336"/>
      <c r="K635" s="336"/>
      <c r="L635" s="336"/>
      <c r="M635" s="336"/>
      <c r="N635" s="336"/>
      <c r="O635" s="336"/>
      <c r="P635" s="336"/>
      <c r="Q635" s="336"/>
    </row>
    <row r="636" ht="15.75" customHeight="1">
      <c r="A636" s="336"/>
      <c r="B636" s="336"/>
      <c r="C636" s="336"/>
      <c r="D636" s="336"/>
      <c r="E636" s="336"/>
      <c r="F636" s="336"/>
      <c r="G636" s="336"/>
      <c r="H636" s="336"/>
      <c r="I636" s="336"/>
      <c r="J636" s="336"/>
      <c r="K636" s="336"/>
      <c r="L636" s="336"/>
      <c r="M636" s="336"/>
      <c r="N636" s="336"/>
      <c r="O636" s="336"/>
      <c r="P636" s="336"/>
      <c r="Q636" s="336"/>
    </row>
    <row r="637" ht="15.75" customHeight="1">
      <c r="A637" s="336"/>
      <c r="B637" s="336"/>
      <c r="C637" s="336"/>
      <c r="D637" s="336"/>
      <c r="E637" s="336"/>
      <c r="F637" s="336"/>
      <c r="G637" s="336"/>
      <c r="H637" s="336"/>
      <c r="I637" s="336"/>
      <c r="J637" s="336"/>
      <c r="K637" s="336"/>
      <c r="L637" s="336"/>
      <c r="M637" s="336"/>
      <c r="N637" s="336"/>
      <c r="O637" s="336"/>
      <c r="P637" s="336"/>
      <c r="Q637" s="336"/>
    </row>
    <row r="638" ht="15.75" customHeight="1">
      <c r="A638" s="336"/>
      <c r="B638" s="336"/>
      <c r="C638" s="336"/>
      <c r="D638" s="336"/>
      <c r="E638" s="336"/>
      <c r="F638" s="336"/>
      <c r="G638" s="336"/>
      <c r="H638" s="336"/>
      <c r="I638" s="336"/>
      <c r="J638" s="336"/>
      <c r="K638" s="336"/>
      <c r="L638" s="336"/>
      <c r="M638" s="336"/>
      <c r="N638" s="336"/>
      <c r="O638" s="336"/>
      <c r="P638" s="336"/>
      <c r="Q638" s="336"/>
    </row>
    <row r="639" ht="15.75" customHeight="1">
      <c r="A639" s="336"/>
      <c r="B639" s="336"/>
      <c r="C639" s="336"/>
      <c r="D639" s="336"/>
      <c r="E639" s="336"/>
      <c r="F639" s="336"/>
      <c r="G639" s="336"/>
      <c r="H639" s="336"/>
      <c r="I639" s="336"/>
      <c r="J639" s="336"/>
      <c r="K639" s="336"/>
      <c r="L639" s="336"/>
      <c r="M639" s="336"/>
      <c r="N639" s="336"/>
      <c r="O639" s="336"/>
      <c r="P639" s="336"/>
      <c r="Q639" s="336"/>
    </row>
    <row r="640" ht="15.75" customHeight="1">
      <c r="A640" s="336"/>
      <c r="B640" s="336"/>
      <c r="C640" s="336"/>
      <c r="D640" s="336"/>
      <c r="E640" s="336"/>
      <c r="F640" s="336"/>
      <c r="G640" s="336"/>
      <c r="H640" s="336"/>
      <c r="I640" s="336"/>
      <c r="J640" s="336"/>
      <c r="K640" s="336"/>
      <c r="L640" s="336"/>
      <c r="M640" s="336"/>
      <c r="N640" s="336"/>
      <c r="O640" s="336"/>
      <c r="P640" s="336"/>
      <c r="Q640" s="336"/>
    </row>
    <row r="641" ht="15.75" customHeight="1">
      <c r="A641" s="336"/>
      <c r="B641" s="336"/>
      <c r="C641" s="336"/>
      <c r="D641" s="336"/>
      <c r="E641" s="336"/>
      <c r="F641" s="336"/>
      <c r="G641" s="336"/>
      <c r="H641" s="336"/>
      <c r="I641" s="336"/>
      <c r="J641" s="336"/>
      <c r="K641" s="336"/>
      <c r="L641" s="336"/>
      <c r="M641" s="336"/>
      <c r="N641" s="336"/>
      <c r="O641" s="336"/>
      <c r="P641" s="336"/>
      <c r="Q641" s="336"/>
    </row>
    <row r="642" ht="15.75" customHeight="1">
      <c r="A642" s="336"/>
      <c r="B642" s="336"/>
      <c r="C642" s="336"/>
      <c r="D642" s="336"/>
      <c r="E642" s="336"/>
      <c r="F642" s="336"/>
      <c r="G642" s="336"/>
      <c r="H642" s="336"/>
      <c r="I642" s="336"/>
      <c r="J642" s="336"/>
      <c r="K642" s="336"/>
      <c r="L642" s="336"/>
      <c r="M642" s="336"/>
      <c r="N642" s="336"/>
      <c r="O642" s="336"/>
      <c r="P642" s="336"/>
      <c r="Q642" s="336"/>
    </row>
    <row r="643" ht="15.75" customHeight="1">
      <c r="A643" s="336"/>
      <c r="B643" s="336"/>
      <c r="C643" s="336"/>
      <c r="D643" s="336"/>
      <c r="E643" s="336"/>
      <c r="F643" s="336"/>
      <c r="G643" s="336"/>
      <c r="H643" s="336"/>
      <c r="I643" s="336"/>
      <c r="J643" s="336"/>
      <c r="K643" s="336"/>
      <c r="L643" s="336"/>
      <c r="M643" s="336"/>
      <c r="N643" s="336"/>
      <c r="O643" s="336"/>
      <c r="P643" s="336"/>
      <c r="Q643" s="336"/>
    </row>
    <row r="644" ht="15.75" customHeight="1">
      <c r="A644" s="336"/>
      <c r="B644" s="336"/>
      <c r="C644" s="336"/>
      <c r="D644" s="336"/>
      <c r="E644" s="336"/>
      <c r="F644" s="336"/>
      <c r="G644" s="336"/>
      <c r="H644" s="336"/>
      <c r="I644" s="336"/>
      <c r="J644" s="336"/>
      <c r="K644" s="336"/>
      <c r="L644" s="336"/>
      <c r="M644" s="336"/>
      <c r="N644" s="336"/>
      <c r="O644" s="336"/>
      <c r="P644" s="336"/>
      <c r="Q644" s="336"/>
    </row>
    <row r="645" ht="15.75" customHeight="1">
      <c r="A645" s="336"/>
      <c r="B645" s="336"/>
      <c r="C645" s="336"/>
      <c r="D645" s="336"/>
      <c r="E645" s="336"/>
      <c r="F645" s="336"/>
      <c r="G645" s="336"/>
      <c r="H645" s="336"/>
      <c r="I645" s="336"/>
      <c r="J645" s="336"/>
      <c r="K645" s="336"/>
      <c r="L645" s="336"/>
      <c r="M645" s="336"/>
      <c r="N645" s="336"/>
      <c r="O645" s="336"/>
      <c r="P645" s="336"/>
      <c r="Q645" s="336"/>
    </row>
    <row r="646" ht="15.75" customHeight="1">
      <c r="A646" s="336"/>
      <c r="B646" s="336"/>
      <c r="C646" s="336"/>
      <c r="D646" s="336"/>
      <c r="E646" s="336"/>
      <c r="F646" s="336"/>
      <c r="G646" s="336"/>
      <c r="H646" s="336"/>
      <c r="I646" s="336"/>
      <c r="J646" s="336"/>
      <c r="K646" s="336"/>
      <c r="L646" s="336"/>
      <c r="M646" s="336"/>
      <c r="N646" s="336"/>
      <c r="O646" s="336"/>
      <c r="P646" s="336"/>
      <c r="Q646" s="336"/>
    </row>
    <row r="647" ht="15.75" customHeight="1">
      <c r="A647" s="336"/>
      <c r="B647" s="336"/>
      <c r="C647" s="336"/>
      <c r="D647" s="336"/>
      <c r="E647" s="336"/>
      <c r="F647" s="336"/>
      <c r="G647" s="336"/>
      <c r="H647" s="336"/>
      <c r="I647" s="336"/>
      <c r="J647" s="336"/>
      <c r="K647" s="336"/>
      <c r="L647" s="336"/>
      <c r="M647" s="336"/>
      <c r="N647" s="336"/>
      <c r="O647" s="336"/>
      <c r="P647" s="336"/>
      <c r="Q647" s="336"/>
    </row>
    <row r="648" ht="15.75" customHeight="1">
      <c r="A648" s="336"/>
      <c r="B648" s="336"/>
      <c r="C648" s="336"/>
      <c r="D648" s="336"/>
      <c r="E648" s="336"/>
      <c r="F648" s="336"/>
      <c r="G648" s="336"/>
      <c r="H648" s="336"/>
      <c r="I648" s="336"/>
      <c r="J648" s="336"/>
      <c r="K648" s="336"/>
      <c r="L648" s="336"/>
      <c r="M648" s="336"/>
      <c r="N648" s="336"/>
      <c r="O648" s="336"/>
      <c r="P648" s="336"/>
      <c r="Q648" s="336"/>
    </row>
    <row r="649" ht="15.75" customHeight="1">
      <c r="A649" s="336"/>
      <c r="B649" s="336"/>
      <c r="C649" s="336"/>
      <c r="D649" s="336"/>
      <c r="E649" s="336"/>
      <c r="F649" s="336"/>
      <c r="G649" s="336"/>
      <c r="H649" s="336"/>
      <c r="I649" s="336"/>
      <c r="J649" s="336"/>
      <c r="K649" s="336"/>
      <c r="L649" s="336"/>
      <c r="M649" s="336"/>
      <c r="N649" s="336"/>
      <c r="O649" s="336"/>
      <c r="P649" s="336"/>
      <c r="Q649" s="336"/>
    </row>
    <row r="650" ht="15.75" customHeight="1">
      <c r="A650" s="336"/>
      <c r="B650" s="336"/>
      <c r="C650" s="336"/>
      <c r="D650" s="336"/>
      <c r="E650" s="336"/>
      <c r="F650" s="336"/>
      <c r="G650" s="336"/>
      <c r="H650" s="336"/>
      <c r="I650" s="336"/>
      <c r="J650" s="336"/>
      <c r="K650" s="336"/>
      <c r="L650" s="336"/>
      <c r="M650" s="336"/>
      <c r="N650" s="336"/>
      <c r="O650" s="336"/>
      <c r="P650" s="336"/>
      <c r="Q650" s="336"/>
    </row>
    <row r="651" ht="15.75" customHeight="1">
      <c r="A651" s="336"/>
      <c r="B651" s="336"/>
      <c r="C651" s="336"/>
      <c r="D651" s="336"/>
      <c r="E651" s="336"/>
      <c r="F651" s="336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  <c r="Q651" s="336"/>
    </row>
    <row r="652" ht="15.75" customHeight="1">
      <c r="A652" s="336"/>
      <c r="B652" s="336"/>
      <c r="C652" s="336"/>
      <c r="D652" s="336"/>
      <c r="E652" s="336"/>
      <c r="F652" s="336"/>
      <c r="G652" s="336"/>
      <c r="H652" s="336"/>
      <c r="I652" s="336"/>
      <c r="J652" s="336"/>
      <c r="K652" s="336"/>
      <c r="L652" s="336"/>
      <c r="M652" s="336"/>
      <c r="N652" s="336"/>
      <c r="O652" s="336"/>
      <c r="P652" s="336"/>
      <c r="Q652" s="336"/>
    </row>
    <row r="653" ht="15.75" customHeight="1">
      <c r="A653" s="336"/>
      <c r="B653" s="336"/>
      <c r="C653" s="336"/>
      <c r="D653" s="336"/>
      <c r="E653" s="336"/>
      <c r="F653" s="336"/>
      <c r="G653" s="336"/>
      <c r="H653" s="336"/>
      <c r="I653" s="336"/>
      <c r="J653" s="336"/>
      <c r="K653" s="336"/>
      <c r="L653" s="336"/>
      <c r="M653" s="336"/>
      <c r="N653" s="336"/>
      <c r="O653" s="336"/>
      <c r="P653" s="336"/>
      <c r="Q653" s="336"/>
    </row>
    <row r="654" ht="15.75" customHeight="1">
      <c r="A654" s="336"/>
      <c r="B654" s="336"/>
      <c r="C654" s="336"/>
      <c r="D654" s="336"/>
      <c r="E654" s="336"/>
      <c r="F654" s="336"/>
      <c r="G654" s="336"/>
      <c r="H654" s="336"/>
      <c r="I654" s="336"/>
      <c r="J654" s="336"/>
      <c r="K654" s="336"/>
      <c r="L654" s="336"/>
      <c r="M654" s="336"/>
      <c r="N654" s="336"/>
      <c r="O654" s="336"/>
      <c r="P654" s="336"/>
      <c r="Q654" s="336"/>
    </row>
    <row r="655" ht="15.75" customHeight="1">
      <c r="A655" s="336"/>
      <c r="B655" s="336"/>
      <c r="C655" s="336"/>
      <c r="D655" s="336"/>
      <c r="E655" s="336"/>
      <c r="F655" s="336"/>
      <c r="G655" s="336"/>
      <c r="H655" s="336"/>
      <c r="I655" s="336"/>
      <c r="J655" s="336"/>
      <c r="K655" s="336"/>
      <c r="L655" s="336"/>
      <c r="M655" s="336"/>
      <c r="N655" s="336"/>
      <c r="O655" s="336"/>
      <c r="P655" s="336"/>
      <c r="Q655" s="336"/>
    </row>
    <row r="656" ht="15.75" customHeight="1">
      <c r="A656" s="336"/>
      <c r="B656" s="336"/>
      <c r="C656" s="336"/>
      <c r="D656" s="336"/>
      <c r="E656" s="336"/>
      <c r="F656" s="336"/>
      <c r="G656" s="336"/>
      <c r="H656" s="336"/>
      <c r="I656" s="336"/>
      <c r="J656" s="336"/>
      <c r="K656" s="336"/>
      <c r="L656" s="336"/>
      <c r="M656" s="336"/>
      <c r="N656" s="336"/>
      <c r="O656" s="336"/>
      <c r="P656" s="336"/>
      <c r="Q656" s="336"/>
    </row>
    <row r="657" ht="15.75" customHeight="1">
      <c r="A657" s="336"/>
      <c r="B657" s="336"/>
      <c r="C657" s="336"/>
      <c r="D657" s="336"/>
      <c r="E657" s="336"/>
      <c r="F657" s="336"/>
      <c r="G657" s="336"/>
      <c r="H657" s="336"/>
      <c r="I657" s="336"/>
      <c r="J657" s="336"/>
      <c r="K657" s="336"/>
      <c r="L657" s="336"/>
      <c r="M657" s="336"/>
      <c r="N657" s="336"/>
      <c r="O657" s="336"/>
      <c r="P657" s="336"/>
      <c r="Q657" s="336"/>
    </row>
    <row r="658" ht="15.75" customHeight="1">
      <c r="A658" s="336"/>
      <c r="B658" s="336"/>
      <c r="C658" s="336"/>
      <c r="D658" s="336"/>
      <c r="E658" s="336"/>
      <c r="F658" s="336"/>
      <c r="G658" s="336"/>
      <c r="H658" s="336"/>
      <c r="I658" s="336"/>
      <c r="J658" s="336"/>
      <c r="K658" s="336"/>
      <c r="L658" s="336"/>
      <c r="M658" s="336"/>
      <c r="N658" s="336"/>
      <c r="O658" s="336"/>
      <c r="P658" s="336"/>
      <c r="Q658" s="336"/>
    </row>
    <row r="659" ht="15.75" customHeight="1">
      <c r="A659" s="336"/>
      <c r="B659" s="336"/>
      <c r="C659" s="336"/>
      <c r="D659" s="336"/>
      <c r="E659" s="336"/>
      <c r="F659" s="336"/>
      <c r="G659" s="336"/>
      <c r="H659" s="336"/>
      <c r="I659" s="336"/>
      <c r="J659" s="336"/>
      <c r="K659" s="336"/>
      <c r="L659" s="336"/>
      <c r="M659" s="336"/>
      <c r="N659" s="336"/>
      <c r="O659" s="336"/>
      <c r="P659" s="336"/>
      <c r="Q659" s="336"/>
    </row>
    <row r="660" ht="15.75" customHeight="1">
      <c r="A660" s="336"/>
      <c r="B660" s="336"/>
      <c r="C660" s="336"/>
      <c r="D660" s="336"/>
      <c r="E660" s="336"/>
      <c r="F660" s="336"/>
      <c r="G660" s="336"/>
      <c r="H660" s="336"/>
      <c r="I660" s="336"/>
      <c r="J660" s="336"/>
      <c r="K660" s="336"/>
      <c r="L660" s="336"/>
      <c r="M660" s="336"/>
      <c r="N660" s="336"/>
      <c r="O660" s="336"/>
      <c r="P660" s="336"/>
      <c r="Q660" s="336"/>
    </row>
    <row r="661" ht="15.75" customHeight="1">
      <c r="A661" s="336"/>
      <c r="B661" s="336"/>
      <c r="C661" s="336"/>
      <c r="D661" s="336"/>
      <c r="E661" s="336"/>
      <c r="F661" s="336"/>
      <c r="G661" s="336"/>
      <c r="H661" s="336"/>
      <c r="I661" s="336"/>
      <c r="J661" s="336"/>
      <c r="K661" s="336"/>
      <c r="L661" s="336"/>
      <c r="M661" s="336"/>
      <c r="N661" s="336"/>
      <c r="O661" s="336"/>
      <c r="P661" s="336"/>
      <c r="Q661" s="336"/>
    </row>
    <row r="662" ht="15.75" customHeight="1">
      <c r="A662" s="336"/>
      <c r="B662" s="336"/>
      <c r="C662" s="336"/>
      <c r="D662" s="336"/>
      <c r="E662" s="336"/>
      <c r="F662" s="336"/>
      <c r="G662" s="336"/>
      <c r="H662" s="336"/>
      <c r="I662" s="336"/>
      <c r="J662" s="336"/>
      <c r="K662" s="336"/>
      <c r="L662" s="336"/>
      <c r="M662" s="336"/>
      <c r="N662" s="336"/>
      <c r="O662" s="336"/>
      <c r="P662" s="336"/>
      <c r="Q662" s="336"/>
    </row>
    <row r="663" ht="15.75" customHeight="1">
      <c r="A663" s="336"/>
      <c r="B663" s="336"/>
      <c r="C663" s="336"/>
      <c r="D663" s="336"/>
      <c r="E663" s="336"/>
      <c r="F663" s="336"/>
      <c r="G663" s="336"/>
      <c r="H663" s="336"/>
      <c r="I663" s="336"/>
      <c r="J663" s="336"/>
      <c r="K663" s="336"/>
      <c r="L663" s="336"/>
      <c r="M663" s="336"/>
      <c r="N663" s="336"/>
      <c r="O663" s="336"/>
      <c r="P663" s="336"/>
      <c r="Q663" s="336"/>
    </row>
    <row r="664" ht="15.75" customHeight="1">
      <c r="A664" s="336"/>
      <c r="B664" s="336"/>
      <c r="C664" s="336"/>
      <c r="D664" s="336"/>
      <c r="E664" s="336"/>
      <c r="F664" s="336"/>
      <c r="G664" s="336"/>
      <c r="H664" s="336"/>
      <c r="I664" s="336"/>
      <c r="J664" s="336"/>
      <c r="K664" s="336"/>
      <c r="L664" s="336"/>
      <c r="M664" s="336"/>
      <c r="N664" s="336"/>
      <c r="O664" s="336"/>
      <c r="P664" s="336"/>
      <c r="Q664" s="336"/>
    </row>
    <row r="665" ht="15.75" customHeight="1">
      <c r="A665" s="336"/>
      <c r="B665" s="336"/>
      <c r="C665" s="336"/>
      <c r="D665" s="336"/>
      <c r="E665" s="336"/>
      <c r="F665" s="336"/>
      <c r="G665" s="336"/>
      <c r="H665" s="336"/>
      <c r="I665" s="336"/>
      <c r="J665" s="336"/>
      <c r="K665" s="336"/>
      <c r="L665" s="336"/>
      <c r="M665" s="336"/>
      <c r="N665" s="336"/>
      <c r="O665" s="336"/>
      <c r="P665" s="336"/>
      <c r="Q665" s="336"/>
    </row>
    <row r="666" ht="15.75" customHeight="1">
      <c r="A666" s="336"/>
      <c r="B666" s="336"/>
      <c r="C666" s="336"/>
      <c r="D666" s="336"/>
      <c r="E666" s="336"/>
      <c r="F666" s="336"/>
      <c r="G666" s="336"/>
      <c r="H666" s="336"/>
      <c r="I666" s="336"/>
      <c r="J666" s="336"/>
      <c r="K666" s="336"/>
      <c r="L666" s="336"/>
      <c r="M666" s="336"/>
      <c r="N666" s="336"/>
      <c r="O666" s="336"/>
      <c r="P666" s="336"/>
      <c r="Q666" s="336"/>
    </row>
    <row r="667" ht="15.75" customHeight="1">
      <c r="A667" s="336"/>
      <c r="B667" s="336"/>
      <c r="C667" s="336"/>
      <c r="D667" s="336"/>
      <c r="E667" s="336"/>
      <c r="F667" s="336"/>
      <c r="G667" s="336"/>
      <c r="H667" s="336"/>
      <c r="I667" s="336"/>
      <c r="J667" s="336"/>
      <c r="K667" s="336"/>
      <c r="L667" s="336"/>
      <c r="M667" s="336"/>
      <c r="N667" s="336"/>
      <c r="O667" s="336"/>
      <c r="P667" s="336"/>
      <c r="Q667" s="336"/>
    </row>
    <row r="668" ht="15.75" customHeight="1">
      <c r="A668" s="336"/>
      <c r="B668" s="336"/>
      <c r="C668" s="336"/>
      <c r="D668" s="336"/>
      <c r="E668" s="336"/>
      <c r="F668" s="336"/>
      <c r="G668" s="336"/>
      <c r="H668" s="336"/>
      <c r="I668" s="336"/>
      <c r="J668" s="336"/>
      <c r="K668" s="336"/>
      <c r="L668" s="336"/>
      <c r="M668" s="336"/>
      <c r="N668" s="336"/>
      <c r="O668" s="336"/>
      <c r="P668" s="336"/>
      <c r="Q668" s="336"/>
    </row>
    <row r="669" ht="15.75" customHeight="1">
      <c r="A669" s="336"/>
      <c r="B669" s="336"/>
      <c r="C669" s="336"/>
      <c r="D669" s="336"/>
      <c r="E669" s="336"/>
      <c r="F669" s="336"/>
      <c r="G669" s="336"/>
      <c r="H669" s="336"/>
      <c r="I669" s="336"/>
      <c r="J669" s="336"/>
      <c r="K669" s="336"/>
      <c r="L669" s="336"/>
      <c r="M669" s="336"/>
      <c r="N669" s="336"/>
      <c r="O669" s="336"/>
      <c r="P669" s="336"/>
      <c r="Q669" s="336"/>
    </row>
    <row r="670" ht="15.75" customHeight="1">
      <c r="A670" s="336"/>
      <c r="B670" s="336"/>
      <c r="C670" s="336"/>
      <c r="D670" s="336"/>
      <c r="E670" s="336"/>
      <c r="F670" s="336"/>
      <c r="G670" s="336"/>
      <c r="H670" s="336"/>
      <c r="I670" s="336"/>
      <c r="J670" s="336"/>
      <c r="K670" s="336"/>
      <c r="L670" s="336"/>
      <c r="M670" s="336"/>
      <c r="N670" s="336"/>
      <c r="O670" s="336"/>
      <c r="P670" s="336"/>
      <c r="Q670" s="336"/>
    </row>
    <row r="671" ht="15.75" customHeight="1">
      <c r="A671" s="336"/>
      <c r="B671" s="336"/>
      <c r="C671" s="336"/>
      <c r="D671" s="336"/>
      <c r="E671" s="336"/>
      <c r="F671" s="336"/>
      <c r="G671" s="336"/>
      <c r="H671" s="336"/>
      <c r="I671" s="336"/>
      <c r="J671" s="336"/>
      <c r="K671" s="336"/>
      <c r="L671" s="336"/>
      <c r="M671" s="336"/>
      <c r="N671" s="336"/>
      <c r="O671" s="336"/>
      <c r="P671" s="336"/>
      <c r="Q671" s="336"/>
    </row>
    <row r="672" ht="15.75" customHeight="1">
      <c r="A672" s="336"/>
      <c r="B672" s="336"/>
      <c r="C672" s="336"/>
      <c r="D672" s="336"/>
      <c r="E672" s="336"/>
      <c r="F672" s="336"/>
      <c r="G672" s="336"/>
      <c r="H672" s="336"/>
      <c r="I672" s="336"/>
      <c r="J672" s="336"/>
      <c r="K672" s="336"/>
      <c r="L672" s="336"/>
      <c r="M672" s="336"/>
      <c r="N672" s="336"/>
      <c r="O672" s="336"/>
      <c r="P672" s="336"/>
      <c r="Q672" s="336"/>
    </row>
    <row r="673" ht="15.75" customHeight="1">
      <c r="A673" s="336"/>
      <c r="B673" s="336"/>
      <c r="C673" s="336"/>
      <c r="D673" s="336"/>
      <c r="E673" s="336"/>
      <c r="F673" s="336"/>
      <c r="G673" s="336"/>
      <c r="H673" s="336"/>
      <c r="I673" s="336"/>
      <c r="J673" s="336"/>
      <c r="K673" s="336"/>
      <c r="L673" s="336"/>
      <c r="M673" s="336"/>
      <c r="N673" s="336"/>
      <c r="O673" s="336"/>
      <c r="P673" s="336"/>
      <c r="Q673" s="336"/>
    </row>
    <row r="674" ht="15.75" customHeight="1">
      <c r="A674" s="336"/>
      <c r="B674" s="336"/>
      <c r="C674" s="336"/>
      <c r="D674" s="336"/>
      <c r="E674" s="336"/>
      <c r="F674" s="336"/>
      <c r="G674" s="336"/>
      <c r="H674" s="336"/>
      <c r="I674" s="336"/>
      <c r="J674" s="336"/>
      <c r="K674" s="336"/>
      <c r="L674" s="336"/>
      <c r="M674" s="336"/>
      <c r="N674" s="336"/>
      <c r="O674" s="336"/>
      <c r="P674" s="336"/>
      <c r="Q674" s="336"/>
    </row>
    <row r="675" ht="15.75" customHeight="1">
      <c r="A675" s="336"/>
      <c r="B675" s="336"/>
      <c r="C675" s="336"/>
      <c r="D675" s="336"/>
      <c r="E675" s="336"/>
      <c r="F675" s="336"/>
      <c r="G675" s="336"/>
      <c r="H675" s="336"/>
      <c r="I675" s="336"/>
      <c r="J675" s="336"/>
      <c r="K675" s="336"/>
      <c r="L675" s="336"/>
      <c r="M675" s="336"/>
      <c r="N675" s="336"/>
      <c r="O675" s="336"/>
      <c r="P675" s="336"/>
      <c r="Q675" s="336"/>
    </row>
    <row r="676" ht="15.75" customHeight="1">
      <c r="A676" s="336"/>
      <c r="B676" s="336"/>
      <c r="C676" s="336"/>
      <c r="D676" s="336"/>
      <c r="E676" s="336"/>
      <c r="F676" s="336"/>
      <c r="G676" s="336"/>
      <c r="H676" s="336"/>
      <c r="I676" s="336"/>
      <c r="J676" s="336"/>
      <c r="K676" s="336"/>
      <c r="L676" s="336"/>
      <c r="M676" s="336"/>
      <c r="N676" s="336"/>
      <c r="O676" s="336"/>
      <c r="P676" s="336"/>
      <c r="Q676" s="336"/>
    </row>
    <row r="677" ht="15.75" customHeight="1">
      <c r="A677" s="336"/>
      <c r="B677" s="336"/>
      <c r="C677" s="336"/>
      <c r="D677" s="336"/>
      <c r="E677" s="336"/>
      <c r="F677" s="336"/>
      <c r="G677" s="336"/>
      <c r="H677" s="336"/>
      <c r="I677" s="336"/>
      <c r="J677" s="336"/>
      <c r="K677" s="336"/>
      <c r="L677" s="336"/>
      <c r="M677" s="336"/>
      <c r="N677" s="336"/>
      <c r="O677" s="336"/>
      <c r="P677" s="336"/>
      <c r="Q677" s="336"/>
    </row>
    <row r="678" ht="15.75" customHeight="1">
      <c r="A678" s="336"/>
      <c r="B678" s="336"/>
      <c r="C678" s="336"/>
      <c r="D678" s="336"/>
      <c r="E678" s="336"/>
      <c r="F678" s="336"/>
      <c r="G678" s="336"/>
      <c r="H678" s="336"/>
      <c r="I678" s="336"/>
      <c r="J678" s="336"/>
      <c r="K678" s="336"/>
      <c r="L678" s="336"/>
      <c r="M678" s="336"/>
      <c r="N678" s="336"/>
      <c r="O678" s="336"/>
      <c r="P678" s="336"/>
      <c r="Q678" s="336"/>
    </row>
    <row r="679" ht="15.75" customHeight="1">
      <c r="A679" s="336"/>
      <c r="B679" s="336"/>
      <c r="C679" s="336"/>
      <c r="D679" s="336"/>
      <c r="E679" s="336"/>
      <c r="F679" s="336"/>
      <c r="G679" s="336"/>
      <c r="H679" s="336"/>
      <c r="I679" s="336"/>
      <c r="J679" s="336"/>
      <c r="K679" s="336"/>
      <c r="L679" s="336"/>
      <c r="M679" s="336"/>
      <c r="N679" s="336"/>
      <c r="O679" s="336"/>
      <c r="P679" s="336"/>
      <c r="Q679" s="336"/>
    </row>
    <row r="680" ht="15.75" customHeight="1">
      <c r="A680" s="336"/>
      <c r="B680" s="336"/>
      <c r="C680" s="336"/>
      <c r="D680" s="336"/>
      <c r="E680" s="336"/>
      <c r="F680" s="336"/>
      <c r="G680" s="336"/>
      <c r="H680" s="336"/>
      <c r="I680" s="336"/>
      <c r="J680" s="336"/>
      <c r="K680" s="336"/>
      <c r="L680" s="336"/>
      <c r="M680" s="336"/>
      <c r="N680" s="336"/>
      <c r="O680" s="336"/>
      <c r="P680" s="336"/>
      <c r="Q680" s="336"/>
    </row>
    <row r="681" ht="15.75" customHeight="1">
      <c r="A681" s="336"/>
      <c r="B681" s="336"/>
      <c r="C681" s="336"/>
      <c r="D681" s="336"/>
      <c r="E681" s="336"/>
      <c r="F681" s="336"/>
      <c r="G681" s="336"/>
      <c r="H681" s="336"/>
      <c r="I681" s="336"/>
      <c r="J681" s="336"/>
      <c r="K681" s="336"/>
      <c r="L681" s="336"/>
      <c r="M681" s="336"/>
      <c r="N681" s="336"/>
      <c r="O681" s="336"/>
      <c r="P681" s="336"/>
      <c r="Q681" s="336"/>
    </row>
    <row r="682" ht="15.75" customHeight="1">
      <c r="A682" s="336"/>
      <c r="B682" s="336"/>
      <c r="C682" s="336"/>
      <c r="D682" s="336"/>
      <c r="E682" s="336"/>
      <c r="F682" s="336"/>
      <c r="G682" s="336"/>
      <c r="H682" s="336"/>
      <c r="I682" s="336"/>
      <c r="J682" s="336"/>
      <c r="K682" s="336"/>
      <c r="L682" s="336"/>
      <c r="M682" s="336"/>
      <c r="N682" s="336"/>
      <c r="O682" s="336"/>
      <c r="P682" s="336"/>
      <c r="Q682" s="336"/>
    </row>
    <row r="683" ht="15.75" customHeight="1">
      <c r="A683" s="336"/>
      <c r="B683" s="336"/>
      <c r="C683" s="336"/>
      <c r="D683" s="336"/>
      <c r="E683" s="336"/>
      <c r="F683" s="336"/>
      <c r="G683" s="336"/>
      <c r="H683" s="336"/>
      <c r="I683" s="336"/>
      <c r="J683" s="336"/>
      <c r="K683" s="336"/>
      <c r="L683" s="336"/>
      <c r="M683" s="336"/>
      <c r="N683" s="336"/>
      <c r="O683" s="336"/>
      <c r="P683" s="336"/>
      <c r="Q683" s="336"/>
    </row>
    <row r="684" ht="15.75" customHeight="1">
      <c r="A684" s="336"/>
      <c r="B684" s="336"/>
      <c r="C684" s="336"/>
      <c r="D684" s="336"/>
      <c r="E684" s="336"/>
      <c r="F684" s="336"/>
      <c r="G684" s="336"/>
      <c r="H684" s="336"/>
      <c r="I684" s="336"/>
      <c r="J684" s="336"/>
      <c r="K684" s="336"/>
      <c r="L684" s="336"/>
      <c r="M684" s="336"/>
      <c r="N684" s="336"/>
      <c r="O684" s="336"/>
      <c r="P684" s="336"/>
      <c r="Q684" s="336"/>
    </row>
    <row r="685" ht="15.75" customHeight="1">
      <c r="A685" s="336"/>
      <c r="B685" s="336"/>
      <c r="C685" s="336"/>
      <c r="D685" s="336"/>
      <c r="E685" s="336"/>
      <c r="F685" s="336"/>
      <c r="G685" s="336"/>
      <c r="H685" s="336"/>
      <c r="I685" s="336"/>
      <c r="J685" s="336"/>
      <c r="K685" s="336"/>
      <c r="L685" s="336"/>
      <c r="M685" s="336"/>
      <c r="N685" s="336"/>
      <c r="O685" s="336"/>
      <c r="P685" s="336"/>
      <c r="Q685" s="336"/>
    </row>
    <row r="686" ht="15.75" customHeight="1">
      <c r="A686" s="336"/>
      <c r="B686" s="336"/>
      <c r="C686" s="336"/>
      <c r="D686" s="336"/>
      <c r="E686" s="336"/>
      <c r="F686" s="336"/>
      <c r="G686" s="336"/>
      <c r="H686" s="336"/>
      <c r="I686" s="336"/>
      <c r="J686" s="336"/>
      <c r="K686" s="336"/>
      <c r="L686" s="336"/>
      <c r="M686" s="336"/>
      <c r="N686" s="336"/>
      <c r="O686" s="336"/>
      <c r="P686" s="336"/>
      <c r="Q686" s="336"/>
    </row>
    <row r="687" ht="15.75" customHeight="1">
      <c r="A687" s="336"/>
      <c r="B687" s="336"/>
      <c r="C687" s="336"/>
      <c r="D687" s="336"/>
      <c r="E687" s="336"/>
      <c r="F687" s="336"/>
      <c r="G687" s="336"/>
      <c r="H687" s="336"/>
      <c r="I687" s="336"/>
      <c r="J687" s="336"/>
      <c r="K687" s="336"/>
      <c r="L687" s="336"/>
      <c r="M687" s="336"/>
      <c r="N687" s="336"/>
      <c r="O687" s="336"/>
      <c r="P687" s="336"/>
      <c r="Q687" s="336"/>
    </row>
    <row r="688" ht="15.75" customHeight="1">
      <c r="A688" s="336"/>
      <c r="B688" s="336"/>
      <c r="C688" s="336"/>
      <c r="D688" s="336"/>
      <c r="E688" s="336"/>
      <c r="F688" s="336"/>
      <c r="G688" s="336"/>
      <c r="H688" s="336"/>
      <c r="I688" s="336"/>
      <c r="J688" s="336"/>
      <c r="K688" s="336"/>
      <c r="L688" s="336"/>
      <c r="M688" s="336"/>
      <c r="N688" s="336"/>
      <c r="O688" s="336"/>
      <c r="P688" s="336"/>
      <c r="Q688" s="336"/>
    </row>
    <row r="689" ht="15.75" customHeight="1">
      <c r="A689" s="336"/>
      <c r="B689" s="336"/>
      <c r="C689" s="336"/>
      <c r="D689" s="336"/>
      <c r="E689" s="336"/>
      <c r="F689" s="336"/>
      <c r="G689" s="336"/>
      <c r="H689" s="336"/>
      <c r="I689" s="336"/>
      <c r="J689" s="336"/>
      <c r="K689" s="336"/>
      <c r="L689" s="336"/>
      <c r="M689" s="336"/>
      <c r="N689" s="336"/>
      <c r="O689" s="336"/>
      <c r="P689" s="336"/>
      <c r="Q689" s="336"/>
    </row>
    <row r="690" ht="15.75" customHeight="1">
      <c r="A690" s="336"/>
      <c r="B690" s="336"/>
      <c r="C690" s="336"/>
      <c r="D690" s="336"/>
      <c r="E690" s="336"/>
      <c r="F690" s="336"/>
      <c r="G690" s="336"/>
      <c r="H690" s="336"/>
      <c r="I690" s="336"/>
      <c r="J690" s="336"/>
      <c r="K690" s="336"/>
      <c r="L690" s="336"/>
      <c r="M690" s="336"/>
      <c r="N690" s="336"/>
      <c r="O690" s="336"/>
      <c r="P690" s="336"/>
      <c r="Q690" s="336"/>
    </row>
    <row r="691" ht="15.75" customHeight="1">
      <c r="A691" s="336"/>
      <c r="B691" s="336"/>
      <c r="C691" s="336"/>
      <c r="D691" s="336"/>
      <c r="E691" s="336"/>
      <c r="F691" s="336"/>
      <c r="G691" s="336"/>
      <c r="H691" s="336"/>
      <c r="I691" s="336"/>
      <c r="J691" s="336"/>
      <c r="K691" s="336"/>
      <c r="L691" s="336"/>
      <c r="M691" s="336"/>
      <c r="N691" s="336"/>
      <c r="O691" s="336"/>
      <c r="P691" s="336"/>
      <c r="Q691" s="336"/>
    </row>
    <row r="692" ht="15.75" customHeight="1">
      <c r="A692" s="336"/>
      <c r="B692" s="336"/>
      <c r="C692" s="336"/>
      <c r="D692" s="336"/>
      <c r="E692" s="336"/>
      <c r="F692" s="336"/>
      <c r="G692" s="336"/>
      <c r="H692" s="336"/>
      <c r="I692" s="336"/>
      <c r="J692" s="336"/>
      <c r="K692" s="336"/>
      <c r="L692" s="336"/>
      <c r="M692" s="336"/>
      <c r="N692" s="336"/>
      <c r="O692" s="336"/>
      <c r="P692" s="336"/>
      <c r="Q692" s="336"/>
    </row>
    <row r="693" ht="15.75" customHeight="1">
      <c r="A693" s="336"/>
      <c r="B693" s="336"/>
      <c r="C693" s="336"/>
      <c r="D693" s="336"/>
      <c r="E693" s="336"/>
      <c r="F693" s="336"/>
      <c r="G693" s="336"/>
      <c r="H693" s="336"/>
      <c r="I693" s="336"/>
      <c r="J693" s="336"/>
      <c r="K693" s="336"/>
      <c r="L693" s="336"/>
      <c r="M693" s="336"/>
      <c r="N693" s="336"/>
      <c r="O693" s="336"/>
      <c r="P693" s="336"/>
      <c r="Q693" s="336"/>
    </row>
    <row r="694" ht="15.75" customHeight="1">
      <c r="A694" s="336"/>
      <c r="B694" s="336"/>
      <c r="C694" s="336"/>
      <c r="D694" s="336"/>
      <c r="E694" s="336"/>
      <c r="F694" s="336"/>
      <c r="G694" s="336"/>
      <c r="H694" s="336"/>
      <c r="I694" s="336"/>
      <c r="J694" s="336"/>
      <c r="K694" s="336"/>
      <c r="L694" s="336"/>
      <c r="M694" s="336"/>
      <c r="N694" s="336"/>
      <c r="O694" s="336"/>
      <c r="P694" s="336"/>
      <c r="Q694" s="336"/>
    </row>
    <row r="695" ht="15.75" customHeight="1">
      <c r="A695" s="336"/>
      <c r="B695" s="336"/>
      <c r="C695" s="336"/>
      <c r="D695" s="336"/>
      <c r="E695" s="336"/>
      <c r="F695" s="336"/>
      <c r="G695" s="336"/>
      <c r="H695" s="336"/>
      <c r="I695" s="336"/>
      <c r="J695" s="336"/>
      <c r="K695" s="336"/>
      <c r="L695" s="336"/>
      <c r="M695" s="336"/>
      <c r="N695" s="336"/>
      <c r="O695" s="336"/>
      <c r="P695" s="336"/>
      <c r="Q695" s="336"/>
    </row>
    <row r="696" ht="15.75" customHeight="1">
      <c r="A696" s="336"/>
      <c r="B696" s="336"/>
      <c r="C696" s="336"/>
      <c r="D696" s="336"/>
      <c r="E696" s="336"/>
      <c r="F696" s="336"/>
      <c r="G696" s="336"/>
      <c r="H696" s="336"/>
      <c r="I696" s="336"/>
      <c r="J696" s="336"/>
      <c r="K696" s="336"/>
      <c r="L696" s="336"/>
      <c r="M696" s="336"/>
      <c r="N696" s="336"/>
      <c r="O696" s="336"/>
      <c r="P696" s="336"/>
      <c r="Q696" s="336"/>
    </row>
    <row r="697" ht="15.75" customHeight="1">
      <c r="A697" s="336"/>
      <c r="B697" s="336"/>
      <c r="C697" s="336"/>
      <c r="D697" s="336"/>
      <c r="E697" s="336"/>
      <c r="F697" s="336"/>
      <c r="G697" s="336"/>
      <c r="H697" s="336"/>
      <c r="I697" s="336"/>
      <c r="J697" s="336"/>
      <c r="K697" s="336"/>
      <c r="L697" s="336"/>
      <c r="M697" s="336"/>
      <c r="N697" s="336"/>
      <c r="O697" s="336"/>
      <c r="P697" s="336"/>
      <c r="Q697" s="336"/>
    </row>
    <row r="698" ht="15.75" customHeight="1">
      <c r="A698" s="336"/>
      <c r="B698" s="336"/>
      <c r="C698" s="336"/>
      <c r="D698" s="336"/>
      <c r="E698" s="336"/>
      <c r="F698" s="336"/>
      <c r="G698" s="336"/>
      <c r="H698" s="336"/>
      <c r="I698" s="336"/>
      <c r="J698" s="336"/>
      <c r="K698" s="336"/>
      <c r="L698" s="336"/>
      <c r="M698" s="336"/>
      <c r="N698" s="336"/>
      <c r="O698" s="336"/>
      <c r="P698" s="336"/>
      <c r="Q698" s="336"/>
    </row>
    <row r="699" ht="15.75" customHeight="1">
      <c r="A699" s="336"/>
      <c r="B699" s="336"/>
      <c r="C699" s="336"/>
      <c r="D699" s="336"/>
      <c r="E699" s="336"/>
      <c r="F699" s="336"/>
      <c r="G699" s="336"/>
      <c r="H699" s="336"/>
      <c r="I699" s="336"/>
      <c r="J699" s="336"/>
      <c r="K699" s="336"/>
      <c r="L699" s="336"/>
      <c r="M699" s="336"/>
      <c r="N699" s="336"/>
      <c r="O699" s="336"/>
      <c r="P699" s="336"/>
      <c r="Q699" s="336"/>
    </row>
    <row r="700" ht="15.75" customHeight="1">
      <c r="A700" s="336"/>
      <c r="B700" s="336"/>
      <c r="C700" s="336"/>
      <c r="D700" s="336"/>
      <c r="E700" s="336"/>
      <c r="F700" s="336"/>
      <c r="G700" s="336"/>
      <c r="H700" s="336"/>
      <c r="I700" s="336"/>
      <c r="J700" s="336"/>
      <c r="K700" s="336"/>
      <c r="L700" s="336"/>
      <c r="M700" s="336"/>
      <c r="N700" s="336"/>
      <c r="O700" s="336"/>
      <c r="P700" s="336"/>
      <c r="Q700" s="336"/>
    </row>
    <row r="701" ht="15.75" customHeight="1">
      <c r="A701" s="336"/>
      <c r="B701" s="336"/>
      <c r="C701" s="336"/>
      <c r="D701" s="336"/>
      <c r="E701" s="336"/>
      <c r="F701" s="336"/>
      <c r="G701" s="336"/>
      <c r="H701" s="336"/>
      <c r="I701" s="336"/>
      <c r="J701" s="336"/>
      <c r="K701" s="336"/>
      <c r="L701" s="336"/>
      <c r="M701" s="336"/>
      <c r="N701" s="336"/>
      <c r="O701" s="336"/>
      <c r="P701" s="336"/>
      <c r="Q701" s="336"/>
    </row>
    <row r="702" ht="15.75" customHeight="1">
      <c r="A702" s="336"/>
      <c r="B702" s="336"/>
      <c r="C702" s="336"/>
      <c r="D702" s="336"/>
      <c r="E702" s="336"/>
      <c r="F702" s="336"/>
      <c r="G702" s="336"/>
      <c r="H702" s="336"/>
      <c r="I702" s="336"/>
      <c r="J702" s="336"/>
      <c r="K702" s="336"/>
      <c r="L702" s="336"/>
      <c r="M702" s="336"/>
      <c r="N702" s="336"/>
      <c r="O702" s="336"/>
      <c r="P702" s="336"/>
      <c r="Q702" s="336"/>
    </row>
    <row r="703" ht="15.75" customHeight="1">
      <c r="A703" s="336"/>
      <c r="B703" s="336"/>
      <c r="C703" s="336"/>
      <c r="D703" s="336"/>
      <c r="E703" s="336"/>
      <c r="F703" s="336"/>
      <c r="G703" s="336"/>
      <c r="H703" s="336"/>
      <c r="I703" s="336"/>
      <c r="J703" s="336"/>
      <c r="K703" s="336"/>
      <c r="L703" s="336"/>
      <c r="M703" s="336"/>
      <c r="N703" s="336"/>
      <c r="O703" s="336"/>
      <c r="P703" s="336"/>
      <c r="Q703" s="336"/>
    </row>
    <row r="704" ht="15.75" customHeight="1">
      <c r="A704" s="336"/>
      <c r="B704" s="336"/>
      <c r="C704" s="336"/>
      <c r="D704" s="336"/>
      <c r="E704" s="336"/>
      <c r="F704" s="336"/>
      <c r="G704" s="336"/>
      <c r="H704" s="336"/>
      <c r="I704" s="336"/>
      <c r="J704" s="336"/>
      <c r="K704" s="336"/>
      <c r="L704" s="336"/>
      <c r="M704" s="336"/>
      <c r="N704" s="336"/>
      <c r="O704" s="336"/>
      <c r="P704" s="336"/>
      <c r="Q704" s="336"/>
    </row>
    <row r="705" ht="15.75" customHeight="1">
      <c r="A705" s="336"/>
      <c r="B705" s="336"/>
      <c r="C705" s="336"/>
      <c r="D705" s="336"/>
      <c r="E705" s="336"/>
      <c r="F705" s="336"/>
      <c r="G705" s="336"/>
      <c r="H705" s="336"/>
      <c r="I705" s="336"/>
      <c r="J705" s="336"/>
      <c r="K705" s="336"/>
      <c r="L705" s="336"/>
      <c r="M705" s="336"/>
      <c r="N705" s="336"/>
      <c r="O705" s="336"/>
      <c r="P705" s="336"/>
      <c r="Q705" s="336"/>
    </row>
    <row r="706" ht="15.75" customHeight="1">
      <c r="A706" s="336"/>
      <c r="B706" s="336"/>
      <c r="C706" s="336"/>
      <c r="D706" s="336"/>
      <c r="E706" s="336"/>
      <c r="F706" s="336"/>
      <c r="G706" s="336"/>
      <c r="H706" s="336"/>
      <c r="I706" s="336"/>
      <c r="J706" s="336"/>
      <c r="K706" s="336"/>
      <c r="L706" s="336"/>
      <c r="M706" s="336"/>
      <c r="N706" s="336"/>
      <c r="O706" s="336"/>
      <c r="P706" s="336"/>
      <c r="Q706" s="336"/>
    </row>
    <row r="707" ht="15.75" customHeight="1">
      <c r="A707" s="336"/>
      <c r="B707" s="336"/>
      <c r="C707" s="336"/>
      <c r="D707" s="336"/>
      <c r="E707" s="336"/>
      <c r="F707" s="336"/>
      <c r="G707" s="336"/>
      <c r="H707" s="336"/>
      <c r="I707" s="336"/>
      <c r="J707" s="336"/>
      <c r="K707" s="336"/>
      <c r="L707" s="336"/>
      <c r="M707" s="336"/>
      <c r="N707" s="336"/>
      <c r="O707" s="336"/>
      <c r="P707" s="336"/>
      <c r="Q707" s="336"/>
    </row>
    <row r="708" ht="15.75" customHeight="1">
      <c r="A708" s="336"/>
      <c r="B708" s="336"/>
      <c r="C708" s="336"/>
      <c r="D708" s="336"/>
      <c r="E708" s="336"/>
      <c r="F708" s="336"/>
      <c r="G708" s="336"/>
      <c r="H708" s="336"/>
      <c r="I708" s="336"/>
      <c r="J708" s="336"/>
      <c r="K708" s="336"/>
      <c r="L708" s="336"/>
      <c r="M708" s="336"/>
      <c r="N708" s="336"/>
      <c r="O708" s="336"/>
      <c r="P708" s="336"/>
      <c r="Q708" s="336"/>
    </row>
    <row r="709" ht="15.75" customHeight="1">
      <c r="A709" s="336"/>
      <c r="B709" s="336"/>
      <c r="C709" s="336"/>
      <c r="D709" s="336"/>
      <c r="E709" s="336"/>
      <c r="F709" s="336"/>
      <c r="G709" s="336"/>
      <c r="H709" s="336"/>
      <c r="I709" s="336"/>
      <c r="J709" s="336"/>
      <c r="K709" s="336"/>
      <c r="L709" s="336"/>
      <c r="M709" s="336"/>
      <c r="N709" s="336"/>
      <c r="O709" s="336"/>
      <c r="P709" s="336"/>
      <c r="Q709" s="336"/>
    </row>
    <row r="710" ht="15.75" customHeight="1">
      <c r="A710" s="336"/>
      <c r="B710" s="336"/>
      <c r="C710" s="336"/>
      <c r="D710" s="336"/>
      <c r="E710" s="336"/>
      <c r="F710" s="336"/>
      <c r="G710" s="336"/>
      <c r="H710" s="336"/>
      <c r="I710" s="336"/>
      <c r="J710" s="336"/>
      <c r="K710" s="336"/>
      <c r="L710" s="336"/>
      <c r="M710" s="336"/>
      <c r="N710" s="336"/>
      <c r="O710" s="336"/>
      <c r="P710" s="336"/>
      <c r="Q710" s="336"/>
    </row>
    <row r="711" ht="15.75" customHeight="1">
      <c r="A711" s="336"/>
      <c r="B711" s="336"/>
      <c r="C711" s="336"/>
      <c r="D711" s="336"/>
      <c r="E711" s="336"/>
      <c r="F711" s="336"/>
      <c r="G711" s="336"/>
      <c r="H711" s="336"/>
      <c r="I711" s="336"/>
      <c r="J711" s="336"/>
      <c r="K711" s="336"/>
      <c r="L711" s="336"/>
      <c r="M711" s="336"/>
      <c r="N711" s="336"/>
      <c r="O711" s="336"/>
      <c r="P711" s="336"/>
      <c r="Q711" s="336"/>
    </row>
    <row r="712" ht="15.75" customHeight="1">
      <c r="A712" s="336"/>
      <c r="B712" s="336"/>
      <c r="C712" s="336"/>
      <c r="D712" s="336"/>
      <c r="E712" s="336"/>
      <c r="F712" s="336"/>
      <c r="G712" s="336"/>
      <c r="H712" s="336"/>
      <c r="I712" s="336"/>
      <c r="J712" s="336"/>
      <c r="K712" s="336"/>
      <c r="L712" s="336"/>
      <c r="M712" s="336"/>
      <c r="N712" s="336"/>
      <c r="O712" s="336"/>
      <c r="P712" s="336"/>
      <c r="Q712" s="336"/>
    </row>
    <row r="713" ht="15.75" customHeight="1">
      <c r="A713" s="336"/>
      <c r="B713" s="336"/>
      <c r="C713" s="336"/>
      <c r="D713" s="336"/>
      <c r="E713" s="336"/>
      <c r="F713" s="336"/>
      <c r="G713" s="336"/>
      <c r="H713" s="336"/>
      <c r="I713" s="336"/>
      <c r="J713" s="336"/>
      <c r="K713" s="336"/>
      <c r="L713" s="336"/>
      <c r="M713" s="336"/>
      <c r="N713" s="336"/>
      <c r="O713" s="336"/>
      <c r="P713" s="336"/>
      <c r="Q713" s="336"/>
    </row>
    <row r="714" ht="15.75" customHeight="1">
      <c r="A714" s="336"/>
      <c r="B714" s="336"/>
      <c r="C714" s="336"/>
      <c r="D714" s="336"/>
      <c r="E714" s="336"/>
      <c r="F714" s="336"/>
      <c r="G714" s="336"/>
      <c r="H714" s="336"/>
      <c r="I714" s="336"/>
      <c r="J714" s="336"/>
      <c r="K714" s="336"/>
      <c r="L714" s="336"/>
      <c r="M714" s="336"/>
      <c r="N714" s="336"/>
      <c r="O714" s="336"/>
      <c r="P714" s="336"/>
      <c r="Q714" s="336"/>
    </row>
    <row r="715" ht="15.75" customHeight="1">
      <c r="A715" s="336"/>
      <c r="B715" s="336"/>
      <c r="C715" s="336"/>
      <c r="D715" s="336"/>
      <c r="E715" s="336"/>
      <c r="F715" s="336"/>
      <c r="G715" s="336"/>
      <c r="H715" s="336"/>
      <c r="I715" s="336"/>
      <c r="J715" s="336"/>
      <c r="K715" s="336"/>
      <c r="L715" s="336"/>
      <c r="M715" s="336"/>
      <c r="N715" s="336"/>
      <c r="O715" s="336"/>
      <c r="P715" s="336"/>
      <c r="Q715" s="336"/>
    </row>
    <row r="716" ht="15.75" customHeight="1">
      <c r="A716" s="336"/>
      <c r="B716" s="336"/>
      <c r="C716" s="336"/>
      <c r="D716" s="336"/>
      <c r="E716" s="336"/>
      <c r="F716" s="336"/>
      <c r="G716" s="336"/>
      <c r="H716" s="336"/>
      <c r="I716" s="336"/>
      <c r="J716" s="336"/>
      <c r="K716" s="336"/>
      <c r="L716" s="336"/>
      <c r="M716" s="336"/>
      <c r="N716" s="336"/>
      <c r="O716" s="336"/>
      <c r="P716" s="336"/>
      <c r="Q716" s="336"/>
    </row>
    <row r="717" ht="15.75" customHeight="1">
      <c r="A717" s="336"/>
      <c r="B717" s="336"/>
      <c r="C717" s="336"/>
      <c r="D717" s="336"/>
      <c r="E717" s="336"/>
      <c r="F717" s="336"/>
      <c r="G717" s="336"/>
      <c r="H717" s="336"/>
      <c r="I717" s="336"/>
      <c r="J717" s="336"/>
      <c r="K717" s="336"/>
      <c r="L717" s="336"/>
      <c r="M717" s="336"/>
      <c r="N717" s="336"/>
      <c r="O717" s="336"/>
      <c r="P717" s="336"/>
      <c r="Q717" s="336"/>
    </row>
    <row r="718" ht="15.75" customHeight="1">
      <c r="A718" s="336"/>
      <c r="B718" s="336"/>
      <c r="C718" s="336"/>
      <c r="D718" s="336"/>
      <c r="E718" s="336"/>
      <c r="F718" s="336"/>
      <c r="G718" s="336"/>
      <c r="H718" s="336"/>
      <c r="I718" s="336"/>
      <c r="J718" s="336"/>
      <c r="K718" s="336"/>
      <c r="L718" s="336"/>
      <c r="M718" s="336"/>
      <c r="N718" s="336"/>
      <c r="O718" s="336"/>
      <c r="P718" s="336"/>
      <c r="Q718" s="336"/>
    </row>
    <row r="719" ht="15.75" customHeight="1">
      <c r="A719" s="336"/>
      <c r="B719" s="336"/>
      <c r="C719" s="336"/>
      <c r="D719" s="336"/>
      <c r="E719" s="336"/>
      <c r="F719" s="336"/>
      <c r="G719" s="336"/>
      <c r="H719" s="336"/>
      <c r="I719" s="336"/>
      <c r="J719" s="336"/>
      <c r="K719" s="336"/>
      <c r="L719" s="336"/>
      <c r="M719" s="336"/>
      <c r="N719" s="336"/>
      <c r="O719" s="336"/>
      <c r="P719" s="336"/>
      <c r="Q719" s="336"/>
    </row>
    <row r="720" ht="15.75" customHeight="1">
      <c r="A720" s="336"/>
      <c r="B720" s="336"/>
      <c r="C720" s="336"/>
      <c r="D720" s="336"/>
      <c r="E720" s="336"/>
      <c r="F720" s="336"/>
      <c r="G720" s="336"/>
      <c r="H720" s="336"/>
      <c r="I720" s="336"/>
      <c r="J720" s="336"/>
      <c r="K720" s="336"/>
      <c r="L720" s="336"/>
      <c r="M720" s="336"/>
      <c r="N720" s="336"/>
      <c r="O720" s="336"/>
      <c r="P720" s="336"/>
      <c r="Q720" s="336"/>
    </row>
    <row r="721" ht="15.75" customHeight="1">
      <c r="A721" s="336"/>
      <c r="B721" s="336"/>
      <c r="C721" s="336"/>
      <c r="D721" s="336"/>
      <c r="E721" s="336"/>
      <c r="F721" s="336"/>
      <c r="G721" s="336"/>
      <c r="H721" s="336"/>
      <c r="I721" s="336"/>
      <c r="J721" s="336"/>
      <c r="K721" s="336"/>
      <c r="L721" s="336"/>
      <c r="M721" s="336"/>
      <c r="N721" s="336"/>
      <c r="O721" s="336"/>
      <c r="P721" s="336"/>
      <c r="Q721" s="336"/>
    </row>
    <row r="722" ht="15.75" customHeight="1">
      <c r="A722" s="336"/>
      <c r="B722" s="336"/>
      <c r="C722" s="336"/>
      <c r="D722" s="336"/>
      <c r="E722" s="336"/>
      <c r="F722" s="336"/>
      <c r="G722" s="336"/>
      <c r="H722" s="336"/>
      <c r="I722" s="336"/>
      <c r="J722" s="336"/>
      <c r="K722" s="336"/>
      <c r="L722" s="336"/>
      <c r="M722" s="336"/>
      <c r="N722" s="336"/>
      <c r="O722" s="336"/>
      <c r="P722" s="336"/>
      <c r="Q722" s="336"/>
    </row>
    <row r="723" ht="15.75" customHeight="1">
      <c r="A723" s="336"/>
      <c r="B723" s="336"/>
      <c r="C723" s="336"/>
      <c r="D723" s="336"/>
      <c r="E723" s="336"/>
      <c r="F723" s="336"/>
      <c r="G723" s="336"/>
      <c r="H723" s="336"/>
      <c r="I723" s="336"/>
      <c r="J723" s="336"/>
      <c r="K723" s="336"/>
      <c r="L723" s="336"/>
      <c r="M723" s="336"/>
      <c r="N723" s="336"/>
      <c r="O723" s="336"/>
      <c r="P723" s="336"/>
      <c r="Q723" s="336"/>
    </row>
    <row r="724" ht="15.75" customHeight="1">
      <c r="A724" s="336"/>
      <c r="B724" s="336"/>
      <c r="C724" s="336"/>
      <c r="D724" s="336"/>
      <c r="E724" s="336"/>
      <c r="F724" s="336"/>
      <c r="G724" s="336"/>
      <c r="H724" s="336"/>
      <c r="I724" s="336"/>
      <c r="J724" s="336"/>
      <c r="K724" s="336"/>
      <c r="L724" s="336"/>
      <c r="M724" s="336"/>
      <c r="N724" s="336"/>
      <c r="O724" s="336"/>
      <c r="P724" s="336"/>
      <c r="Q724" s="336"/>
    </row>
    <row r="725" ht="15.75" customHeight="1">
      <c r="A725" s="336"/>
      <c r="B725" s="336"/>
      <c r="C725" s="336"/>
      <c r="D725" s="336"/>
      <c r="E725" s="336"/>
      <c r="F725" s="336"/>
      <c r="G725" s="336"/>
      <c r="H725" s="336"/>
      <c r="I725" s="336"/>
      <c r="J725" s="336"/>
      <c r="K725" s="336"/>
      <c r="L725" s="336"/>
      <c r="M725" s="336"/>
      <c r="N725" s="336"/>
      <c r="O725" s="336"/>
      <c r="P725" s="336"/>
      <c r="Q725" s="336"/>
    </row>
    <row r="726" ht="15.75" customHeight="1">
      <c r="A726" s="336"/>
      <c r="B726" s="336"/>
      <c r="C726" s="336"/>
      <c r="D726" s="336"/>
      <c r="E726" s="336"/>
      <c r="F726" s="336"/>
      <c r="G726" s="336"/>
      <c r="H726" s="336"/>
      <c r="I726" s="336"/>
      <c r="J726" s="336"/>
      <c r="K726" s="336"/>
      <c r="L726" s="336"/>
      <c r="M726" s="336"/>
      <c r="N726" s="336"/>
      <c r="O726" s="336"/>
      <c r="P726" s="336"/>
      <c r="Q726" s="336"/>
    </row>
    <row r="727" ht="15.75" customHeight="1">
      <c r="A727" s="336"/>
      <c r="B727" s="336"/>
      <c r="C727" s="336"/>
      <c r="D727" s="336"/>
      <c r="E727" s="336"/>
      <c r="F727" s="336"/>
      <c r="G727" s="336"/>
      <c r="H727" s="336"/>
      <c r="I727" s="336"/>
      <c r="J727" s="336"/>
      <c r="K727" s="336"/>
      <c r="L727" s="336"/>
      <c r="M727" s="336"/>
      <c r="N727" s="336"/>
      <c r="O727" s="336"/>
      <c r="P727" s="336"/>
      <c r="Q727" s="336"/>
    </row>
    <row r="728" ht="15.75" customHeight="1">
      <c r="A728" s="336"/>
      <c r="B728" s="336"/>
      <c r="C728" s="336"/>
      <c r="D728" s="336"/>
      <c r="E728" s="336"/>
      <c r="F728" s="336"/>
      <c r="G728" s="336"/>
      <c r="H728" s="336"/>
      <c r="I728" s="336"/>
      <c r="J728" s="336"/>
      <c r="K728" s="336"/>
      <c r="L728" s="336"/>
      <c r="M728" s="336"/>
      <c r="N728" s="336"/>
      <c r="O728" s="336"/>
      <c r="P728" s="336"/>
      <c r="Q728" s="336"/>
    </row>
    <row r="729" ht="15.75" customHeight="1">
      <c r="A729" s="336"/>
      <c r="B729" s="336"/>
      <c r="C729" s="336"/>
      <c r="D729" s="336"/>
      <c r="E729" s="336"/>
      <c r="F729" s="336"/>
      <c r="G729" s="336"/>
      <c r="H729" s="336"/>
      <c r="I729" s="336"/>
      <c r="J729" s="336"/>
      <c r="K729" s="336"/>
      <c r="L729" s="336"/>
      <c r="M729" s="336"/>
      <c r="N729" s="336"/>
      <c r="O729" s="336"/>
      <c r="P729" s="336"/>
      <c r="Q729" s="336"/>
    </row>
    <row r="730" ht="15.75" customHeight="1">
      <c r="A730" s="336"/>
      <c r="B730" s="336"/>
      <c r="C730" s="336"/>
      <c r="D730" s="336"/>
      <c r="E730" s="336"/>
      <c r="F730" s="336"/>
      <c r="G730" s="336"/>
      <c r="H730" s="336"/>
      <c r="I730" s="336"/>
      <c r="J730" s="336"/>
      <c r="K730" s="336"/>
      <c r="L730" s="336"/>
      <c r="M730" s="336"/>
      <c r="N730" s="336"/>
      <c r="O730" s="336"/>
      <c r="P730" s="336"/>
      <c r="Q730" s="336"/>
    </row>
    <row r="731" ht="15.75" customHeight="1">
      <c r="A731" s="336"/>
      <c r="B731" s="336"/>
      <c r="C731" s="336"/>
      <c r="D731" s="336"/>
      <c r="E731" s="336"/>
      <c r="F731" s="336"/>
      <c r="G731" s="336"/>
      <c r="H731" s="336"/>
      <c r="I731" s="336"/>
      <c r="J731" s="336"/>
      <c r="K731" s="336"/>
      <c r="L731" s="336"/>
      <c r="M731" s="336"/>
      <c r="N731" s="336"/>
      <c r="O731" s="336"/>
      <c r="P731" s="336"/>
      <c r="Q731" s="336"/>
    </row>
    <row r="732" ht="15.75" customHeight="1">
      <c r="A732" s="336"/>
      <c r="B732" s="336"/>
      <c r="C732" s="336"/>
      <c r="D732" s="336"/>
      <c r="E732" s="336"/>
      <c r="F732" s="336"/>
      <c r="G732" s="336"/>
      <c r="H732" s="336"/>
      <c r="I732" s="336"/>
      <c r="J732" s="336"/>
      <c r="K732" s="336"/>
      <c r="L732" s="336"/>
      <c r="M732" s="336"/>
      <c r="N732" s="336"/>
      <c r="O732" s="336"/>
      <c r="P732" s="336"/>
      <c r="Q732" s="336"/>
    </row>
    <row r="733" ht="15.75" customHeight="1">
      <c r="A733" s="336"/>
      <c r="B733" s="336"/>
      <c r="C733" s="336"/>
      <c r="D733" s="336"/>
      <c r="E733" s="336"/>
      <c r="F733" s="336"/>
      <c r="G733" s="336"/>
      <c r="H733" s="336"/>
      <c r="I733" s="336"/>
      <c r="J733" s="336"/>
      <c r="K733" s="336"/>
      <c r="L733" s="336"/>
      <c r="M733" s="336"/>
      <c r="N733" s="336"/>
      <c r="O733" s="336"/>
      <c r="P733" s="336"/>
      <c r="Q733" s="336"/>
    </row>
    <row r="734" ht="15.75" customHeight="1">
      <c r="A734" s="336"/>
      <c r="B734" s="336"/>
      <c r="C734" s="336"/>
      <c r="D734" s="336"/>
      <c r="E734" s="336"/>
      <c r="F734" s="336"/>
      <c r="G734" s="336"/>
      <c r="H734" s="336"/>
      <c r="I734" s="336"/>
      <c r="J734" s="336"/>
      <c r="K734" s="336"/>
      <c r="L734" s="336"/>
      <c r="M734" s="336"/>
      <c r="N734" s="336"/>
      <c r="O734" s="336"/>
      <c r="P734" s="336"/>
      <c r="Q734" s="336"/>
    </row>
    <row r="735" ht="15.75" customHeight="1">
      <c r="A735" s="336"/>
      <c r="B735" s="336"/>
      <c r="C735" s="336"/>
      <c r="D735" s="336"/>
      <c r="E735" s="336"/>
      <c r="F735" s="336"/>
      <c r="G735" s="336"/>
      <c r="H735" s="336"/>
      <c r="I735" s="336"/>
      <c r="J735" s="336"/>
      <c r="K735" s="336"/>
      <c r="L735" s="336"/>
      <c r="M735" s="336"/>
      <c r="N735" s="336"/>
      <c r="O735" s="336"/>
      <c r="P735" s="336"/>
      <c r="Q735" s="336"/>
    </row>
    <row r="736" ht="15.75" customHeight="1">
      <c r="A736" s="336"/>
      <c r="B736" s="336"/>
      <c r="C736" s="336"/>
      <c r="D736" s="336"/>
      <c r="E736" s="336"/>
      <c r="F736" s="336"/>
      <c r="G736" s="336"/>
      <c r="H736" s="336"/>
      <c r="I736" s="336"/>
      <c r="J736" s="336"/>
      <c r="K736" s="336"/>
      <c r="L736" s="336"/>
      <c r="M736" s="336"/>
      <c r="N736" s="336"/>
      <c r="O736" s="336"/>
      <c r="P736" s="336"/>
      <c r="Q736" s="336"/>
    </row>
    <row r="737" ht="15.75" customHeight="1">
      <c r="A737" s="336"/>
      <c r="B737" s="336"/>
      <c r="C737" s="336"/>
      <c r="D737" s="336"/>
      <c r="E737" s="336"/>
      <c r="F737" s="336"/>
      <c r="G737" s="336"/>
      <c r="H737" s="336"/>
      <c r="I737" s="336"/>
      <c r="J737" s="336"/>
      <c r="K737" s="336"/>
      <c r="L737" s="336"/>
      <c r="M737" s="336"/>
      <c r="N737" s="336"/>
      <c r="O737" s="336"/>
      <c r="P737" s="336"/>
      <c r="Q737" s="336"/>
    </row>
    <row r="738" ht="15.75" customHeight="1">
      <c r="A738" s="336"/>
      <c r="B738" s="336"/>
      <c r="C738" s="336"/>
      <c r="D738" s="336"/>
      <c r="E738" s="336"/>
      <c r="F738" s="336"/>
      <c r="G738" s="336"/>
      <c r="H738" s="336"/>
      <c r="I738" s="336"/>
      <c r="J738" s="336"/>
      <c r="K738" s="336"/>
      <c r="L738" s="336"/>
      <c r="M738" s="336"/>
      <c r="N738" s="336"/>
      <c r="O738" s="336"/>
      <c r="P738" s="336"/>
      <c r="Q738" s="336"/>
    </row>
    <row r="739" ht="15.75" customHeight="1">
      <c r="A739" s="336"/>
      <c r="B739" s="336"/>
      <c r="C739" s="336"/>
      <c r="D739" s="336"/>
      <c r="E739" s="336"/>
      <c r="F739" s="336"/>
      <c r="G739" s="336"/>
      <c r="H739" s="336"/>
      <c r="I739" s="336"/>
      <c r="J739" s="336"/>
      <c r="K739" s="336"/>
      <c r="L739" s="336"/>
      <c r="M739" s="336"/>
      <c r="N739" s="336"/>
      <c r="O739" s="336"/>
      <c r="P739" s="336"/>
      <c r="Q739" s="336"/>
    </row>
    <row r="740" ht="15.75" customHeight="1">
      <c r="A740" s="336"/>
      <c r="B740" s="336"/>
      <c r="C740" s="336"/>
      <c r="D740" s="336"/>
      <c r="E740" s="336"/>
      <c r="F740" s="336"/>
      <c r="G740" s="336"/>
      <c r="H740" s="336"/>
      <c r="I740" s="336"/>
      <c r="J740" s="336"/>
      <c r="K740" s="336"/>
      <c r="L740" s="336"/>
      <c r="M740" s="336"/>
      <c r="N740" s="336"/>
      <c r="O740" s="336"/>
      <c r="P740" s="336"/>
      <c r="Q740" s="336"/>
    </row>
    <row r="741" ht="15.75" customHeight="1">
      <c r="A741" s="336"/>
      <c r="B741" s="336"/>
      <c r="C741" s="336"/>
      <c r="D741" s="336"/>
      <c r="E741" s="336"/>
      <c r="F741" s="336"/>
      <c r="G741" s="336"/>
      <c r="H741" s="336"/>
      <c r="I741" s="336"/>
      <c r="J741" s="336"/>
      <c r="K741" s="336"/>
      <c r="L741" s="336"/>
      <c r="M741" s="336"/>
      <c r="N741" s="336"/>
      <c r="O741" s="336"/>
      <c r="P741" s="336"/>
      <c r="Q741" s="336"/>
    </row>
    <row r="742" ht="15.75" customHeight="1">
      <c r="A742" s="336"/>
      <c r="B742" s="336"/>
      <c r="C742" s="336"/>
      <c r="D742" s="336"/>
      <c r="E742" s="336"/>
      <c r="F742" s="336"/>
      <c r="G742" s="336"/>
      <c r="H742" s="336"/>
      <c r="I742" s="336"/>
      <c r="J742" s="336"/>
      <c r="K742" s="336"/>
      <c r="L742" s="336"/>
      <c r="M742" s="336"/>
      <c r="N742" s="336"/>
      <c r="O742" s="336"/>
      <c r="P742" s="336"/>
      <c r="Q742" s="336"/>
    </row>
    <row r="743" ht="15.75" customHeight="1">
      <c r="A743" s="336"/>
      <c r="B743" s="336"/>
      <c r="C743" s="336"/>
      <c r="D743" s="336"/>
      <c r="E743" s="336"/>
      <c r="F743" s="336"/>
      <c r="G743" s="336"/>
      <c r="H743" s="336"/>
      <c r="I743" s="336"/>
      <c r="J743" s="336"/>
      <c r="K743" s="336"/>
      <c r="L743" s="336"/>
      <c r="M743" s="336"/>
      <c r="N743" s="336"/>
      <c r="O743" s="336"/>
      <c r="P743" s="336"/>
      <c r="Q743" s="336"/>
    </row>
    <row r="744" ht="15.75" customHeight="1">
      <c r="A744" s="336"/>
      <c r="B744" s="336"/>
      <c r="C744" s="336"/>
      <c r="D744" s="336"/>
      <c r="E744" s="336"/>
      <c r="F744" s="336"/>
      <c r="G744" s="336"/>
      <c r="H744" s="336"/>
      <c r="I744" s="336"/>
      <c r="J744" s="336"/>
      <c r="K744" s="336"/>
      <c r="L744" s="336"/>
      <c r="M744" s="336"/>
      <c r="N744" s="336"/>
      <c r="O744" s="336"/>
      <c r="P744" s="336"/>
      <c r="Q744" s="336"/>
    </row>
    <row r="745" ht="15.75" customHeight="1">
      <c r="A745" s="336"/>
      <c r="B745" s="336"/>
      <c r="C745" s="336"/>
      <c r="D745" s="336"/>
      <c r="E745" s="336"/>
      <c r="F745" s="336"/>
      <c r="G745" s="336"/>
      <c r="H745" s="336"/>
      <c r="I745" s="336"/>
      <c r="J745" s="336"/>
      <c r="K745" s="336"/>
      <c r="L745" s="336"/>
      <c r="M745" s="336"/>
      <c r="N745" s="336"/>
      <c r="O745" s="336"/>
      <c r="P745" s="336"/>
      <c r="Q745" s="336"/>
    </row>
    <row r="746" ht="15.75" customHeight="1">
      <c r="A746" s="336"/>
      <c r="B746" s="336"/>
      <c r="C746" s="336"/>
      <c r="D746" s="336"/>
      <c r="E746" s="336"/>
      <c r="F746" s="336"/>
      <c r="G746" s="336"/>
      <c r="H746" s="336"/>
      <c r="I746" s="336"/>
      <c r="J746" s="336"/>
      <c r="K746" s="336"/>
      <c r="L746" s="336"/>
      <c r="M746" s="336"/>
      <c r="N746" s="336"/>
      <c r="O746" s="336"/>
      <c r="P746" s="336"/>
      <c r="Q746" s="336"/>
    </row>
    <row r="747" ht="15.75" customHeight="1">
      <c r="A747" s="336"/>
      <c r="B747" s="336"/>
      <c r="C747" s="336"/>
      <c r="D747" s="336"/>
      <c r="E747" s="336"/>
      <c r="F747" s="336"/>
      <c r="G747" s="336"/>
      <c r="H747" s="336"/>
      <c r="I747" s="336"/>
      <c r="J747" s="336"/>
      <c r="K747" s="336"/>
      <c r="L747" s="336"/>
      <c r="M747" s="336"/>
      <c r="N747" s="336"/>
      <c r="O747" s="336"/>
      <c r="P747" s="336"/>
      <c r="Q747" s="336"/>
    </row>
    <row r="748" ht="15.75" customHeight="1">
      <c r="A748" s="336"/>
      <c r="B748" s="336"/>
      <c r="C748" s="336"/>
      <c r="D748" s="336"/>
      <c r="E748" s="336"/>
      <c r="F748" s="336"/>
      <c r="G748" s="336"/>
      <c r="H748" s="336"/>
      <c r="I748" s="336"/>
      <c r="J748" s="336"/>
      <c r="K748" s="336"/>
      <c r="L748" s="336"/>
      <c r="M748" s="336"/>
      <c r="N748" s="336"/>
      <c r="O748" s="336"/>
      <c r="P748" s="336"/>
      <c r="Q748" s="336"/>
    </row>
    <row r="749" ht="15.75" customHeight="1">
      <c r="A749" s="336"/>
      <c r="B749" s="336"/>
      <c r="C749" s="336"/>
      <c r="D749" s="336"/>
      <c r="E749" s="336"/>
      <c r="F749" s="336"/>
      <c r="G749" s="336"/>
      <c r="H749" s="336"/>
      <c r="I749" s="336"/>
      <c r="J749" s="336"/>
      <c r="K749" s="336"/>
      <c r="L749" s="336"/>
      <c r="M749" s="336"/>
      <c r="N749" s="336"/>
      <c r="O749" s="336"/>
      <c r="P749" s="336"/>
      <c r="Q749" s="336"/>
    </row>
    <row r="750" ht="15.75" customHeight="1">
      <c r="A750" s="336"/>
      <c r="B750" s="336"/>
      <c r="C750" s="336"/>
      <c r="D750" s="336"/>
      <c r="E750" s="336"/>
      <c r="F750" s="336"/>
      <c r="G750" s="336"/>
      <c r="H750" s="336"/>
      <c r="I750" s="336"/>
      <c r="J750" s="336"/>
      <c r="K750" s="336"/>
      <c r="L750" s="336"/>
      <c r="M750" s="336"/>
      <c r="N750" s="336"/>
      <c r="O750" s="336"/>
      <c r="P750" s="336"/>
      <c r="Q750" s="336"/>
    </row>
    <row r="751" ht="15.75" customHeight="1">
      <c r="A751" s="336"/>
      <c r="B751" s="336"/>
      <c r="C751" s="336"/>
      <c r="D751" s="336"/>
      <c r="E751" s="336"/>
      <c r="F751" s="336"/>
      <c r="G751" s="336"/>
      <c r="H751" s="336"/>
      <c r="I751" s="336"/>
      <c r="J751" s="336"/>
      <c r="K751" s="336"/>
      <c r="L751" s="336"/>
      <c r="M751" s="336"/>
      <c r="N751" s="336"/>
      <c r="O751" s="336"/>
      <c r="P751" s="336"/>
      <c r="Q751" s="336"/>
    </row>
    <row r="752" ht="15.75" customHeight="1">
      <c r="A752" s="336"/>
      <c r="B752" s="336"/>
      <c r="C752" s="336"/>
      <c r="D752" s="336"/>
      <c r="E752" s="336"/>
      <c r="F752" s="336"/>
      <c r="G752" s="336"/>
      <c r="H752" s="336"/>
      <c r="I752" s="336"/>
      <c r="J752" s="336"/>
      <c r="K752" s="336"/>
      <c r="L752" s="336"/>
      <c r="M752" s="336"/>
      <c r="N752" s="336"/>
      <c r="O752" s="336"/>
      <c r="P752" s="336"/>
      <c r="Q752" s="336"/>
    </row>
    <row r="753" ht="15.75" customHeight="1">
      <c r="A753" s="336"/>
      <c r="B753" s="336"/>
      <c r="C753" s="336"/>
      <c r="D753" s="336"/>
      <c r="E753" s="336"/>
      <c r="F753" s="336"/>
      <c r="G753" s="336"/>
      <c r="H753" s="336"/>
      <c r="I753" s="336"/>
      <c r="J753" s="336"/>
      <c r="K753" s="336"/>
      <c r="L753" s="336"/>
      <c r="M753" s="336"/>
      <c r="N753" s="336"/>
      <c r="O753" s="336"/>
      <c r="P753" s="336"/>
      <c r="Q753" s="336"/>
    </row>
    <row r="754" ht="15.75" customHeight="1">
      <c r="A754" s="336"/>
      <c r="B754" s="336"/>
      <c r="C754" s="336"/>
      <c r="D754" s="336"/>
      <c r="E754" s="336"/>
      <c r="F754" s="336"/>
      <c r="G754" s="336"/>
      <c r="H754" s="336"/>
      <c r="I754" s="336"/>
      <c r="J754" s="336"/>
      <c r="K754" s="336"/>
      <c r="L754" s="336"/>
      <c r="M754" s="336"/>
      <c r="N754" s="336"/>
      <c r="O754" s="336"/>
      <c r="P754" s="336"/>
      <c r="Q754" s="336"/>
    </row>
    <row r="755" ht="15.75" customHeight="1">
      <c r="A755" s="336"/>
      <c r="B755" s="336"/>
      <c r="C755" s="336"/>
      <c r="D755" s="336"/>
      <c r="E755" s="336"/>
      <c r="F755" s="336"/>
      <c r="G755" s="336"/>
      <c r="H755" s="336"/>
      <c r="I755" s="336"/>
      <c r="J755" s="336"/>
      <c r="K755" s="336"/>
      <c r="L755" s="336"/>
      <c r="M755" s="336"/>
      <c r="N755" s="336"/>
      <c r="O755" s="336"/>
      <c r="P755" s="336"/>
      <c r="Q755" s="336"/>
    </row>
    <row r="756" ht="15.75" customHeight="1">
      <c r="A756" s="336"/>
      <c r="B756" s="336"/>
      <c r="C756" s="336"/>
      <c r="D756" s="336"/>
      <c r="E756" s="336"/>
      <c r="F756" s="336"/>
      <c r="G756" s="336"/>
      <c r="H756" s="336"/>
      <c r="I756" s="336"/>
      <c r="J756" s="336"/>
      <c r="K756" s="336"/>
      <c r="L756" s="336"/>
      <c r="M756" s="336"/>
      <c r="N756" s="336"/>
      <c r="O756" s="336"/>
      <c r="P756" s="336"/>
      <c r="Q756" s="336"/>
    </row>
    <row r="757" ht="15.75" customHeight="1">
      <c r="A757" s="336"/>
      <c r="B757" s="336"/>
      <c r="C757" s="336"/>
      <c r="D757" s="336"/>
      <c r="E757" s="336"/>
      <c r="F757" s="336"/>
      <c r="G757" s="336"/>
      <c r="H757" s="336"/>
      <c r="I757" s="336"/>
      <c r="J757" s="336"/>
      <c r="K757" s="336"/>
      <c r="L757" s="336"/>
      <c r="M757" s="336"/>
      <c r="N757" s="336"/>
      <c r="O757" s="336"/>
      <c r="P757" s="336"/>
      <c r="Q757" s="336"/>
    </row>
    <row r="758" ht="15.75" customHeight="1">
      <c r="A758" s="336"/>
      <c r="B758" s="336"/>
      <c r="C758" s="336"/>
      <c r="D758" s="336"/>
      <c r="E758" s="336"/>
      <c r="F758" s="336"/>
      <c r="G758" s="336"/>
      <c r="H758" s="336"/>
      <c r="I758" s="336"/>
      <c r="J758" s="336"/>
      <c r="K758" s="336"/>
      <c r="L758" s="336"/>
      <c r="M758" s="336"/>
      <c r="N758" s="336"/>
      <c r="O758" s="336"/>
      <c r="P758" s="336"/>
      <c r="Q758" s="336"/>
    </row>
    <row r="759" ht="15.75" customHeight="1">
      <c r="A759" s="336"/>
      <c r="B759" s="336"/>
      <c r="C759" s="336"/>
      <c r="D759" s="336"/>
      <c r="E759" s="336"/>
      <c r="F759" s="336"/>
      <c r="G759" s="336"/>
      <c r="H759" s="336"/>
      <c r="I759" s="336"/>
      <c r="J759" s="336"/>
      <c r="K759" s="336"/>
      <c r="L759" s="336"/>
      <c r="M759" s="336"/>
      <c r="N759" s="336"/>
      <c r="O759" s="336"/>
      <c r="P759" s="336"/>
      <c r="Q759" s="336"/>
    </row>
    <row r="760" ht="15.75" customHeight="1">
      <c r="A760" s="336"/>
      <c r="B760" s="336"/>
      <c r="C760" s="336"/>
      <c r="D760" s="336"/>
      <c r="E760" s="336"/>
      <c r="F760" s="336"/>
      <c r="G760" s="336"/>
      <c r="H760" s="336"/>
      <c r="I760" s="336"/>
      <c r="J760" s="336"/>
      <c r="K760" s="336"/>
      <c r="L760" s="336"/>
      <c r="M760" s="336"/>
      <c r="N760" s="336"/>
      <c r="O760" s="336"/>
      <c r="P760" s="336"/>
      <c r="Q760" s="336"/>
    </row>
    <row r="761" ht="15.75" customHeight="1">
      <c r="A761" s="336"/>
      <c r="B761" s="336"/>
      <c r="C761" s="336"/>
      <c r="D761" s="336"/>
      <c r="E761" s="336"/>
      <c r="F761" s="336"/>
      <c r="G761" s="336"/>
      <c r="H761" s="336"/>
      <c r="I761" s="336"/>
      <c r="J761" s="336"/>
      <c r="K761" s="336"/>
      <c r="L761" s="336"/>
      <c r="M761" s="336"/>
      <c r="N761" s="336"/>
      <c r="O761" s="336"/>
      <c r="P761" s="336"/>
      <c r="Q761" s="336"/>
    </row>
    <row r="762" ht="15.75" customHeight="1">
      <c r="A762" s="336"/>
      <c r="B762" s="336"/>
      <c r="C762" s="336"/>
      <c r="D762" s="336"/>
      <c r="E762" s="336"/>
      <c r="F762" s="336"/>
      <c r="G762" s="336"/>
      <c r="H762" s="336"/>
      <c r="I762" s="336"/>
      <c r="J762" s="336"/>
      <c r="K762" s="336"/>
      <c r="L762" s="336"/>
      <c r="M762" s="336"/>
      <c r="N762" s="336"/>
      <c r="O762" s="336"/>
      <c r="P762" s="336"/>
      <c r="Q762" s="336"/>
    </row>
    <row r="763" ht="15.75" customHeight="1">
      <c r="A763" s="336"/>
      <c r="B763" s="336"/>
      <c r="C763" s="336"/>
      <c r="D763" s="336"/>
      <c r="E763" s="336"/>
      <c r="F763" s="336"/>
      <c r="G763" s="336"/>
      <c r="H763" s="336"/>
      <c r="I763" s="336"/>
      <c r="J763" s="336"/>
      <c r="K763" s="336"/>
      <c r="L763" s="336"/>
      <c r="M763" s="336"/>
      <c r="N763" s="336"/>
      <c r="O763" s="336"/>
      <c r="P763" s="336"/>
      <c r="Q763" s="336"/>
    </row>
    <row r="764" ht="15.75" customHeight="1">
      <c r="A764" s="336"/>
      <c r="B764" s="336"/>
      <c r="C764" s="336"/>
      <c r="D764" s="336"/>
      <c r="E764" s="336"/>
      <c r="F764" s="336"/>
      <c r="G764" s="336"/>
      <c r="H764" s="336"/>
      <c r="I764" s="336"/>
      <c r="J764" s="336"/>
      <c r="K764" s="336"/>
      <c r="L764" s="336"/>
      <c r="M764" s="336"/>
      <c r="N764" s="336"/>
      <c r="O764" s="336"/>
      <c r="P764" s="336"/>
      <c r="Q764" s="336"/>
    </row>
    <row r="765" ht="15.75" customHeight="1">
      <c r="A765" s="336"/>
      <c r="B765" s="336"/>
      <c r="C765" s="336"/>
      <c r="D765" s="336"/>
      <c r="E765" s="336"/>
      <c r="F765" s="336"/>
      <c r="G765" s="336"/>
      <c r="H765" s="336"/>
      <c r="I765" s="336"/>
      <c r="J765" s="336"/>
      <c r="K765" s="336"/>
      <c r="L765" s="336"/>
      <c r="M765" s="336"/>
      <c r="N765" s="336"/>
      <c r="O765" s="336"/>
      <c r="P765" s="336"/>
      <c r="Q765" s="336"/>
    </row>
    <row r="766" ht="15.75" customHeight="1">
      <c r="A766" s="336"/>
      <c r="B766" s="336"/>
      <c r="C766" s="336"/>
      <c r="D766" s="336"/>
      <c r="E766" s="336"/>
      <c r="F766" s="336"/>
      <c r="G766" s="336"/>
      <c r="H766" s="336"/>
      <c r="I766" s="336"/>
      <c r="J766" s="336"/>
      <c r="K766" s="336"/>
      <c r="L766" s="336"/>
      <c r="M766" s="336"/>
      <c r="N766" s="336"/>
      <c r="O766" s="336"/>
      <c r="P766" s="336"/>
      <c r="Q766" s="336"/>
    </row>
    <row r="767" ht="15.75" customHeight="1">
      <c r="A767" s="336"/>
      <c r="B767" s="336"/>
      <c r="C767" s="336"/>
      <c r="D767" s="336"/>
      <c r="E767" s="336"/>
      <c r="F767" s="336"/>
      <c r="G767" s="336"/>
      <c r="H767" s="336"/>
      <c r="I767" s="336"/>
      <c r="J767" s="336"/>
      <c r="K767" s="336"/>
      <c r="L767" s="336"/>
      <c r="M767" s="336"/>
      <c r="N767" s="336"/>
      <c r="O767" s="336"/>
      <c r="P767" s="336"/>
      <c r="Q767" s="336"/>
    </row>
    <row r="768" ht="15.75" customHeight="1">
      <c r="A768" s="336"/>
      <c r="B768" s="336"/>
      <c r="C768" s="336"/>
      <c r="D768" s="336"/>
      <c r="E768" s="336"/>
      <c r="F768" s="336"/>
      <c r="G768" s="336"/>
      <c r="H768" s="336"/>
      <c r="I768" s="336"/>
      <c r="J768" s="336"/>
      <c r="K768" s="336"/>
      <c r="L768" s="336"/>
      <c r="M768" s="336"/>
      <c r="N768" s="336"/>
      <c r="O768" s="336"/>
      <c r="P768" s="336"/>
      <c r="Q768" s="336"/>
    </row>
    <row r="769" ht="15.75" customHeight="1">
      <c r="A769" s="336"/>
      <c r="B769" s="336"/>
      <c r="C769" s="336"/>
      <c r="D769" s="336"/>
      <c r="E769" s="336"/>
      <c r="F769" s="336"/>
      <c r="G769" s="336"/>
      <c r="H769" s="336"/>
      <c r="I769" s="336"/>
      <c r="J769" s="336"/>
      <c r="K769" s="336"/>
      <c r="L769" s="336"/>
      <c r="M769" s="336"/>
      <c r="N769" s="336"/>
      <c r="O769" s="336"/>
      <c r="P769" s="336"/>
      <c r="Q769" s="336"/>
    </row>
    <row r="770" ht="15.75" customHeight="1">
      <c r="A770" s="336"/>
      <c r="B770" s="336"/>
      <c r="C770" s="336"/>
      <c r="D770" s="336"/>
      <c r="E770" s="336"/>
      <c r="F770" s="336"/>
      <c r="G770" s="336"/>
      <c r="H770" s="336"/>
      <c r="I770" s="336"/>
      <c r="J770" s="336"/>
      <c r="K770" s="336"/>
      <c r="L770" s="336"/>
      <c r="M770" s="336"/>
      <c r="N770" s="336"/>
      <c r="O770" s="336"/>
      <c r="P770" s="336"/>
      <c r="Q770" s="336"/>
    </row>
    <row r="771" ht="15.75" customHeight="1">
      <c r="A771" s="336"/>
      <c r="B771" s="336"/>
      <c r="C771" s="336"/>
      <c r="D771" s="336"/>
      <c r="E771" s="336"/>
      <c r="F771" s="336"/>
      <c r="G771" s="336"/>
      <c r="H771" s="336"/>
      <c r="I771" s="336"/>
      <c r="J771" s="336"/>
      <c r="K771" s="336"/>
      <c r="L771" s="336"/>
      <c r="M771" s="336"/>
      <c r="N771" s="336"/>
      <c r="O771" s="336"/>
      <c r="P771" s="336"/>
      <c r="Q771" s="336"/>
    </row>
    <row r="772" ht="15.75" customHeight="1">
      <c r="A772" s="336"/>
      <c r="B772" s="336"/>
      <c r="C772" s="336"/>
      <c r="D772" s="336"/>
      <c r="E772" s="336"/>
      <c r="F772" s="336"/>
      <c r="G772" s="336"/>
      <c r="H772" s="336"/>
      <c r="I772" s="336"/>
      <c r="J772" s="336"/>
      <c r="K772" s="336"/>
      <c r="L772" s="336"/>
      <c r="M772" s="336"/>
      <c r="N772" s="336"/>
      <c r="O772" s="336"/>
      <c r="P772" s="336"/>
      <c r="Q772" s="336"/>
    </row>
    <row r="773" ht="15.75" customHeight="1">
      <c r="A773" s="336"/>
      <c r="B773" s="336"/>
      <c r="C773" s="336"/>
      <c r="D773" s="336"/>
      <c r="E773" s="336"/>
      <c r="F773" s="336"/>
      <c r="G773" s="336"/>
      <c r="H773" s="336"/>
      <c r="I773" s="336"/>
      <c r="J773" s="336"/>
      <c r="K773" s="336"/>
      <c r="L773" s="336"/>
      <c r="M773" s="336"/>
      <c r="N773" s="336"/>
      <c r="O773" s="336"/>
      <c r="P773" s="336"/>
      <c r="Q773" s="336"/>
    </row>
    <row r="774" ht="15.75" customHeight="1">
      <c r="A774" s="336"/>
      <c r="B774" s="336"/>
      <c r="C774" s="336"/>
      <c r="D774" s="336"/>
      <c r="E774" s="336"/>
      <c r="F774" s="336"/>
      <c r="G774" s="336"/>
      <c r="H774" s="336"/>
      <c r="I774" s="336"/>
      <c r="J774" s="336"/>
      <c r="K774" s="336"/>
      <c r="L774" s="336"/>
      <c r="M774" s="336"/>
      <c r="N774" s="336"/>
      <c r="O774" s="336"/>
      <c r="P774" s="336"/>
      <c r="Q774" s="336"/>
    </row>
    <row r="775" ht="15.75" customHeight="1">
      <c r="A775" s="336"/>
      <c r="B775" s="336"/>
      <c r="C775" s="336"/>
      <c r="D775" s="336"/>
      <c r="E775" s="336"/>
      <c r="F775" s="336"/>
      <c r="G775" s="336"/>
      <c r="H775" s="336"/>
      <c r="I775" s="336"/>
      <c r="J775" s="336"/>
      <c r="K775" s="336"/>
      <c r="L775" s="336"/>
      <c r="M775" s="336"/>
      <c r="N775" s="336"/>
      <c r="O775" s="336"/>
      <c r="P775" s="336"/>
      <c r="Q775" s="336"/>
    </row>
    <row r="776" ht="15.75" customHeight="1">
      <c r="A776" s="336"/>
      <c r="B776" s="336"/>
      <c r="C776" s="336"/>
      <c r="D776" s="336"/>
      <c r="E776" s="336"/>
      <c r="F776" s="336"/>
      <c r="G776" s="336"/>
      <c r="H776" s="336"/>
      <c r="I776" s="336"/>
      <c r="J776" s="336"/>
      <c r="K776" s="336"/>
      <c r="L776" s="336"/>
      <c r="M776" s="336"/>
      <c r="N776" s="336"/>
      <c r="O776" s="336"/>
      <c r="P776" s="336"/>
      <c r="Q776" s="336"/>
    </row>
    <row r="777" ht="15.75" customHeight="1">
      <c r="A777" s="336"/>
      <c r="B777" s="336"/>
      <c r="C777" s="336"/>
      <c r="D777" s="336"/>
      <c r="E777" s="336"/>
      <c r="F777" s="336"/>
      <c r="G777" s="336"/>
      <c r="H777" s="336"/>
      <c r="I777" s="336"/>
      <c r="J777" s="336"/>
      <c r="K777" s="336"/>
      <c r="L777" s="336"/>
      <c r="M777" s="336"/>
      <c r="N777" s="336"/>
      <c r="O777" s="336"/>
      <c r="P777" s="336"/>
      <c r="Q777" s="336"/>
    </row>
    <row r="778" ht="15.75" customHeight="1">
      <c r="A778" s="336"/>
      <c r="B778" s="336"/>
      <c r="C778" s="336"/>
      <c r="D778" s="336"/>
      <c r="E778" s="336"/>
      <c r="F778" s="336"/>
      <c r="G778" s="336"/>
      <c r="H778" s="336"/>
      <c r="I778" s="336"/>
      <c r="J778" s="336"/>
      <c r="K778" s="336"/>
      <c r="L778" s="336"/>
      <c r="M778" s="336"/>
      <c r="N778" s="336"/>
      <c r="O778" s="336"/>
      <c r="P778" s="336"/>
      <c r="Q778" s="336"/>
    </row>
    <row r="779" ht="15.75" customHeight="1">
      <c r="A779" s="336"/>
      <c r="B779" s="336"/>
      <c r="C779" s="336"/>
      <c r="D779" s="336"/>
      <c r="E779" s="336"/>
      <c r="F779" s="336"/>
      <c r="G779" s="336"/>
      <c r="H779" s="336"/>
      <c r="I779" s="336"/>
      <c r="J779" s="336"/>
      <c r="K779" s="336"/>
      <c r="L779" s="336"/>
      <c r="M779" s="336"/>
      <c r="N779" s="336"/>
      <c r="O779" s="336"/>
      <c r="P779" s="336"/>
      <c r="Q779" s="336"/>
    </row>
    <row r="780" ht="15.75" customHeight="1">
      <c r="A780" s="336"/>
      <c r="B780" s="336"/>
      <c r="C780" s="336"/>
      <c r="D780" s="336"/>
      <c r="E780" s="336"/>
      <c r="F780" s="336"/>
      <c r="G780" s="336"/>
      <c r="H780" s="336"/>
      <c r="I780" s="336"/>
      <c r="J780" s="336"/>
      <c r="K780" s="336"/>
      <c r="L780" s="336"/>
      <c r="M780" s="336"/>
      <c r="N780" s="336"/>
      <c r="O780" s="336"/>
      <c r="P780" s="336"/>
      <c r="Q780" s="336"/>
    </row>
    <row r="781" ht="15.75" customHeight="1">
      <c r="A781" s="336"/>
      <c r="B781" s="336"/>
      <c r="C781" s="336"/>
      <c r="D781" s="336"/>
      <c r="E781" s="336"/>
      <c r="F781" s="336"/>
      <c r="G781" s="336"/>
      <c r="H781" s="336"/>
      <c r="I781" s="336"/>
      <c r="J781" s="336"/>
      <c r="K781" s="336"/>
      <c r="L781" s="336"/>
      <c r="M781" s="336"/>
      <c r="N781" s="336"/>
      <c r="O781" s="336"/>
      <c r="P781" s="336"/>
      <c r="Q781" s="336"/>
    </row>
    <row r="782" ht="15.75" customHeight="1">
      <c r="A782" s="336"/>
      <c r="B782" s="336"/>
      <c r="C782" s="336"/>
      <c r="D782" s="336"/>
      <c r="E782" s="336"/>
      <c r="F782" s="336"/>
      <c r="G782" s="336"/>
      <c r="H782" s="336"/>
      <c r="I782" s="336"/>
      <c r="J782" s="336"/>
      <c r="K782" s="336"/>
      <c r="L782" s="336"/>
      <c r="M782" s="336"/>
      <c r="N782" s="336"/>
      <c r="O782" s="336"/>
      <c r="P782" s="336"/>
      <c r="Q782" s="336"/>
    </row>
    <row r="783" ht="15.75" customHeight="1">
      <c r="A783" s="336"/>
      <c r="B783" s="336"/>
      <c r="C783" s="336"/>
      <c r="D783" s="336"/>
      <c r="E783" s="336"/>
      <c r="F783" s="336"/>
      <c r="G783" s="336"/>
      <c r="H783" s="336"/>
      <c r="I783" s="336"/>
      <c r="J783" s="336"/>
      <c r="K783" s="336"/>
      <c r="L783" s="336"/>
      <c r="M783" s="336"/>
      <c r="N783" s="336"/>
      <c r="O783" s="336"/>
      <c r="P783" s="336"/>
      <c r="Q783" s="336"/>
    </row>
    <row r="784" ht="15.75" customHeight="1">
      <c r="A784" s="336"/>
      <c r="B784" s="336"/>
      <c r="C784" s="336"/>
      <c r="D784" s="336"/>
      <c r="E784" s="336"/>
      <c r="F784" s="336"/>
      <c r="G784" s="336"/>
      <c r="H784" s="336"/>
      <c r="I784" s="336"/>
      <c r="J784" s="336"/>
      <c r="K784" s="336"/>
      <c r="L784" s="336"/>
      <c r="M784" s="336"/>
      <c r="N784" s="336"/>
      <c r="O784" s="336"/>
      <c r="P784" s="336"/>
      <c r="Q784" s="336"/>
    </row>
    <row r="785" ht="15.75" customHeight="1">
      <c r="A785" s="336"/>
      <c r="B785" s="336"/>
      <c r="C785" s="336"/>
      <c r="D785" s="336"/>
      <c r="E785" s="336"/>
      <c r="F785" s="336"/>
      <c r="G785" s="336"/>
      <c r="H785" s="336"/>
      <c r="I785" s="336"/>
      <c r="J785" s="336"/>
      <c r="K785" s="336"/>
      <c r="L785" s="336"/>
      <c r="M785" s="336"/>
      <c r="N785" s="336"/>
      <c r="O785" s="336"/>
      <c r="P785" s="336"/>
      <c r="Q785" s="336"/>
    </row>
    <row r="786" ht="15.75" customHeight="1">
      <c r="A786" s="336"/>
      <c r="B786" s="336"/>
      <c r="C786" s="336"/>
      <c r="D786" s="336"/>
      <c r="E786" s="336"/>
      <c r="F786" s="336"/>
      <c r="G786" s="336"/>
      <c r="H786" s="336"/>
      <c r="I786" s="336"/>
      <c r="J786" s="336"/>
      <c r="K786" s="336"/>
      <c r="L786" s="336"/>
      <c r="M786" s="336"/>
      <c r="N786" s="336"/>
      <c r="O786" s="336"/>
      <c r="P786" s="336"/>
      <c r="Q786" s="336"/>
    </row>
    <row r="787" ht="15.75" customHeight="1">
      <c r="A787" s="336"/>
      <c r="B787" s="336"/>
      <c r="C787" s="336"/>
      <c r="D787" s="336"/>
      <c r="E787" s="336"/>
      <c r="F787" s="336"/>
      <c r="G787" s="336"/>
      <c r="H787" s="336"/>
      <c r="I787" s="336"/>
      <c r="J787" s="336"/>
      <c r="K787" s="336"/>
      <c r="L787" s="336"/>
      <c r="M787" s="336"/>
      <c r="N787" s="336"/>
      <c r="O787" s="336"/>
      <c r="P787" s="336"/>
      <c r="Q787" s="336"/>
    </row>
    <row r="788" ht="15.75" customHeight="1">
      <c r="A788" s="336"/>
      <c r="B788" s="336"/>
      <c r="C788" s="336"/>
      <c r="D788" s="336"/>
      <c r="E788" s="336"/>
      <c r="F788" s="336"/>
      <c r="G788" s="336"/>
      <c r="H788" s="336"/>
      <c r="I788" s="336"/>
      <c r="J788" s="336"/>
      <c r="K788" s="336"/>
      <c r="L788" s="336"/>
      <c r="M788" s="336"/>
      <c r="N788" s="336"/>
      <c r="O788" s="336"/>
      <c r="P788" s="336"/>
      <c r="Q788" s="336"/>
    </row>
    <row r="789" ht="15.75" customHeight="1">
      <c r="A789" s="336"/>
      <c r="B789" s="336"/>
      <c r="C789" s="336"/>
      <c r="D789" s="336"/>
      <c r="E789" s="336"/>
      <c r="F789" s="336"/>
      <c r="G789" s="336"/>
      <c r="H789" s="336"/>
      <c r="I789" s="336"/>
      <c r="J789" s="336"/>
      <c r="K789" s="336"/>
      <c r="L789" s="336"/>
      <c r="M789" s="336"/>
      <c r="N789" s="336"/>
      <c r="O789" s="336"/>
      <c r="P789" s="336"/>
      <c r="Q789" s="336"/>
    </row>
    <row r="790" ht="15.75" customHeight="1">
      <c r="A790" s="336"/>
      <c r="B790" s="336"/>
      <c r="C790" s="336"/>
      <c r="D790" s="336"/>
      <c r="E790" s="336"/>
      <c r="F790" s="336"/>
      <c r="G790" s="336"/>
      <c r="H790" s="336"/>
      <c r="I790" s="336"/>
      <c r="J790" s="336"/>
      <c r="K790" s="336"/>
      <c r="L790" s="336"/>
      <c r="M790" s="336"/>
      <c r="N790" s="336"/>
      <c r="O790" s="336"/>
      <c r="P790" s="336"/>
      <c r="Q790" s="336"/>
    </row>
    <row r="791" ht="15.75" customHeight="1">
      <c r="A791" s="336"/>
      <c r="B791" s="336"/>
      <c r="C791" s="336"/>
      <c r="D791" s="336"/>
      <c r="E791" s="336"/>
      <c r="F791" s="336"/>
      <c r="G791" s="336"/>
      <c r="H791" s="336"/>
      <c r="I791" s="336"/>
      <c r="J791" s="336"/>
      <c r="K791" s="336"/>
      <c r="L791" s="336"/>
      <c r="M791" s="336"/>
      <c r="N791" s="336"/>
      <c r="O791" s="336"/>
      <c r="P791" s="336"/>
      <c r="Q791" s="336"/>
    </row>
    <row r="792" ht="15.75" customHeight="1">
      <c r="A792" s="336"/>
      <c r="B792" s="336"/>
      <c r="C792" s="336"/>
      <c r="D792" s="336"/>
      <c r="E792" s="336"/>
      <c r="F792" s="336"/>
      <c r="G792" s="336"/>
      <c r="H792" s="336"/>
      <c r="I792" s="336"/>
      <c r="J792" s="336"/>
      <c r="K792" s="336"/>
      <c r="L792" s="336"/>
      <c r="M792" s="336"/>
      <c r="N792" s="336"/>
      <c r="O792" s="336"/>
      <c r="P792" s="336"/>
      <c r="Q792" s="336"/>
    </row>
    <row r="793" ht="15.75" customHeight="1">
      <c r="A793" s="336"/>
      <c r="B793" s="336"/>
      <c r="C793" s="336"/>
      <c r="D793" s="336"/>
      <c r="E793" s="336"/>
      <c r="F793" s="336"/>
      <c r="G793" s="336"/>
      <c r="H793" s="336"/>
      <c r="I793" s="336"/>
      <c r="J793" s="336"/>
      <c r="K793" s="336"/>
      <c r="L793" s="336"/>
      <c r="M793" s="336"/>
      <c r="N793" s="336"/>
      <c r="O793" s="336"/>
      <c r="P793" s="336"/>
      <c r="Q793" s="336"/>
    </row>
    <row r="794" ht="15.75" customHeight="1">
      <c r="A794" s="336"/>
      <c r="B794" s="336"/>
      <c r="C794" s="336"/>
      <c r="D794" s="336"/>
      <c r="E794" s="336"/>
      <c r="F794" s="336"/>
      <c r="G794" s="336"/>
      <c r="H794" s="336"/>
      <c r="I794" s="336"/>
      <c r="J794" s="336"/>
      <c r="K794" s="336"/>
      <c r="L794" s="336"/>
      <c r="M794" s="336"/>
      <c r="N794" s="336"/>
      <c r="O794" s="336"/>
      <c r="P794" s="336"/>
      <c r="Q794" s="336"/>
    </row>
    <row r="795" ht="15.75" customHeight="1">
      <c r="A795" s="336"/>
      <c r="B795" s="336"/>
      <c r="C795" s="336"/>
      <c r="D795" s="336"/>
      <c r="E795" s="336"/>
      <c r="F795" s="336"/>
      <c r="G795" s="336"/>
      <c r="H795" s="336"/>
      <c r="I795" s="336"/>
      <c r="J795" s="336"/>
      <c r="K795" s="336"/>
      <c r="L795" s="336"/>
      <c r="M795" s="336"/>
      <c r="N795" s="336"/>
      <c r="O795" s="336"/>
      <c r="P795" s="336"/>
      <c r="Q795" s="336"/>
    </row>
    <row r="796" ht="15.75" customHeight="1">
      <c r="A796" s="336"/>
      <c r="B796" s="336"/>
      <c r="C796" s="336"/>
      <c r="D796" s="336"/>
      <c r="E796" s="336"/>
      <c r="F796" s="336"/>
      <c r="G796" s="336"/>
      <c r="H796" s="336"/>
      <c r="I796" s="336"/>
      <c r="J796" s="336"/>
      <c r="K796" s="336"/>
      <c r="L796" s="336"/>
      <c r="M796" s="336"/>
      <c r="N796" s="336"/>
      <c r="O796" s="336"/>
      <c r="P796" s="336"/>
      <c r="Q796" s="336"/>
    </row>
    <row r="797" ht="15.75" customHeight="1">
      <c r="A797" s="336"/>
      <c r="B797" s="336"/>
      <c r="C797" s="336"/>
      <c r="D797" s="336"/>
      <c r="E797" s="336"/>
      <c r="F797" s="336"/>
      <c r="G797" s="336"/>
      <c r="H797" s="336"/>
      <c r="I797" s="336"/>
      <c r="J797" s="336"/>
      <c r="K797" s="336"/>
      <c r="L797" s="336"/>
      <c r="M797" s="336"/>
      <c r="N797" s="336"/>
      <c r="O797" s="336"/>
      <c r="P797" s="336"/>
      <c r="Q797" s="336"/>
    </row>
    <row r="798" ht="15.75" customHeight="1">
      <c r="A798" s="336"/>
      <c r="B798" s="336"/>
      <c r="C798" s="336"/>
      <c r="D798" s="336"/>
      <c r="E798" s="336"/>
      <c r="F798" s="336"/>
      <c r="G798" s="336"/>
      <c r="H798" s="336"/>
      <c r="I798" s="336"/>
      <c r="J798" s="336"/>
      <c r="K798" s="336"/>
      <c r="L798" s="336"/>
      <c r="M798" s="336"/>
      <c r="N798" s="336"/>
      <c r="O798" s="336"/>
      <c r="P798" s="336"/>
      <c r="Q798" s="336"/>
    </row>
    <row r="799" ht="15.75" customHeight="1">
      <c r="A799" s="336"/>
      <c r="B799" s="336"/>
      <c r="C799" s="336"/>
      <c r="D799" s="336"/>
      <c r="E799" s="336"/>
      <c r="F799" s="336"/>
      <c r="G799" s="336"/>
      <c r="H799" s="336"/>
      <c r="I799" s="336"/>
      <c r="J799" s="336"/>
      <c r="K799" s="336"/>
      <c r="L799" s="336"/>
      <c r="M799" s="336"/>
      <c r="N799" s="336"/>
      <c r="O799" s="336"/>
      <c r="P799" s="336"/>
      <c r="Q799" s="336"/>
    </row>
    <row r="800" ht="15.75" customHeight="1">
      <c r="A800" s="336"/>
      <c r="B800" s="336"/>
      <c r="C800" s="336"/>
      <c r="D800" s="336"/>
      <c r="E800" s="336"/>
      <c r="F800" s="336"/>
      <c r="G800" s="336"/>
      <c r="H800" s="336"/>
      <c r="I800" s="336"/>
      <c r="J800" s="336"/>
      <c r="K800" s="336"/>
      <c r="L800" s="336"/>
      <c r="M800" s="336"/>
      <c r="N800" s="336"/>
      <c r="O800" s="336"/>
      <c r="P800" s="336"/>
      <c r="Q800" s="336"/>
    </row>
    <row r="801" ht="15.75" customHeight="1">
      <c r="A801" s="336"/>
      <c r="B801" s="336"/>
      <c r="C801" s="336"/>
      <c r="D801" s="336"/>
      <c r="E801" s="336"/>
      <c r="F801" s="336"/>
      <c r="G801" s="336"/>
      <c r="H801" s="336"/>
      <c r="I801" s="336"/>
      <c r="J801" s="336"/>
      <c r="K801" s="336"/>
      <c r="L801" s="336"/>
      <c r="M801" s="336"/>
      <c r="N801" s="336"/>
      <c r="O801" s="336"/>
      <c r="P801" s="336"/>
      <c r="Q801" s="336"/>
    </row>
    <row r="802" ht="15.75" customHeight="1">
      <c r="A802" s="336"/>
      <c r="B802" s="336"/>
      <c r="C802" s="336"/>
      <c r="D802" s="336"/>
      <c r="E802" s="336"/>
      <c r="F802" s="336"/>
      <c r="G802" s="336"/>
      <c r="H802" s="336"/>
      <c r="I802" s="336"/>
      <c r="J802" s="336"/>
      <c r="K802" s="336"/>
      <c r="L802" s="336"/>
      <c r="M802" s="336"/>
      <c r="N802" s="336"/>
      <c r="O802" s="336"/>
      <c r="P802" s="336"/>
      <c r="Q802" s="336"/>
    </row>
    <row r="803" ht="15.75" customHeight="1">
      <c r="A803" s="336"/>
      <c r="B803" s="336"/>
      <c r="C803" s="336"/>
      <c r="D803" s="336"/>
      <c r="E803" s="336"/>
      <c r="F803" s="336"/>
      <c r="G803" s="336"/>
      <c r="H803" s="336"/>
      <c r="I803" s="336"/>
      <c r="J803" s="336"/>
      <c r="K803" s="336"/>
      <c r="L803" s="336"/>
      <c r="M803" s="336"/>
      <c r="N803" s="336"/>
      <c r="O803" s="336"/>
      <c r="P803" s="336"/>
      <c r="Q803" s="336"/>
    </row>
    <row r="804" ht="15.75" customHeight="1">
      <c r="A804" s="336"/>
      <c r="B804" s="336"/>
      <c r="C804" s="336"/>
      <c r="D804" s="336"/>
      <c r="E804" s="336"/>
      <c r="F804" s="336"/>
      <c r="G804" s="336"/>
      <c r="H804" s="336"/>
      <c r="I804" s="336"/>
      <c r="J804" s="336"/>
      <c r="K804" s="336"/>
      <c r="L804" s="336"/>
      <c r="M804" s="336"/>
      <c r="N804" s="336"/>
      <c r="O804" s="336"/>
      <c r="P804" s="336"/>
      <c r="Q804" s="336"/>
    </row>
    <row r="805" ht="15.75" customHeight="1">
      <c r="A805" s="336"/>
      <c r="B805" s="336"/>
      <c r="C805" s="336"/>
      <c r="D805" s="336"/>
      <c r="E805" s="336"/>
      <c r="F805" s="336"/>
      <c r="G805" s="336"/>
      <c r="H805" s="336"/>
      <c r="I805" s="336"/>
      <c r="J805" s="336"/>
      <c r="K805" s="336"/>
      <c r="L805" s="336"/>
      <c r="M805" s="336"/>
      <c r="N805" s="336"/>
      <c r="O805" s="336"/>
      <c r="P805" s="336"/>
      <c r="Q805" s="336"/>
    </row>
    <row r="806" ht="15.75" customHeight="1">
      <c r="A806" s="336"/>
      <c r="B806" s="336"/>
      <c r="C806" s="336"/>
      <c r="D806" s="336"/>
      <c r="E806" s="336"/>
      <c r="F806" s="336"/>
      <c r="G806" s="336"/>
      <c r="H806" s="336"/>
      <c r="I806" s="336"/>
      <c r="J806" s="336"/>
      <c r="K806" s="336"/>
      <c r="L806" s="336"/>
      <c r="M806" s="336"/>
      <c r="N806" s="336"/>
      <c r="O806" s="336"/>
      <c r="P806" s="336"/>
      <c r="Q806" s="336"/>
    </row>
    <row r="807" ht="15.75" customHeight="1">
      <c r="A807" s="336"/>
      <c r="B807" s="336"/>
      <c r="C807" s="336"/>
      <c r="D807" s="336"/>
      <c r="E807" s="336"/>
      <c r="F807" s="336"/>
      <c r="G807" s="336"/>
      <c r="H807" s="336"/>
      <c r="I807" s="336"/>
      <c r="J807" s="336"/>
      <c r="K807" s="336"/>
      <c r="L807" s="336"/>
      <c r="M807" s="336"/>
      <c r="N807" s="336"/>
      <c r="O807" s="336"/>
      <c r="P807" s="336"/>
      <c r="Q807" s="336"/>
    </row>
    <row r="808" ht="15.75" customHeight="1">
      <c r="A808" s="336"/>
      <c r="B808" s="336"/>
      <c r="C808" s="336"/>
      <c r="D808" s="336"/>
      <c r="E808" s="336"/>
      <c r="F808" s="336"/>
      <c r="G808" s="336"/>
      <c r="H808" s="336"/>
      <c r="I808" s="336"/>
      <c r="J808" s="336"/>
      <c r="K808" s="336"/>
      <c r="L808" s="336"/>
      <c r="M808" s="336"/>
      <c r="N808" s="336"/>
      <c r="O808" s="336"/>
      <c r="P808" s="336"/>
      <c r="Q808" s="336"/>
    </row>
    <row r="809" ht="15.75" customHeight="1">
      <c r="A809" s="336"/>
      <c r="B809" s="336"/>
      <c r="C809" s="336"/>
      <c r="D809" s="336"/>
      <c r="E809" s="336"/>
      <c r="F809" s="336"/>
      <c r="G809" s="336"/>
      <c r="H809" s="336"/>
      <c r="I809" s="336"/>
      <c r="J809" s="336"/>
      <c r="K809" s="336"/>
      <c r="L809" s="336"/>
      <c r="M809" s="336"/>
      <c r="N809" s="336"/>
      <c r="O809" s="336"/>
      <c r="P809" s="336"/>
      <c r="Q809" s="336"/>
    </row>
    <row r="810" ht="15.75" customHeight="1">
      <c r="A810" s="336"/>
      <c r="B810" s="336"/>
      <c r="C810" s="336"/>
      <c r="D810" s="336"/>
      <c r="E810" s="336"/>
      <c r="F810" s="336"/>
      <c r="G810" s="336"/>
      <c r="H810" s="336"/>
      <c r="I810" s="336"/>
      <c r="J810" s="336"/>
      <c r="K810" s="336"/>
      <c r="L810" s="336"/>
      <c r="M810" s="336"/>
      <c r="N810" s="336"/>
      <c r="O810" s="336"/>
      <c r="P810" s="336"/>
      <c r="Q810" s="336"/>
    </row>
    <row r="811" ht="15.75" customHeight="1">
      <c r="A811" s="336"/>
      <c r="B811" s="336"/>
      <c r="C811" s="336"/>
      <c r="D811" s="336"/>
      <c r="E811" s="336"/>
      <c r="F811" s="336"/>
      <c r="G811" s="336"/>
      <c r="H811" s="336"/>
      <c r="I811" s="336"/>
      <c r="J811" s="336"/>
      <c r="K811" s="336"/>
      <c r="L811" s="336"/>
      <c r="M811" s="336"/>
      <c r="N811" s="336"/>
      <c r="O811" s="336"/>
      <c r="P811" s="336"/>
      <c r="Q811" s="336"/>
    </row>
    <row r="812" ht="15.75" customHeight="1">
      <c r="A812" s="336"/>
      <c r="B812" s="336"/>
      <c r="C812" s="336"/>
      <c r="D812" s="336"/>
      <c r="E812" s="336"/>
      <c r="F812" s="336"/>
      <c r="G812" s="336"/>
      <c r="H812" s="336"/>
      <c r="I812" s="336"/>
      <c r="J812" s="336"/>
      <c r="K812" s="336"/>
      <c r="L812" s="336"/>
      <c r="M812" s="336"/>
      <c r="N812" s="336"/>
      <c r="O812" s="336"/>
      <c r="P812" s="336"/>
      <c r="Q812" s="336"/>
    </row>
    <row r="813" ht="15.75" customHeight="1">
      <c r="A813" s="336"/>
      <c r="B813" s="336"/>
      <c r="C813" s="336"/>
      <c r="D813" s="336"/>
      <c r="E813" s="336"/>
      <c r="F813" s="336"/>
      <c r="G813" s="336"/>
      <c r="H813" s="336"/>
      <c r="I813" s="336"/>
      <c r="J813" s="336"/>
      <c r="K813" s="336"/>
      <c r="L813" s="336"/>
      <c r="M813" s="336"/>
      <c r="N813" s="336"/>
      <c r="O813" s="336"/>
      <c r="P813" s="336"/>
      <c r="Q813" s="336"/>
    </row>
    <row r="814" ht="15.75" customHeight="1">
      <c r="A814" s="336"/>
      <c r="B814" s="336"/>
      <c r="C814" s="336"/>
      <c r="D814" s="336"/>
      <c r="E814" s="336"/>
      <c r="F814" s="336"/>
      <c r="G814" s="336"/>
      <c r="H814" s="336"/>
      <c r="I814" s="336"/>
      <c r="J814" s="336"/>
      <c r="K814" s="336"/>
      <c r="L814" s="336"/>
      <c r="M814" s="336"/>
      <c r="N814" s="336"/>
      <c r="O814" s="336"/>
      <c r="P814" s="336"/>
      <c r="Q814" s="336"/>
    </row>
    <row r="815" ht="15.75" customHeight="1">
      <c r="A815" s="336"/>
      <c r="B815" s="336"/>
      <c r="C815" s="336"/>
      <c r="D815" s="336"/>
      <c r="E815" s="336"/>
      <c r="F815" s="336"/>
      <c r="G815" s="336"/>
      <c r="H815" s="336"/>
      <c r="I815" s="336"/>
      <c r="J815" s="336"/>
      <c r="K815" s="336"/>
      <c r="L815" s="336"/>
      <c r="M815" s="336"/>
      <c r="N815" s="336"/>
      <c r="O815" s="336"/>
      <c r="P815" s="336"/>
      <c r="Q815" s="336"/>
    </row>
    <row r="816" ht="15.75" customHeight="1">
      <c r="A816" s="336"/>
      <c r="B816" s="336"/>
      <c r="C816" s="336"/>
      <c r="D816" s="336"/>
      <c r="E816" s="336"/>
      <c r="F816" s="336"/>
      <c r="G816" s="336"/>
      <c r="H816" s="336"/>
      <c r="I816" s="336"/>
      <c r="J816" s="336"/>
      <c r="K816" s="336"/>
      <c r="L816" s="336"/>
      <c r="M816" s="336"/>
      <c r="N816" s="336"/>
      <c r="O816" s="336"/>
      <c r="P816" s="336"/>
      <c r="Q816" s="336"/>
    </row>
    <row r="817" ht="15.75" customHeight="1">
      <c r="A817" s="336"/>
      <c r="B817" s="336"/>
      <c r="C817" s="336"/>
      <c r="D817" s="336"/>
      <c r="E817" s="336"/>
      <c r="F817" s="336"/>
      <c r="G817" s="336"/>
      <c r="H817" s="336"/>
      <c r="I817" s="336"/>
      <c r="J817" s="336"/>
      <c r="K817" s="336"/>
      <c r="L817" s="336"/>
      <c r="M817" s="336"/>
      <c r="N817" s="336"/>
      <c r="O817" s="336"/>
      <c r="P817" s="336"/>
      <c r="Q817" s="336"/>
    </row>
    <row r="818" ht="15.75" customHeight="1">
      <c r="A818" s="336"/>
      <c r="B818" s="336"/>
      <c r="C818" s="336"/>
      <c r="D818" s="336"/>
      <c r="E818" s="336"/>
      <c r="F818" s="336"/>
      <c r="G818" s="336"/>
      <c r="H818" s="336"/>
      <c r="I818" s="336"/>
      <c r="J818" s="336"/>
      <c r="K818" s="336"/>
      <c r="L818" s="336"/>
      <c r="M818" s="336"/>
      <c r="N818" s="336"/>
      <c r="O818" s="336"/>
      <c r="P818" s="336"/>
      <c r="Q818" s="336"/>
    </row>
    <row r="819" ht="15.75" customHeight="1">
      <c r="A819" s="336"/>
      <c r="B819" s="336"/>
      <c r="C819" s="336"/>
      <c r="D819" s="336"/>
      <c r="E819" s="336"/>
      <c r="F819" s="336"/>
      <c r="G819" s="336"/>
      <c r="H819" s="336"/>
      <c r="I819" s="336"/>
      <c r="J819" s="336"/>
      <c r="K819" s="336"/>
      <c r="L819" s="336"/>
      <c r="M819" s="336"/>
      <c r="N819" s="336"/>
      <c r="O819" s="336"/>
      <c r="P819" s="336"/>
      <c r="Q819" s="336"/>
    </row>
    <row r="820" ht="15.75" customHeight="1">
      <c r="A820" s="336"/>
      <c r="B820" s="336"/>
      <c r="C820" s="336"/>
      <c r="D820" s="336"/>
      <c r="E820" s="336"/>
      <c r="F820" s="336"/>
      <c r="G820" s="336"/>
      <c r="H820" s="336"/>
      <c r="I820" s="336"/>
      <c r="J820" s="336"/>
      <c r="K820" s="336"/>
      <c r="L820" s="336"/>
      <c r="M820" s="336"/>
      <c r="N820" s="336"/>
      <c r="O820" s="336"/>
      <c r="P820" s="336"/>
      <c r="Q820" s="336"/>
    </row>
    <row r="821" ht="15.75" customHeight="1">
      <c r="A821" s="336"/>
      <c r="B821" s="336"/>
      <c r="C821" s="336"/>
      <c r="D821" s="336"/>
      <c r="E821" s="336"/>
      <c r="F821" s="336"/>
      <c r="G821" s="336"/>
      <c r="H821" s="336"/>
      <c r="I821" s="336"/>
      <c r="J821" s="336"/>
      <c r="K821" s="336"/>
      <c r="L821" s="336"/>
      <c r="M821" s="336"/>
      <c r="N821" s="336"/>
      <c r="O821" s="336"/>
      <c r="P821" s="336"/>
      <c r="Q821" s="336"/>
    </row>
    <row r="822" ht="15.75" customHeight="1">
      <c r="A822" s="336"/>
      <c r="B822" s="336"/>
      <c r="C822" s="336"/>
      <c r="D822" s="336"/>
      <c r="E822" s="336"/>
      <c r="F822" s="336"/>
      <c r="G822" s="336"/>
      <c r="H822" s="336"/>
      <c r="I822" s="336"/>
      <c r="J822" s="336"/>
      <c r="K822" s="336"/>
      <c r="L822" s="336"/>
      <c r="M822" s="336"/>
      <c r="N822" s="336"/>
      <c r="O822" s="336"/>
      <c r="P822" s="336"/>
      <c r="Q822" s="336"/>
    </row>
    <row r="823" ht="15.75" customHeight="1">
      <c r="A823" s="336"/>
      <c r="B823" s="336"/>
      <c r="C823" s="336"/>
      <c r="D823" s="336"/>
      <c r="E823" s="336"/>
      <c r="F823" s="336"/>
      <c r="G823" s="336"/>
      <c r="H823" s="336"/>
      <c r="I823" s="336"/>
      <c r="J823" s="336"/>
      <c r="K823" s="336"/>
      <c r="L823" s="336"/>
      <c r="M823" s="336"/>
      <c r="N823" s="336"/>
      <c r="O823" s="336"/>
      <c r="P823" s="336"/>
      <c r="Q823" s="336"/>
    </row>
    <row r="824" ht="15.75" customHeight="1">
      <c r="A824" s="336"/>
      <c r="B824" s="336"/>
      <c r="C824" s="336"/>
      <c r="D824" s="336"/>
      <c r="E824" s="336"/>
      <c r="F824" s="336"/>
      <c r="G824" s="336"/>
      <c r="H824" s="336"/>
      <c r="I824" s="336"/>
      <c r="J824" s="336"/>
      <c r="K824" s="336"/>
      <c r="L824" s="336"/>
      <c r="M824" s="336"/>
      <c r="N824" s="336"/>
      <c r="O824" s="336"/>
      <c r="P824" s="336"/>
      <c r="Q824" s="336"/>
    </row>
    <row r="825" ht="15.75" customHeight="1">
      <c r="A825" s="336"/>
      <c r="B825" s="336"/>
      <c r="C825" s="336"/>
      <c r="D825" s="336"/>
      <c r="E825" s="336"/>
      <c r="F825" s="336"/>
      <c r="G825" s="336"/>
      <c r="H825" s="336"/>
      <c r="I825" s="336"/>
      <c r="J825" s="336"/>
      <c r="K825" s="336"/>
      <c r="L825" s="336"/>
      <c r="M825" s="336"/>
      <c r="N825" s="336"/>
      <c r="O825" s="336"/>
      <c r="P825" s="336"/>
      <c r="Q825" s="336"/>
    </row>
    <row r="826" ht="15.75" customHeight="1">
      <c r="A826" s="336"/>
      <c r="B826" s="336"/>
      <c r="C826" s="336"/>
      <c r="D826" s="336"/>
      <c r="E826" s="336"/>
      <c r="F826" s="336"/>
      <c r="G826" s="336"/>
      <c r="H826" s="336"/>
      <c r="I826" s="336"/>
      <c r="J826" s="336"/>
      <c r="K826" s="336"/>
      <c r="L826" s="336"/>
      <c r="M826" s="336"/>
      <c r="N826" s="336"/>
      <c r="O826" s="336"/>
      <c r="P826" s="336"/>
      <c r="Q826" s="336"/>
    </row>
    <row r="827" ht="15.75" customHeight="1">
      <c r="A827" s="336"/>
      <c r="B827" s="336"/>
      <c r="C827" s="336"/>
      <c r="D827" s="336"/>
      <c r="E827" s="336"/>
      <c r="F827" s="336"/>
      <c r="G827" s="336"/>
      <c r="H827" s="336"/>
      <c r="I827" s="336"/>
      <c r="J827" s="336"/>
      <c r="K827" s="336"/>
      <c r="L827" s="336"/>
      <c r="M827" s="336"/>
      <c r="N827" s="336"/>
      <c r="O827" s="336"/>
      <c r="P827" s="336"/>
      <c r="Q827" s="336"/>
    </row>
    <row r="828" ht="15.75" customHeight="1">
      <c r="A828" s="336"/>
      <c r="B828" s="336"/>
      <c r="C828" s="336"/>
      <c r="D828" s="336"/>
      <c r="E828" s="336"/>
      <c r="F828" s="336"/>
      <c r="G828" s="336"/>
      <c r="H828" s="336"/>
      <c r="I828" s="336"/>
      <c r="J828" s="336"/>
      <c r="K828" s="336"/>
      <c r="L828" s="336"/>
      <c r="M828" s="336"/>
      <c r="N828" s="336"/>
      <c r="O828" s="336"/>
      <c r="P828" s="336"/>
      <c r="Q828" s="336"/>
    </row>
    <row r="829" ht="15.75" customHeight="1">
      <c r="A829" s="336"/>
      <c r="B829" s="336"/>
      <c r="C829" s="336"/>
      <c r="D829" s="336"/>
      <c r="E829" s="336"/>
      <c r="F829" s="336"/>
      <c r="G829" s="336"/>
      <c r="H829" s="336"/>
      <c r="I829" s="336"/>
      <c r="J829" s="336"/>
      <c r="K829" s="336"/>
      <c r="L829" s="336"/>
      <c r="M829" s="336"/>
      <c r="N829" s="336"/>
      <c r="O829" s="336"/>
      <c r="P829" s="336"/>
      <c r="Q829" s="336"/>
    </row>
    <row r="830" ht="15.75" customHeight="1">
      <c r="A830" s="336"/>
      <c r="B830" s="336"/>
      <c r="C830" s="336"/>
      <c r="D830" s="336"/>
      <c r="E830" s="336"/>
      <c r="F830" s="336"/>
      <c r="G830" s="336"/>
      <c r="H830" s="336"/>
      <c r="I830" s="336"/>
      <c r="J830" s="336"/>
      <c r="K830" s="336"/>
      <c r="L830" s="336"/>
      <c r="M830" s="336"/>
      <c r="N830" s="336"/>
      <c r="O830" s="336"/>
      <c r="P830" s="336"/>
      <c r="Q830" s="336"/>
    </row>
    <row r="831" ht="15.75" customHeight="1">
      <c r="A831" s="336"/>
      <c r="B831" s="336"/>
      <c r="C831" s="336"/>
      <c r="D831" s="336"/>
      <c r="E831" s="336"/>
      <c r="F831" s="336"/>
      <c r="G831" s="336"/>
      <c r="H831" s="336"/>
      <c r="I831" s="336"/>
      <c r="J831" s="336"/>
      <c r="K831" s="336"/>
      <c r="L831" s="336"/>
      <c r="M831" s="336"/>
      <c r="N831" s="336"/>
      <c r="O831" s="336"/>
      <c r="P831" s="336"/>
      <c r="Q831" s="336"/>
    </row>
    <row r="832" ht="15.75" customHeight="1">
      <c r="A832" s="336"/>
      <c r="B832" s="336"/>
      <c r="C832" s="336"/>
      <c r="D832" s="336"/>
      <c r="E832" s="336"/>
      <c r="F832" s="336"/>
      <c r="G832" s="336"/>
      <c r="H832" s="336"/>
      <c r="I832" s="336"/>
      <c r="J832" s="336"/>
      <c r="K832" s="336"/>
      <c r="L832" s="336"/>
      <c r="M832" s="336"/>
      <c r="N832" s="336"/>
      <c r="O832" s="336"/>
      <c r="P832" s="336"/>
      <c r="Q832" s="336"/>
    </row>
    <row r="833" ht="15.75" customHeight="1">
      <c r="A833" s="336"/>
      <c r="B833" s="336"/>
      <c r="C833" s="336"/>
      <c r="D833" s="336"/>
      <c r="E833" s="336"/>
      <c r="F833" s="336"/>
      <c r="G833" s="336"/>
      <c r="H833" s="336"/>
      <c r="I833" s="336"/>
      <c r="J833" s="336"/>
      <c r="K833" s="336"/>
      <c r="L833" s="336"/>
      <c r="M833" s="336"/>
      <c r="N833" s="336"/>
      <c r="O833" s="336"/>
      <c r="P833" s="336"/>
      <c r="Q833" s="336"/>
    </row>
    <row r="834" ht="15.75" customHeight="1">
      <c r="A834" s="336"/>
      <c r="B834" s="336"/>
      <c r="C834" s="336"/>
      <c r="D834" s="336"/>
      <c r="E834" s="336"/>
      <c r="F834" s="336"/>
      <c r="G834" s="336"/>
      <c r="H834" s="336"/>
      <c r="I834" s="336"/>
      <c r="J834" s="336"/>
      <c r="K834" s="336"/>
      <c r="L834" s="336"/>
      <c r="M834" s="336"/>
      <c r="N834" s="336"/>
      <c r="O834" s="336"/>
      <c r="P834" s="336"/>
      <c r="Q834" s="336"/>
    </row>
    <row r="835" ht="15.75" customHeight="1">
      <c r="A835" s="336"/>
      <c r="B835" s="336"/>
      <c r="C835" s="336"/>
      <c r="D835" s="336"/>
      <c r="E835" s="336"/>
      <c r="F835" s="336"/>
      <c r="G835" s="336"/>
      <c r="H835" s="336"/>
      <c r="I835" s="336"/>
      <c r="J835" s="336"/>
      <c r="K835" s="336"/>
      <c r="L835" s="336"/>
      <c r="M835" s="336"/>
      <c r="N835" s="336"/>
      <c r="O835" s="336"/>
      <c r="P835" s="336"/>
      <c r="Q835" s="336"/>
    </row>
    <row r="836" ht="15.75" customHeight="1">
      <c r="A836" s="336"/>
      <c r="B836" s="336"/>
      <c r="C836" s="336"/>
      <c r="D836" s="336"/>
      <c r="E836" s="336"/>
      <c r="F836" s="336"/>
      <c r="G836" s="336"/>
      <c r="H836" s="336"/>
      <c r="I836" s="336"/>
      <c r="J836" s="336"/>
      <c r="K836" s="336"/>
      <c r="L836" s="336"/>
      <c r="M836" s="336"/>
      <c r="N836" s="336"/>
      <c r="O836" s="336"/>
      <c r="P836" s="336"/>
      <c r="Q836" s="336"/>
    </row>
    <row r="837" ht="15.75" customHeight="1">
      <c r="A837" s="336"/>
      <c r="B837" s="336"/>
      <c r="C837" s="336"/>
      <c r="D837" s="336"/>
      <c r="E837" s="336"/>
      <c r="F837" s="336"/>
      <c r="G837" s="336"/>
      <c r="H837" s="336"/>
      <c r="I837" s="336"/>
      <c r="J837" s="336"/>
      <c r="K837" s="336"/>
      <c r="L837" s="336"/>
      <c r="M837" s="336"/>
      <c r="N837" s="336"/>
      <c r="O837" s="336"/>
      <c r="P837" s="336"/>
      <c r="Q837" s="336"/>
    </row>
    <row r="838" ht="15.75" customHeight="1">
      <c r="A838" s="336"/>
      <c r="B838" s="336"/>
      <c r="C838" s="336"/>
      <c r="D838" s="336"/>
      <c r="E838" s="336"/>
      <c r="F838" s="336"/>
      <c r="G838" s="336"/>
      <c r="H838" s="336"/>
      <c r="I838" s="336"/>
      <c r="J838" s="336"/>
      <c r="K838" s="336"/>
      <c r="L838" s="336"/>
      <c r="M838" s="336"/>
      <c r="N838" s="336"/>
      <c r="O838" s="336"/>
      <c r="P838" s="336"/>
      <c r="Q838" s="336"/>
    </row>
    <row r="839" ht="15.75" customHeight="1">
      <c r="A839" s="336"/>
      <c r="B839" s="336"/>
      <c r="C839" s="336"/>
      <c r="D839" s="336"/>
      <c r="E839" s="336"/>
      <c r="F839" s="336"/>
      <c r="G839" s="336"/>
      <c r="H839" s="336"/>
      <c r="I839" s="336"/>
      <c r="J839" s="336"/>
      <c r="K839" s="336"/>
      <c r="L839" s="336"/>
      <c r="M839" s="336"/>
      <c r="N839" s="336"/>
      <c r="O839" s="336"/>
      <c r="P839" s="336"/>
      <c r="Q839" s="336"/>
    </row>
    <row r="840" ht="15.75" customHeight="1">
      <c r="A840" s="336"/>
      <c r="B840" s="336"/>
      <c r="C840" s="336"/>
      <c r="D840" s="336"/>
      <c r="E840" s="336"/>
      <c r="F840" s="336"/>
      <c r="G840" s="336"/>
      <c r="H840" s="336"/>
      <c r="I840" s="336"/>
      <c r="J840" s="336"/>
      <c r="K840" s="336"/>
      <c r="L840" s="336"/>
      <c r="M840" s="336"/>
      <c r="N840" s="336"/>
      <c r="O840" s="336"/>
      <c r="P840" s="336"/>
      <c r="Q840" s="336"/>
    </row>
    <row r="841" ht="15.75" customHeight="1">
      <c r="A841" s="336"/>
      <c r="B841" s="336"/>
      <c r="C841" s="336"/>
      <c r="D841" s="336"/>
      <c r="E841" s="336"/>
      <c r="F841" s="336"/>
      <c r="G841" s="336"/>
      <c r="H841" s="336"/>
      <c r="I841" s="336"/>
      <c r="J841" s="336"/>
      <c r="K841" s="336"/>
      <c r="L841" s="336"/>
      <c r="M841" s="336"/>
      <c r="N841" s="336"/>
      <c r="O841" s="336"/>
      <c r="P841" s="336"/>
      <c r="Q841" s="336"/>
    </row>
    <row r="842" ht="15.75" customHeight="1">
      <c r="A842" s="336"/>
      <c r="B842" s="336"/>
      <c r="C842" s="336"/>
      <c r="D842" s="336"/>
      <c r="E842" s="336"/>
      <c r="F842" s="336"/>
      <c r="G842" s="336"/>
      <c r="H842" s="336"/>
      <c r="I842" s="336"/>
      <c r="J842" s="336"/>
      <c r="K842" s="336"/>
      <c r="L842" s="336"/>
      <c r="M842" s="336"/>
      <c r="N842" s="336"/>
      <c r="O842" s="336"/>
      <c r="P842" s="336"/>
      <c r="Q842" s="336"/>
    </row>
    <row r="843" ht="15.75" customHeight="1">
      <c r="A843" s="336"/>
      <c r="B843" s="336"/>
      <c r="C843" s="336"/>
      <c r="D843" s="336"/>
      <c r="E843" s="336"/>
      <c r="F843" s="336"/>
      <c r="G843" s="336"/>
      <c r="H843" s="336"/>
      <c r="I843" s="336"/>
      <c r="J843" s="336"/>
      <c r="K843" s="336"/>
      <c r="L843" s="336"/>
      <c r="M843" s="336"/>
      <c r="N843" s="336"/>
      <c r="O843" s="336"/>
      <c r="P843" s="336"/>
      <c r="Q843" s="336"/>
    </row>
    <row r="844" ht="15.75" customHeight="1">
      <c r="A844" s="336"/>
      <c r="B844" s="336"/>
      <c r="C844" s="336"/>
      <c r="D844" s="336"/>
      <c r="E844" s="336"/>
      <c r="F844" s="336"/>
      <c r="G844" s="336"/>
      <c r="H844" s="336"/>
      <c r="I844" s="336"/>
      <c r="J844" s="336"/>
      <c r="K844" s="336"/>
      <c r="L844" s="336"/>
      <c r="M844" s="336"/>
      <c r="N844" s="336"/>
      <c r="O844" s="336"/>
      <c r="P844" s="336"/>
      <c r="Q844" s="336"/>
    </row>
    <row r="845" ht="15.75" customHeight="1">
      <c r="A845" s="336"/>
      <c r="B845" s="336"/>
      <c r="C845" s="336"/>
      <c r="D845" s="336"/>
      <c r="E845" s="336"/>
      <c r="F845" s="336"/>
      <c r="G845" s="336"/>
      <c r="H845" s="336"/>
      <c r="I845" s="336"/>
      <c r="J845" s="336"/>
      <c r="K845" s="336"/>
      <c r="L845" s="336"/>
      <c r="M845" s="336"/>
      <c r="N845" s="336"/>
      <c r="O845" s="336"/>
      <c r="P845" s="336"/>
      <c r="Q845" s="336"/>
    </row>
    <row r="846" ht="15.75" customHeight="1">
      <c r="A846" s="336"/>
      <c r="B846" s="336"/>
      <c r="C846" s="336"/>
      <c r="D846" s="336"/>
      <c r="E846" s="336"/>
      <c r="F846" s="336"/>
      <c r="G846" s="336"/>
      <c r="H846" s="336"/>
      <c r="I846" s="336"/>
      <c r="J846" s="336"/>
      <c r="K846" s="336"/>
      <c r="L846" s="336"/>
      <c r="M846" s="336"/>
      <c r="N846" s="336"/>
      <c r="O846" s="336"/>
      <c r="P846" s="336"/>
      <c r="Q846" s="336"/>
    </row>
    <row r="847" ht="15.75" customHeight="1">
      <c r="A847" s="336"/>
      <c r="B847" s="336"/>
      <c r="C847" s="336"/>
      <c r="D847" s="336"/>
      <c r="E847" s="336"/>
      <c r="F847" s="336"/>
      <c r="G847" s="336"/>
      <c r="H847" s="336"/>
      <c r="I847" s="336"/>
      <c r="J847" s="336"/>
      <c r="K847" s="336"/>
      <c r="L847" s="336"/>
      <c r="M847" s="336"/>
      <c r="N847" s="336"/>
      <c r="O847" s="336"/>
      <c r="P847" s="336"/>
      <c r="Q847" s="336"/>
    </row>
    <row r="848" ht="15.75" customHeight="1">
      <c r="A848" s="336"/>
      <c r="B848" s="336"/>
      <c r="C848" s="336"/>
      <c r="D848" s="336"/>
      <c r="E848" s="336"/>
      <c r="F848" s="336"/>
      <c r="G848" s="336"/>
      <c r="H848" s="336"/>
      <c r="I848" s="336"/>
      <c r="J848" s="336"/>
      <c r="K848" s="336"/>
      <c r="L848" s="336"/>
      <c r="M848" s="336"/>
      <c r="N848" s="336"/>
      <c r="O848" s="336"/>
      <c r="P848" s="336"/>
      <c r="Q848" s="336"/>
    </row>
    <row r="849" ht="15.75" customHeight="1">
      <c r="A849" s="336"/>
      <c r="B849" s="336"/>
      <c r="C849" s="336"/>
      <c r="D849" s="336"/>
      <c r="E849" s="336"/>
      <c r="F849" s="336"/>
      <c r="G849" s="336"/>
      <c r="H849" s="336"/>
      <c r="I849" s="336"/>
      <c r="J849" s="336"/>
      <c r="K849" s="336"/>
      <c r="L849" s="336"/>
      <c r="M849" s="336"/>
      <c r="N849" s="336"/>
      <c r="O849" s="336"/>
      <c r="P849" s="336"/>
      <c r="Q849" s="336"/>
    </row>
    <row r="850" ht="15.75" customHeight="1">
      <c r="A850" s="336"/>
      <c r="B850" s="336"/>
      <c r="C850" s="336"/>
      <c r="D850" s="336"/>
      <c r="E850" s="336"/>
      <c r="F850" s="336"/>
      <c r="G850" s="336"/>
      <c r="H850" s="336"/>
      <c r="I850" s="336"/>
      <c r="J850" s="336"/>
      <c r="K850" s="336"/>
      <c r="L850" s="336"/>
      <c r="M850" s="336"/>
      <c r="N850" s="336"/>
      <c r="O850" s="336"/>
      <c r="P850" s="336"/>
      <c r="Q850" s="336"/>
    </row>
    <row r="851" ht="15.75" customHeight="1">
      <c r="A851" s="336"/>
      <c r="B851" s="336"/>
      <c r="C851" s="336"/>
      <c r="D851" s="336"/>
      <c r="E851" s="336"/>
      <c r="F851" s="336"/>
      <c r="G851" s="336"/>
      <c r="H851" s="336"/>
      <c r="I851" s="336"/>
      <c r="J851" s="336"/>
      <c r="K851" s="336"/>
      <c r="L851" s="336"/>
      <c r="M851" s="336"/>
      <c r="N851" s="336"/>
      <c r="O851" s="336"/>
      <c r="P851" s="336"/>
      <c r="Q851" s="336"/>
    </row>
    <row r="852" ht="15.75" customHeight="1">
      <c r="A852" s="336"/>
      <c r="B852" s="336"/>
      <c r="C852" s="336"/>
      <c r="D852" s="336"/>
      <c r="E852" s="336"/>
      <c r="F852" s="336"/>
      <c r="G852" s="336"/>
      <c r="H852" s="336"/>
      <c r="I852" s="336"/>
      <c r="J852" s="336"/>
      <c r="K852" s="336"/>
      <c r="L852" s="336"/>
      <c r="M852" s="336"/>
      <c r="N852" s="336"/>
      <c r="O852" s="336"/>
      <c r="P852" s="336"/>
      <c r="Q852" s="336"/>
    </row>
    <row r="853" ht="15.75" customHeight="1">
      <c r="A853" s="336"/>
      <c r="B853" s="336"/>
      <c r="C853" s="336"/>
      <c r="D853" s="336"/>
      <c r="E853" s="336"/>
      <c r="F853" s="336"/>
      <c r="G853" s="336"/>
      <c r="H853" s="336"/>
      <c r="I853" s="336"/>
      <c r="J853" s="336"/>
      <c r="K853" s="336"/>
      <c r="L853" s="336"/>
      <c r="M853" s="336"/>
      <c r="N853" s="336"/>
      <c r="O853" s="336"/>
      <c r="P853" s="336"/>
      <c r="Q853" s="336"/>
    </row>
    <row r="854" ht="15.75" customHeight="1">
      <c r="A854" s="336"/>
      <c r="B854" s="336"/>
      <c r="C854" s="336"/>
      <c r="D854" s="336"/>
      <c r="E854" s="336"/>
      <c r="F854" s="336"/>
      <c r="G854" s="336"/>
      <c r="H854" s="336"/>
      <c r="I854" s="336"/>
      <c r="J854" s="336"/>
      <c r="K854" s="336"/>
      <c r="L854" s="336"/>
      <c r="M854" s="336"/>
      <c r="N854" s="336"/>
      <c r="O854" s="336"/>
      <c r="P854" s="336"/>
      <c r="Q854" s="336"/>
    </row>
    <row r="855" ht="15.75" customHeight="1">
      <c r="A855" s="336"/>
      <c r="B855" s="336"/>
      <c r="C855" s="336"/>
      <c r="D855" s="336"/>
      <c r="E855" s="336"/>
      <c r="F855" s="336"/>
      <c r="G855" s="336"/>
      <c r="H855" s="336"/>
      <c r="I855" s="336"/>
      <c r="J855" s="336"/>
      <c r="K855" s="336"/>
      <c r="L855" s="336"/>
      <c r="M855" s="336"/>
      <c r="N855" s="336"/>
      <c r="O855" s="336"/>
      <c r="P855" s="336"/>
      <c r="Q855" s="336"/>
    </row>
    <row r="856" ht="15.75" customHeight="1">
      <c r="A856" s="336"/>
      <c r="B856" s="336"/>
      <c r="C856" s="336"/>
      <c r="D856" s="336"/>
      <c r="E856" s="336"/>
      <c r="F856" s="336"/>
      <c r="G856" s="336"/>
      <c r="H856" s="336"/>
      <c r="I856" s="336"/>
      <c r="J856" s="336"/>
      <c r="K856" s="336"/>
      <c r="L856" s="336"/>
      <c r="M856" s="336"/>
      <c r="N856" s="336"/>
      <c r="O856" s="336"/>
      <c r="P856" s="336"/>
      <c r="Q856" s="336"/>
    </row>
    <row r="857" ht="15.75" customHeight="1">
      <c r="A857" s="336"/>
      <c r="B857" s="336"/>
      <c r="C857" s="336"/>
      <c r="D857" s="336"/>
      <c r="E857" s="336"/>
      <c r="F857" s="336"/>
      <c r="G857" s="336"/>
      <c r="H857" s="336"/>
      <c r="I857" s="336"/>
      <c r="J857" s="336"/>
      <c r="K857" s="336"/>
      <c r="L857" s="336"/>
      <c r="M857" s="336"/>
      <c r="N857" s="336"/>
      <c r="O857" s="336"/>
      <c r="P857" s="336"/>
      <c r="Q857" s="336"/>
    </row>
    <row r="858" ht="15.75" customHeight="1">
      <c r="A858" s="336"/>
      <c r="B858" s="336"/>
      <c r="C858" s="336"/>
      <c r="D858" s="336"/>
      <c r="E858" s="336"/>
      <c r="F858" s="336"/>
      <c r="G858" s="336"/>
      <c r="H858" s="336"/>
      <c r="I858" s="336"/>
      <c r="J858" s="336"/>
      <c r="K858" s="336"/>
      <c r="L858" s="336"/>
      <c r="M858" s="336"/>
      <c r="N858" s="336"/>
      <c r="O858" s="336"/>
      <c r="P858" s="336"/>
      <c r="Q858" s="336"/>
    </row>
    <row r="859" ht="15.75" customHeight="1">
      <c r="A859" s="336"/>
      <c r="B859" s="336"/>
      <c r="C859" s="336"/>
      <c r="D859" s="336"/>
      <c r="E859" s="336"/>
      <c r="F859" s="336"/>
      <c r="G859" s="336"/>
      <c r="H859" s="336"/>
      <c r="I859" s="336"/>
      <c r="J859" s="336"/>
      <c r="K859" s="336"/>
      <c r="L859" s="336"/>
      <c r="M859" s="336"/>
      <c r="N859" s="336"/>
      <c r="O859" s="336"/>
      <c r="P859" s="336"/>
      <c r="Q859" s="336"/>
    </row>
    <row r="860" ht="15.75" customHeight="1">
      <c r="A860" s="336"/>
      <c r="B860" s="336"/>
      <c r="C860" s="336"/>
      <c r="D860" s="336"/>
      <c r="E860" s="336"/>
      <c r="F860" s="336"/>
      <c r="G860" s="336"/>
      <c r="H860" s="336"/>
      <c r="I860" s="336"/>
      <c r="J860" s="336"/>
      <c r="K860" s="336"/>
      <c r="L860" s="336"/>
      <c r="M860" s="336"/>
      <c r="N860" s="336"/>
      <c r="O860" s="336"/>
      <c r="P860" s="336"/>
      <c r="Q860" s="336"/>
    </row>
    <row r="861" ht="15.75" customHeight="1">
      <c r="A861" s="336"/>
      <c r="B861" s="336"/>
      <c r="C861" s="336"/>
      <c r="D861" s="336"/>
      <c r="E861" s="336"/>
      <c r="F861" s="336"/>
      <c r="G861" s="336"/>
      <c r="H861" s="336"/>
      <c r="I861" s="336"/>
      <c r="J861" s="336"/>
      <c r="K861" s="336"/>
      <c r="L861" s="336"/>
      <c r="M861" s="336"/>
      <c r="N861" s="336"/>
      <c r="O861" s="336"/>
      <c r="P861" s="336"/>
      <c r="Q861" s="336"/>
    </row>
    <row r="862" ht="15.75" customHeight="1">
      <c r="A862" s="336"/>
      <c r="B862" s="336"/>
      <c r="C862" s="336"/>
      <c r="D862" s="336"/>
      <c r="E862" s="336"/>
      <c r="F862" s="336"/>
      <c r="G862" s="336"/>
      <c r="H862" s="336"/>
      <c r="I862" s="336"/>
      <c r="J862" s="336"/>
      <c r="K862" s="336"/>
      <c r="L862" s="336"/>
      <c r="M862" s="336"/>
      <c r="N862" s="336"/>
      <c r="O862" s="336"/>
      <c r="P862" s="336"/>
      <c r="Q862" s="336"/>
    </row>
    <row r="863" ht="15.75" customHeight="1">
      <c r="A863" s="336"/>
      <c r="B863" s="336"/>
      <c r="C863" s="336"/>
      <c r="D863" s="336"/>
      <c r="E863" s="336"/>
      <c r="F863" s="336"/>
      <c r="G863" s="336"/>
      <c r="H863" s="336"/>
      <c r="I863" s="336"/>
      <c r="J863" s="336"/>
      <c r="K863" s="336"/>
      <c r="L863" s="336"/>
      <c r="M863" s="336"/>
      <c r="N863" s="336"/>
      <c r="O863" s="336"/>
      <c r="P863" s="336"/>
      <c r="Q863" s="336"/>
    </row>
    <row r="864" ht="15.75" customHeight="1">
      <c r="A864" s="336"/>
      <c r="B864" s="336"/>
      <c r="C864" s="336"/>
      <c r="D864" s="336"/>
      <c r="E864" s="336"/>
      <c r="F864" s="336"/>
      <c r="G864" s="336"/>
      <c r="H864" s="336"/>
      <c r="I864" s="336"/>
      <c r="J864" s="336"/>
      <c r="K864" s="336"/>
      <c r="L864" s="336"/>
      <c r="M864" s="336"/>
      <c r="N864" s="336"/>
      <c r="O864" s="336"/>
      <c r="P864" s="336"/>
      <c r="Q864" s="336"/>
    </row>
    <row r="865" ht="15.75" customHeight="1">
      <c r="A865" s="336"/>
      <c r="B865" s="336"/>
      <c r="C865" s="336"/>
      <c r="D865" s="336"/>
      <c r="E865" s="336"/>
      <c r="F865" s="336"/>
      <c r="G865" s="336"/>
      <c r="H865" s="336"/>
      <c r="I865" s="336"/>
      <c r="J865" s="336"/>
      <c r="K865" s="336"/>
      <c r="L865" s="336"/>
      <c r="M865" s="336"/>
      <c r="N865" s="336"/>
      <c r="O865" s="336"/>
      <c r="P865" s="336"/>
      <c r="Q865" s="336"/>
    </row>
    <row r="866" ht="15.75" customHeight="1">
      <c r="A866" s="336"/>
      <c r="B866" s="336"/>
      <c r="C866" s="336"/>
      <c r="D866" s="336"/>
      <c r="E866" s="336"/>
      <c r="F866" s="336"/>
      <c r="G866" s="336"/>
      <c r="H866" s="336"/>
      <c r="I866" s="336"/>
      <c r="J866" s="336"/>
      <c r="K866" s="336"/>
      <c r="L866" s="336"/>
      <c r="M866" s="336"/>
      <c r="N866" s="336"/>
      <c r="O866" s="336"/>
      <c r="P866" s="336"/>
      <c r="Q866" s="336"/>
    </row>
    <row r="867" ht="15.75" customHeight="1">
      <c r="A867" s="336"/>
      <c r="B867" s="336"/>
      <c r="C867" s="336"/>
      <c r="D867" s="336"/>
      <c r="E867" s="336"/>
      <c r="F867" s="336"/>
      <c r="G867" s="336"/>
      <c r="H867" s="336"/>
      <c r="I867" s="336"/>
      <c r="J867" s="336"/>
      <c r="K867" s="336"/>
      <c r="L867" s="336"/>
      <c r="M867" s="336"/>
      <c r="N867" s="336"/>
      <c r="O867" s="336"/>
      <c r="P867" s="336"/>
      <c r="Q867" s="336"/>
    </row>
    <row r="868" ht="15.75" customHeight="1">
      <c r="A868" s="336"/>
      <c r="B868" s="336"/>
      <c r="C868" s="336"/>
      <c r="D868" s="336"/>
      <c r="E868" s="336"/>
      <c r="F868" s="336"/>
      <c r="G868" s="336"/>
      <c r="H868" s="336"/>
      <c r="I868" s="336"/>
      <c r="J868" s="336"/>
      <c r="K868" s="336"/>
      <c r="L868" s="336"/>
      <c r="M868" s="336"/>
      <c r="N868" s="336"/>
      <c r="O868" s="336"/>
      <c r="P868" s="336"/>
      <c r="Q868" s="336"/>
    </row>
    <row r="869" ht="15.75" customHeight="1">
      <c r="A869" s="336"/>
      <c r="B869" s="336"/>
      <c r="C869" s="336"/>
      <c r="D869" s="336"/>
      <c r="E869" s="336"/>
      <c r="F869" s="336"/>
      <c r="G869" s="336"/>
      <c r="H869" s="336"/>
      <c r="I869" s="336"/>
      <c r="J869" s="336"/>
      <c r="K869" s="336"/>
      <c r="L869" s="336"/>
      <c r="M869" s="336"/>
      <c r="N869" s="336"/>
      <c r="O869" s="336"/>
      <c r="P869" s="336"/>
      <c r="Q869" s="336"/>
    </row>
    <row r="870" ht="15.75" customHeight="1">
      <c r="A870" s="336"/>
      <c r="B870" s="336"/>
      <c r="C870" s="336"/>
      <c r="D870" s="336"/>
      <c r="E870" s="336"/>
      <c r="F870" s="336"/>
      <c r="G870" s="336"/>
      <c r="H870" s="336"/>
      <c r="I870" s="336"/>
      <c r="J870" s="336"/>
      <c r="K870" s="336"/>
      <c r="L870" s="336"/>
      <c r="M870" s="336"/>
      <c r="N870" s="336"/>
      <c r="O870" s="336"/>
      <c r="P870" s="336"/>
      <c r="Q870" s="336"/>
    </row>
    <row r="871" ht="15.75" customHeight="1">
      <c r="A871" s="336"/>
      <c r="B871" s="336"/>
      <c r="C871" s="336"/>
      <c r="D871" s="336"/>
      <c r="E871" s="336"/>
      <c r="F871" s="336"/>
      <c r="G871" s="336"/>
      <c r="H871" s="336"/>
      <c r="I871" s="336"/>
      <c r="J871" s="336"/>
      <c r="K871" s="336"/>
      <c r="L871" s="336"/>
      <c r="M871" s="336"/>
      <c r="N871" s="336"/>
      <c r="O871" s="336"/>
      <c r="P871" s="336"/>
      <c r="Q871" s="336"/>
    </row>
    <row r="872" ht="15.75" customHeight="1">
      <c r="A872" s="336"/>
      <c r="B872" s="336"/>
      <c r="C872" s="336"/>
      <c r="D872" s="336"/>
      <c r="E872" s="336"/>
      <c r="F872" s="336"/>
      <c r="G872" s="336"/>
      <c r="H872" s="336"/>
      <c r="I872" s="336"/>
      <c r="J872" s="336"/>
      <c r="K872" s="336"/>
      <c r="L872" s="336"/>
      <c r="M872" s="336"/>
      <c r="N872" s="336"/>
      <c r="O872" s="336"/>
      <c r="P872" s="336"/>
      <c r="Q872" s="336"/>
    </row>
    <row r="873" ht="15.75" customHeight="1">
      <c r="A873" s="336"/>
      <c r="B873" s="336"/>
      <c r="C873" s="336"/>
      <c r="D873" s="336"/>
      <c r="E873" s="336"/>
      <c r="F873" s="336"/>
      <c r="G873" s="336"/>
      <c r="H873" s="336"/>
      <c r="I873" s="336"/>
      <c r="J873" s="336"/>
      <c r="K873" s="336"/>
      <c r="L873" s="336"/>
      <c r="M873" s="336"/>
      <c r="N873" s="336"/>
      <c r="O873" s="336"/>
      <c r="P873" s="336"/>
      <c r="Q873" s="336"/>
    </row>
    <row r="874" ht="15.75" customHeight="1">
      <c r="A874" s="336"/>
      <c r="B874" s="336"/>
      <c r="C874" s="336"/>
      <c r="D874" s="336"/>
      <c r="E874" s="336"/>
      <c r="F874" s="336"/>
      <c r="G874" s="336"/>
      <c r="H874" s="336"/>
      <c r="I874" s="336"/>
      <c r="J874" s="336"/>
      <c r="K874" s="336"/>
      <c r="L874" s="336"/>
      <c r="M874" s="336"/>
      <c r="N874" s="336"/>
      <c r="O874" s="336"/>
      <c r="P874" s="336"/>
      <c r="Q874" s="336"/>
    </row>
    <row r="875" ht="15.75" customHeight="1">
      <c r="A875" s="336"/>
      <c r="B875" s="336"/>
      <c r="C875" s="336"/>
      <c r="D875" s="336"/>
      <c r="E875" s="336"/>
      <c r="F875" s="336"/>
      <c r="G875" s="336"/>
      <c r="H875" s="336"/>
      <c r="I875" s="336"/>
      <c r="J875" s="336"/>
      <c r="K875" s="336"/>
      <c r="L875" s="336"/>
      <c r="M875" s="336"/>
      <c r="N875" s="336"/>
      <c r="O875" s="336"/>
      <c r="P875" s="336"/>
      <c r="Q875" s="336"/>
    </row>
    <row r="876" ht="15.75" customHeight="1">
      <c r="A876" s="336"/>
      <c r="B876" s="336"/>
      <c r="C876" s="336"/>
      <c r="D876" s="336"/>
      <c r="E876" s="336"/>
      <c r="F876" s="336"/>
      <c r="G876" s="336"/>
      <c r="H876" s="336"/>
      <c r="I876" s="336"/>
      <c r="J876" s="336"/>
      <c r="K876" s="336"/>
      <c r="L876" s="336"/>
      <c r="M876" s="336"/>
      <c r="N876" s="336"/>
      <c r="O876" s="336"/>
      <c r="P876" s="336"/>
      <c r="Q876" s="336"/>
    </row>
    <row r="877" ht="15.75" customHeight="1">
      <c r="A877" s="336"/>
      <c r="B877" s="336"/>
      <c r="C877" s="336"/>
      <c r="D877" s="336"/>
      <c r="E877" s="336"/>
      <c r="F877" s="336"/>
      <c r="G877" s="336"/>
      <c r="H877" s="336"/>
      <c r="I877" s="336"/>
      <c r="J877" s="336"/>
      <c r="K877" s="336"/>
      <c r="L877" s="336"/>
      <c r="M877" s="336"/>
      <c r="N877" s="336"/>
      <c r="O877" s="336"/>
      <c r="P877" s="336"/>
      <c r="Q877" s="336"/>
    </row>
    <row r="878" ht="15.75" customHeight="1">
      <c r="A878" s="336"/>
      <c r="B878" s="336"/>
      <c r="C878" s="336"/>
      <c r="D878" s="336"/>
      <c r="E878" s="336"/>
      <c r="F878" s="336"/>
      <c r="G878" s="336"/>
      <c r="H878" s="336"/>
      <c r="I878" s="336"/>
      <c r="J878" s="336"/>
      <c r="K878" s="336"/>
      <c r="L878" s="336"/>
      <c r="M878" s="336"/>
      <c r="N878" s="336"/>
      <c r="O878" s="336"/>
      <c r="P878" s="336"/>
      <c r="Q878" s="336"/>
    </row>
    <row r="879" ht="15.75" customHeight="1">
      <c r="A879" s="336"/>
      <c r="B879" s="336"/>
      <c r="C879" s="336"/>
      <c r="D879" s="336"/>
      <c r="E879" s="336"/>
      <c r="F879" s="336"/>
      <c r="G879" s="336"/>
      <c r="H879" s="336"/>
      <c r="I879" s="336"/>
      <c r="J879" s="336"/>
      <c r="K879" s="336"/>
      <c r="L879" s="336"/>
      <c r="M879" s="336"/>
      <c r="N879" s="336"/>
      <c r="O879" s="336"/>
      <c r="P879" s="336"/>
      <c r="Q879" s="336"/>
    </row>
    <row r="880" ht="15.75" customHeight="1">
      <c r="A880" s="336"/>
      <c r="B880" s="336"/>
      <c r="C880" s="336"/>
      <c r="D880" s="336"/>
      <c r="E880" s="336"/>
      <c r="F880" s="336"/>
      <c r="G880" s="336"/>
      <c r="H880" s="336"/>
      <c r="I880" s="336"/>
      <c r="J880" s="336"/>
      <c r="K880" s="336"/>
      <c r="L880" s="336"/>
      <c r="M880" s="336"/>
      <c r="N880" s="336"/>
      <c r="O880" s="336"/>
      <c r="P880" s="336"/>
      <c r="Q880" s="336"/>
    </row>
    <row r="881" ht="15.75" customHeight="1">
      <c r="A881" s="336"/>
      <c r="B881" s="336"/>
      <c r="C881" s="336"/>
      <c r="D881" s="336"/>
      <c r="E881" s="336"/>
      <c r="F881" s="336"/>
      <c r="G881" s="336"/>
      <c r="H881" s="336"/>
      <c r="I881" s="336"/>
      <c r="J881" s="336"/>
      <c r="K881" s="336"/>
      <c r="L881" s="336"/>
      <c r="M881" s="336"/>
      <c r="N881" s="336"/>
      <c r="O881" s="336"/>
      <c r="P881" s="336"/>
      <c r="Q881" s="336"/>
    </row>
    <row r="882" ht="15.75" customHeight="1">
      <c r="A882" s="336"/>
      <c r="B882" s="336"/>
      <c r="C882" s="336"/>
      <c r="D882" s="336"/>
      <c r="E882" s="336"/>
      <c r="F882" s="336"/>
      <c r="G882" s="336"/>
      <c r="H882" s="336"/>
      <c r="I882" s="336"/>
      <c r="J882" s="336"/>
      <c r="K882" s="336"/>
      <c r="L882" s="336"/>
      <c r="M882" s="336"/>
      <c r="N882" s="336"/>
      <c r="O882" s="336"/>
      <c r="P882" s="336"/>
      <c r="Q882" s="336"/>
    </row>
    <row r="883" ht="15.75" customHeight="1">
      <c r="A883" s="336"/>
      <c r="B883" s="336"/>
      <c r="C883" s="336"/>
      <c r="D883" s="336"/>
      <c r="E883" s="336"/>
      <c r="F883" s="336"/>
      <c r="G883" s="336"/>
      <c r="H883" s="336"/>
      <c r="I883" s="336"/>
      <c r="J883" s="336"/>
      <c r="K883" s="336"/>
      <c r="L883" s="336"/>
      <c r="M883" s="336"/>
      <c r="N883" s="336"/>
      <c r="O883" s="336"/>
      <c r="P883" s="336"/>
      <c r="Q883" s="336"/>
    </row>
    <row r="884" ht="15.75" customHeight="1">
      <c r="A884" s="336"/>
      <c r="B884" s="336"/>
      <c r="C884" s="336"/>
      <c r="D884" s="336"/>
      <c r="E884" s="336"/>
      <c r="F884" s="336"/>
      <c r="G884" s="336"/>
      <c r="H884" s="336"/>
      <c r="I884" s="336"/>
      <c r="J884" s="336"/>
      <c r="K884" s="336"/>
      <c r="L884" s="336"/>
      <c r="M884" s="336"/>
      <c r="N884" s="336"/>
      <c r="O884" s="336"/>
      <c r="P884" s="336"/>
      <c r="Q884" s="336"/>
    </row>
    <row r="885" ht="15.75" customHeight="1">
      <c r="A885" s="336"/>
      <c r="B885" s="336"/>
      <c r="C885" s="336"/>
      <c r="D885" s="336"/>
      <c r="E885" s="336"/>
      <c r="F885" s="336"/>
      <c r="G885" s="336"/>
      <c r="H885" s="336"/>
      <c r="I885" s="336"/>
      <c r="J885" s="336"/>
      <c r="K885" s="336"/>
      <c r="L885" s="336"/>
      <c r="M885" s="336"/>
      <c r="N885" s="336"/>
      <c r="O885" s="336"/>
      <c r="P885" s="336"/>
      <c r="Q885" s="336"/>
    </row>
    <row r="886" ht="15.75" customHeight="1">
      <c r="A886" s="336"/>
      <c r="B886" s="336"/>
      <c r="C886" s="336"/>
      <c r="D886" s="336"/>
      <c r="E886" s="336"/>
      <c r="F886" s="336"/>
      <c r="G886" s="336"/>
      <c r="H886" s="336"/>
      <c r="I886" s="336"/>
      <c r="J886" s="336"/>
      <c r="K886" s="336"/>
      <c r="L886" s="336"/>
      <c r="M886" s="336"/>
      <c r="N886" s="336"/>
      <c r="O886" s="336"/>
      <c r="P886" s="336"/>
      <c r="Q886" s="336"/>
    </row>
    <row r="887" ht="15.75" customHeight="1">
      <c r="A887" s="336"/>
      <c r="B887" s="336"/>
      <c r="C887" s="336"/>
      <c r="D887" s="336"/>
      <c r="E887" s="336"/>
      <c r="F887" s="336"/>
      <c r="G887" s="336"/>
      <c r="H887" s="336"/>
      <c r="I887" s="336"/>
      <c r="J887" s="336"/>
      <c r="K887" s="336"/>
      <c r="L887" s="336"/>
      <c r="M887" s="336"/>
      <c r="N887" s="336"/>
      <c r="O887" s="336"/>
      <c r="P887" s="336"/>
      <c r="Q887" s="336"/>
    </row>
    <row r="888" ht="15.75" customHeight="1">
      <c r="A888" s="336"/>
      <c r="B888" s="336"/>
      <c r="C888" s="336"/>
      <c r="D888" s="336"/>
      <c r="E888" s="336"/>
      <c r="F888" s="336"/>
      <c r="G888" s="336"/>
      <c r="H888" s="336"/>
      <c r="I888" s="336"/>
      <c r="J888" s="336"/>
      <c r="K888" s="336"/>
      <c r="L888" s="336"/>
      <c r="M888" s="336"/>
      <c r="N888" s="336"/>
      <c r="O888" s="336"/>
      <c r="P888" s="336"/>
      <c r="Q888" s="336"/>
    </row>
    <row r="889" ht="15.75" customHeight="1">
      <c r="A889" s="336"/>
      <c r="B889" s="336"/>
      <c r="C889" s="336"/>
      <c r="D889" s="336"/>
      <c r="E889" s="336"/>
      <c r="F889" s="336"/>
      <c r="G889" s="336"/>
      <c r="H889" s="336"/>
      <c r="I889" s="336"/>
      <c r="J889" s="336"/>
      <c r="K889" s="336"/>
      <c r="L889" s="336"/>
      <c r="M889" s="336"/>
      <c r="N889" s="336"/>
      <c r="O889" s="336"/>
      <c r="P889" s="336"/>
      <c r="Q889" s="336"/>
    </row>
    <row r="890" ht="15.75" customHeight="1">
      <c r="A890" s="336"/>
      <c r="B890" s="336"/>
      <c r="C890" s="336"/>
      <c r="D890" s="336"/>
      <c r="E890" s="336"/>
      <c r="F890" s="336"/>
      <c r="G890" s="336"/>
      <c r="H890" s="336"/>
      <c r="I890" s="336"/>
      <c r="J890" s="336"/>
      <c r="K890" s="336"/>
      <c r="L890" s="336"/>
      <c r="M890" s="336"/>
      <c r="N890" s="336"/>
      <c r="O890" s="336"/>
      <c r="P890" s="336"/>
      <c r="Q890" s="336"/>
    </row>
    <row r="891" ht="15.75" customHeight="1">
      <c r="A891" s="336"/>
      <c r="B891" s="336"/>
      <c r="C891" s="336"/>
      <c r="D891" s="336"/>
      <c r="E891" s="336"/>
      <c r="F891" s="336"/>
      <c r="G891" s="336"/>
      <c r="H891" s="336"/>
      <c r="I891" s="336"/>
      <c r="J891" s="336"/>
      <c r="K891" s="336"/>
      <c r="L891" s="336"/>
      <c r="M891" s="336"/>
      <c r="N891" s="336"/>
      <c r="O891" s="336"/>
      <c r="P891" s="336"/>
      <c r="Q891" s="336"/>
    </row>
    <row r="892" ht="15.75" customHeight="1">
      <c r="A892" s="336"/>
      <c r="B892" s="336"/>
      <c r="C892" s="336"/>
      <c r="D892" s="336"/>
      <c r="E892" s="336"/>
      <c r="F892" s="336"/>
      <c r="G892" s="336"/>
      <c r="H892" s="336"/>
      <c r="I892" s="336"/>
      <c r="J892" s="336"/>
      <c r="K892" s="336"/>
      <c r="L892" s="336"/>
      <c r="M892" s="336"/>
      <c r="N892" s="336"/>
      <c r="O892" s="336"/>
      <c r="P892" s="336"/>
      <c r="Q892" s="336"/>
    </row>
    <row r="893" ht="15.75" customHeight="1">
      <c r="A893" s="336"/>
      <c r="B893" s="336"/>
      <c r="C893" s="336"/>
      <c r="D893" s="336"/>
      <c r="E893" s="336"/>
      <c r="F893" s="336"/>
      <c r="G893" s="336"/>
      <c r="H893" s="336"/>
      <c r="I893" s="336"/>
      <c r="J893" s="336"/>
      <c r="K893" s="336"/>
      <c r="L893" s="336"/>
      <c r="M893" s="336"/>
      <c r="N893" s="336"/>
      <c r="O893" s="336"/>
      <c r="P893" s="336"/>
      <c r="Q893" s="336"/>
    </row>
    <row r="894" ht="15.75" customHeight="1">
      <c r="A894" s="336"/>
      <c r="B894" s="336"/>
      <c r="C894" s="336"/>
      <c r="D894" s="336"/>
      <c r="E894" s="336"/>
      <c r="F894" s="336"/>
      <c r="G894" s="336"/>
      <c r="H894" s="336"/>
      <c r="I894" s="336"/>
      <c r="J894" s="336"/>
      <c r="K894" s="336"/>
      <c r="L894" s="336"/>
      <c r="M894" s="336"/>
      <c r="N894" s="336"/>
      <c r="O894" s="336"/>
      <c r="P894" s="336"/>
      <c r="Q894" s="336"/>
    </row>
    <row r="895" ht="15.75" customHeight="1">
      <c r="A895" s="336"/>
      <c r="B895" s="336"/>
      <c r="C895" s="336"/>
      <c r="D895" s="336"/>
      <c r="E895" s="336"/>
      <c r="F895" s="336"/>
      <c r="G895" s="336"/>
      <c r="H895" s="336"/>
      <c r="I895" s="336"/>
      <c r="J895" s="336"/>
      <c r="K895" s="336"/>
      <c r="L895" s="336"/>
      <c r="M895" s="336"/>
      <c r="N895" s="336"/>
      <c r="O895" s="336"/>
      <c r="P895" s="336"/>
      <c r="Q895" s="336"/>
    </row>
    <row r="896" ht="15.75" customHeight="1">
      <c r="A896" s="336"/>
      <c r="B896" s="336"/>
      <c r="C896" s="336"/>
      <c r="D896" s="336"/>
      <c r="E896" s="336"/>
      <c r="F896" s="336"/>
      <c r="G896" s="336"/>
      <c r="H896" s="336"/>
      <c r="I896" s="336"/>
      <c r="J896" s="336"/>
      <c r="K896" s="336"/>
      <c r="L896" s="336"/>
      <c r="M896" s="336"/>
      <c r="N896" s="336"/>
      <c r="O896" s="336"/>
      <c r="P896" s="336"/>
      <c r="Q896" s="336"/>
    </row>
    <row r="897" ht="15.75" customHeight="1">
      <c r="A897" s="336"/>
      <c r="B897" s="336"/>
      <c r="C897" s="336"/>
      <c r="D897" s="336"/>
      <c r="E897" s="336"/>
      <c r="F897" s="336"/>
      <c r="G897" s="336"/>
      <c r="H897" s="336"/>
      <c r="I897" s="336"/>
      <c r="J897" s="336"/>
      <c r="K897" s="336"/>
      <c r="L897" s="336"/>
      <c r="M897" s="336"/>
      <c r="N897" s="336"/>
      <c r="O897" s="336"/>
      <c r="P897" s="336"/>
      <c r="Q897" s="336"/>
    </row>
    <row r="898" ht="15.75" customHeight="1">
      <c r="A898" s="336"/>
      <c r="B898" s="336"/>
      <c r="C898" s="336"/>
      <c r="D898" s="336"/>
      <c r="E898" s="336"/>
      <c r="F898" s="336"/>
      <c r="G898" s="336"/>
      <c r="H898" s="336"/>
      <c r="I898" s="336"/>
      <c r="J898" s="336"/>
      <c r="K898" s="336"/>
      <c r="L898" s="336"/>
      <c r="M898" s="336"/>
      <c r="N898" s="336"/>
      <c r="O898" s="336"/>
      <c r="P898" s="336"/>
      <c r="Q898" s="336"/>
    </row>
    <row r="899" ht="15.75" customHeight="1">
      <c r="A899" s="336"/>
      <c r="B899" s="336"/>
      <c r="C899" s="336"/>
      <c r="D899" s="336"/>
      <c r="E899" s="336"/>
      <c r="F899" s="336"/>
      <c r="G899" s="336"/>
      <c r="H899" s="336"/>
      <c r="I899" s="336"/>
      <c r="J899" s="336"/>
      <c r="K899" s="336"/>
      <c r="L899" s="336"/>
      <c r="M899" s="336"/>
      <c r="N899" s="336"/>
      <c r="O899" s="336"/>
      <c r="P899" s="336"/>
      <c r="Q899" s="336"/>
    </row>
    <row r="900" ht="15.75" customHeight="1">
      <c r="A900" s="336"/>
      <c r="B900" s="336"/>
      <c r="C900" s="336"/>
      <c r="D900" s="336"/>
      <c r="E900" s="336"/>
      <c r="F900" s="336"/>
      <c r="G900" s="336"/>
      <c r="H900" s="336"/>
      <c r="I900" s="336"/>
      <c r="J900" s="336"/>
      <c r="K900" s="336"/>
      <c r="L900" s="336"/>
      <c r="M900" s="336"/>
      <c r="N900" s="336"/>
      <c r="O900" s="336"/>
      <c r="P900" s="336"/>
      <c r="Q900" s="336"/>
    </row>
    <row r="901" ht="15.75" customHeight="1">
      <c r="A901" s="336"/>
      <c r="B901" s="336"/>
      <c r="C901" s="336"/>
      <c r="D901" s="336"/>
      <c r="E901" s="336"/>
      <c r="F901" s="336"/>
      <c r="G901" s="336"/>
      <c r="H901" s="336"/>
      <c r="I901" s="336"/>
      <c r="J901" s="336"/>
      <c r="K901" s="336"/>
      <c r="L901" s="336"/>
      <c r="M901" s="336"/>
      <c r="N901" s="336"/>
      <c r="O901" s="336"/>
      <c r="P901" s="336"/>
      <c r="Q901" s="336"/>
    </row>
    <row r="902" ht="15.75" customHeight="1">
      <c r="A902" s="336"/>
      <c r="B902" s="336"/>
      <c r="C902" s="336"/>
      <c r="D902" s="336"/>
      <c r="E902" s="336"/>
      <c r="F902" s="336"/>
      <c r="G902" s="336"/>
      <c r="H902" s="336"/>
      <c r="I902" s="336"/>
      <c r="J902" s="336"/>
      <c r="K902" s="336"/>
      <c r="L902" s="336"/>
      <c r="M902" s="336"/>
      <c r="N902" s="336"/>
      <c r="O902" s="336"/>
      <c r="P902" s="336"/>
      <c r="Q902" s="336"/>
    </row>
    <row r="903" ht="15.75" customHeight="1">
      <c r="A903" s="336"/>
      <c r="B903" s="336"/>
      <c r="C903" s="336"/>
      <c r="D903" s="336"/>
      <c r="E903" s="336"/>
      <c r="F903" s="336"/>
      <c r="G903" s="336"/>
      <c r="H903" s="336"/>
      <c r="I903" s="336"/>
      <c r="J903" s="336"/>
      <c r="K903" s="336"/>
      <c r="L903" s="336"/>
      <c r="M903" s="336"/>
      <c r="N903" s="336"/>
      <c r="O903" s="336"/>
      <c r="P903" s="336"/>
      <c r="Q903" s="336"/>
    </row>
    <row r="904" ht="15.75" customHeight="1">
      <c r="A904" s="336"/>
      <c r="B904" s="336"/>
      <c r="C904" s="336"/>
      <c r="D904" s="336"/>
      <c r="E904" s="336"/>
      <c r="F904" s="336"/>
      <c r="G904" s="336"/>
      <c r="H904" s="336"/>
      <c r="I904" s="336"/>
      <c r="J904" s="336"/>
      <c r="K904" s="336"/>
      <c r="L904" s="336"/>
      <c r="M904" s="336"/>
      <c r="N904" s="336"/>
      <c r="O904" s="336"/>
      <c r="P904" s="336"/>
      <c r="Q904" s="336"/>
    </row>
    <row r="905" ht="15.75" customHeight="1">
      <c r="A905" s="336"/>
      <c r="B905" s="336"/>
      <c r="C905" s="336"/>
      <c r="D905" s="336"/>
      <c r="E905" s="336"/>
      <c r="F905" s="336"/>
      <c r="G905" s="336"/>
      <c r="H905" s="336"/>
      <c r="I905" s="336"/>
      <c r="J905" s="336"/>
      <c r="K905" s="336"/>
      <c r="L905" s="336"/>
      <c r="M905" s="336"/>
      <c r="N905" s="336"/>
      <c r="O905" s="336"/>
      <c r="P905" s="336"/>
      <c r="Q905" s="336"/>
    </row>
    <row r="906" ht="15.75" customHeight="1">
      <c r="A906" s="336"/>
      <c r="B906" s="336"/>
      <c r="C906" s="336"/>
      <c r="D906" s="336"/>
      <c r="E906" s="336"/>
      <c r="F906" s="336"/>
      <c r="G906" s="336"/>
      <c r="H906" s="336"/>
      <c r="I906" s="336"/>
      <c r="J906" s="336"/>
      <c r="K906" s="336"/>
      <c r="L906" s="336"/>
      <c r="M906" s="336"/>
      <c r="N906" s="336"/>
      <c r="O906" s="336"/>
      <c r="P906" s="336"/>
      <c r="Q906" s="336"/>
    </row>
    <row r="907" ht="15.75" customHeight="1">
      <c r="A907" s="336"/>
      <c r="B907" s="336"/>
      <c r="C907" s="336"/>
      <c r="D907" s="336"/>
      <c r="E907" s="336"/>
      <c r="F907" s="336"/>
      <c r="G907" s="336"/>
      <c r="H907" s="336"/>
      <c r="I907" s="336"/>
      <c r="J907" s="336"/>
      <c r="K907" s="336"/>
      <c r="L907" s="336"/>
      <c r="M907" s="336"/>
      <c r="N907" s="336"/>
      <c r="O907" s="336"/>
      <c r="P907" s="336"/>
      <c r="Q907" s="336"/>
    </row>
    <row r="908" ht="15.75" customHeight="1">
      <c r="A908" s="336"/>
      <c r="B908" s="336"/>
      <c r="C908" s="336"/>
      <c r="D908" s="336"/>
      <c r="E908" s="336"/>
      <c r="F908" s="336"/>
      <c r="G908" s="336"/>
      <c r="H908" s="336"/>
      <c r="I908" s="336"/>
      <c r="J908" s="336"/>
      <c r="K908" s="336"/>
      <c r="L908" s="336"/>
      <c r="M908" s="336"/>
      <c r="N908" s="336"/>
      <c r="O908" s="336"/>
      <c r="P908" s="336"/>
      <c r="Q908" s="336"/>
    </row>
    <row r="909" ht="15.75" customHeight="1">
      <c r="A909" s="336"/>
      <c r="B909" s="336"/>
      <c r="C909" s="336"/>
      <c r="D909" s="336"/>
      <c r="E909" s="336"/>
      <c r="F909" s="336"/>
      <c r="G909" s="336"/>
      <c r="H909" s="336"/>
      <c r="I909" s="336"/>
      <c r="J909" s="336"/>
      <c r="K909" s="336"/>
      <c r="L909" s="336"/>
      <c r="M909" s="336"/>
      <c r="N909" s="336"/>
      <c r="O909" s="336"/>
      <c r="P909" s="336"/>
      <c r="Q909" s="336"/>
    </row>
    <row r="910" ht="15.75" customHeight="1">
      <c r="A910" s="336"/>
      <c r="B910" s="336"/>
      <c r="C910" s="336"/>
      <c r="D910" s="336"/>
      <c r="E910" s="336"/>
      <c r="F910" s="336"/>
      <c r="G910" s="336"/>
      <c r="H910" s="336"/>
      <c r="I910" s="336"/>
      <c r="J910" s="336"/>
      <c r="K910" s="336"/>
      <c r="L910" s="336"/>
      <c r="M910" s="336"/>
      <c r="N910" s="336"/>
      <c r="O910" s="336"/>
      <c r="P910" s="336"/>
      <c r="Q910" s="336"/>
    </row>
    <row r="911" ht="15.75" customHeight="1">
      <c r="A911" s="336"/>
      <c r="B911" s="336"/>
      <c r="C911" s="336"/>
      <c r="D911" s="336"/>
      <c r="E911" s="336"/>
      <c r="F911" s="336"/>
      <c r="G911" s="336"/>
      <c r="H911" s="336"/>
      <c r="I911" s="336"/>
      <c r="J911" s="336"/>
      <c r="K911" s="336"/>
      <c r="L911" s="336"/>
      <c r="M911" s="336"/>
      <c r="N911" s="336"/>
      <c r="O911" s="336"/>
      <c r="P911" s="336"/>
      <c r="Q911" s="336"/>
    </row>
    <row r="912" ht="15.75" customHeight="1">
      <c r="A912" s="336"/>
      <c r="B912" s="336"/>
      <c r="C912" s="336"/>
      <c r="D912" s="336"/>
      <c r="E912" s="336"/>
      <c r="F912" s="336"/>
      <c r="G912" s="336"/>
      <c r="H912" s="336"/>
      <c r="I912" s="336"/>
      <c r="J912" s="336"/>
      <c r="K912" s="336"/>
      <c r="L912" s="336"/>
      <c r="M912" s="336"/>
      <c r="N912" s="336"/>
      <c r="O912" s="336"/>
      <c r="P912" s="336"/>
      <c r="Q912" s="336"/>
    </row>
    <row r="913" ht="15.75" customHeight="1">
      <c r="A913" s="336"/>
      <c r="B913" s="336"/>
      <c r="C913" s="336"/>
      <c r="D913" s="336"/>
      <c r="E913" s="336"/>
      <c r="F913" s="336"/>
      <c r="G913" s="336"/>
      <c r="H913" s="336"/>
      <c r="I913" s="336"/>
      <c r="J913" s="336"/>
      <c r="K913" s="336"/>
      <c r="L913" s="336"/>
      <c r="M913" s="336"/>
      <c r="N913" s="336"/>
      <c r="O913" s="336"/>
      <c r="P913" s="336"/>
      <c r="Q913" s="336"/>
    </row>
    <row r="914" ht="15.75" customHeight="1">
      <c r="A914" s="336"/>
      <c r="B914" s="336"/>
      <c r="C914" s="336"/>
      <c r="D914" s="336"/>
      <c r="E914" s="336"/>
      <c r="F914" s="336"/>
      <c r="G914" s="336"/>
      <c r="H914" s="336"/>
      <c r="I914" s="336"/>
      <c r="J914" s="336"/>
      <c r="K914" s="336"/>
      <c r="L914" s="336"/>
      <c r="M914" s="336"/>
      <c r="N914" s="336"/>
      <c r="O914" s="336"/>
      <c r="P914" s="336"/>
      <c r="Q914" s="336"/>
    </row>
    <row r="915" ht="15.75" customHeight="1">
      <c r="A915" s="336"/>
      <c r="B915" s="336"/>
      <c r="C915" s="336"/>
      <c r="D915" s="336"/>
      <c r="E915" s="336"/>
      <c r="F915" s="336"/>
      <c r="G915" s="336"/>
      <c r="H915" s="336"/>
      <c r="I915" s="336"/>
      <c r="J915" s="336"/>
      <c r="K915" s="336"/>
      <c r="L915" s="336"/>
      <c r="M915" s="336"/>
      <c r="N915" s="336"/>
      <c r="O915" s="336"/>
      <c r="P915" s="336"/>
      <c r="Q915" s="336"/>
    </row>
    <row r="916" ht="15.75" customHeight="1">
      <c r="A916" s="336"/>
      <c r="B916" s="336"/>
      <c r="C916" s="336"/>
      <c r="D916" s="336"/>
      <c r="E916" s="336"/>
      <c r="F916" s="336"/>
      <c r="G916" s="336"/>
      <c r="H916" s="336"/>
      <c r="I916" s="336"/>
      <c r="J916" s="336"/>
      <c r="K916" s="336"/>
      <c r="L916" s="336"/>
      <c r="M916" s="336"/>
      <c r="N916" s="336"/>
      <c r="O916" s="336"/>
      <c r="P916" s="336"/>
      <c r="Q916" s="336"/>
    </row>
    <row r="917" ht="15.75" customHeight="1">
      <c r="A917" s="336"/>
      <c r="B917" s="336"/>
      <c r="C917" s="336"/>
      <c r="D917" s="336"/>
      <c r="E917" s="336"/>
      <c r="F917" s="336"/>
      <c r="G917" s="336"/>
      <c r="H917" s="336"/>
      <c r="I917" s="336"/>
      <c r="J917" s="336"/>
      <c r="K917" s="336"/>
      <c r="L917" s="336"/>
      <c r="M917" s="336"/>
      <c r="N917" s="336"/>
      <c r="O917" s="336"/>
      <c r="P917" s="336"/>
      <c r="Q917" s="336"/>
    </row>
    <row r="918" ht="15.75" customHeight="1">
      <c r="A918" s="336"/>
      <c r="B918" s="336"/>
      <c r="C918" s="336"/>
      <c r="D918" s="336"/>
      <c r="E918" s="336"/>
      <c r="F918" s="336"/>
      <c r="G918" s="336"/>
      <c r="H918" s="336"/>
      <c r="I918" s="336"/>
      <c r="J918" s="336"/>
      <c r="K918" s="336"/>
      <c r="L918" s="336"/>
      <c r="M918" s="336"/>
      <c r="N918" s="336"/>
      <c r="O918" s="336"/>
      <c r="P918" s="336"/>
      <c r="Q918" s="336"/>
    </row>
    <row r="919" ht="15.75" customHeight="1">
      <c r="A919" s="336"/>
      <c r="B919" s="336"/>
      <c r="C919" s="336"/>
      <c r="D919" s="336"/>
      <c r="E919" s="336"/>
      <c r="F919" s="336"/>
      <c r="G919" s="336"/>
      <c r="H919" s="336"/>
      <c r="I919" s="336"/>
      <c r="J919" s="336"/>
      <c r="K919" s="336"/>
      <c r="L919" s="336"/>
      <c r="M919" s="336"/>
      <c r="N919" s="336"/>
      <c r="O919" s="336"/>
      <c r="P919" s="336"/>
      <c r="Q919" s="336"/>
    </row>
    <row r="920" ht="15.75" customHeight="1">
      <c r="A920" s="336"/>
      <c r="B920" s="336"/>
      <c r="C920" s="336"/>
      <c r="D920" s="336"/>
      <c r="E920" s="336"/>
      <c r="F920" s="336"/>
      <c r="G920" s="336"/>
      <c r="H920" s="336"/>
      <c r="I920" s="336"/>
      <c r="J920" s="336"/>
      <c r="K920" s="336"/>
      <c r="L920" s="336"/>
      <c r="M920" s="336"/>
      <c r="N920" s="336"/>
      <c r="O920" s="336"/>
      <c r="P920" s="336"/>
      <c r="Q920" s="336"/>
    </row>
    <row r="921" ht="15.75" customHeight="1">
      <c r="A921" s="336"/>
      <c r="B921" s="336"/>
      <c r="C921" s="336"/>
      <c r="D921" s="336"/>
      <c r="E921" s="336"/>
      <c r="F921" s="336"/>
      <c r="G921" s="336"/>
      <c r="H921" s="336"/>
      <c r="I921" s="336"/>
      <c r="J921" s="336"/>
      <c r="K921" s="336"/>
      <c r="L921" s="336"/>
      <c r="M921" s="336"/>
      <c r="N921" s="336"/>
      <c r="O921" s="336"/>
      <c r="P921" s="336"/>
      <c r="Q921" s="336"/>
    </row>
    <row r="922" ht="15.75" customHeight="1">
      <c r="A922" s="336"/>
      <c r="B922" s="336"/>
      <c r="C922" s="336"/>
      <c r="D922" s="336"/>
      <c r="E922" s="336"/>
      <c r="F922" s="336"/>
      <c r="G922" s="336"/>
      <c r="H922" s="336"/>
      <c r="I922" s="336"/>
      <c r="J922" s="336"/>
      <c r="K922" s="336"/>
      <c r="L922" s="336"/>
      <c r="M922" s="336"/>
      <c r="N922" s="336"/>
      <c r="O922" s="336"/>
      <c r="P922" s="336"/>
      <c r="Q922" s="336"/>
    </row>
    <row r="923" ht="15.75" customHeight="1">
      <c r="A923" s="336"/>
      <c r="B923" s="336"/>
      <c r="C923" s="336"/>
      <c r="D923" s="336"/>
      <c r="E923" s="336"/>
      <c r="F923" s="336"/>
      <c r="G923" s="336"/>
      <c r="H923" s="336"/>
      <c r="I923" s="336"/>
      <c r="J923" s="336"/>
      <c r="K923" s="336"/>
      <c r="L923" s="336"/>
      <c r="M923" s="336"/>
      <c r="N923" s="336"/>
      <c r="O923" s="336"/>
      <c r="P923" s="336"/>
      <c r="Q923" s="336"/>
    </row>
    <row r="924" ht="15.75" customHeight="1">
      <c r="A924" s="336"/>
      <c r="B924" s="336"/>
      <c r="C924" s="336"/>
      <c r="D924" s="336"/>
      <c r="E924" s="336"/>
      <c r="F924" s="336"/>
      <c r="G924" s="336"/>
      <c r="H924" s="336"/>
      <c r="I924" s="336"/>
      <c r="J924" s="336"/>
      <c r="K924" s="336"/>
      <c r="L924" s="336"/>
      <c r="M924" s="336"/>
      <c r="N924" s="336"/>
      <c r="O924" s="336"/>
      <c r="P924" s="336"/>
      <c r="Q924" s="336"/>
    </row>
    <row r="925" ht="15.75" customHeight="1">
      <c r="A925" s="336"/>
      <c r="B925" s="336"/>
      <c r="C925" s="336"/>
      <c r="D925" s="336"/>
      <c r="E925" s="336"/>
      <c r="F925" s="336"/>
      <c r="G925" s="336"/>
      <c r="H925" s="336"/>
      <c r="I925" s="336"/>
      <c r="J925" s="336"/>
      <c r="K925" s="336"/>
      <c r="L925" s="336"/>
      <c r="M925" s="336"/>
      <c r="N925" s="336"/>
      <c r="O925" s="336"/>
      <c r="P925" s="336"/>
      <c r="Q925" s="336"/>
    </row>
    <row r="926" ht="15.75" customHeight="1">
      <c r="A926" s="336"/>
      <c r="B926" s="336"/>
      <c r="C926" s="336"/>
      <c r="D926" s="336"/>
      <c r="E926" s="336"/>
      <c r="F926" s="336"/>
      <c r="G926" s="336"/>
      <c r="H926" s="336"/>
      <c r="I926" s="336"/>
      <c r="J926" s="336"/>
      <c r="K926" s="336"/>
      <c r="L926" s="336"/>
      <c r="M926" s="336"/>
      <c r="N926" s="336"/>
      <c r="O926" s="336"/>
      <c r="P926" s="336"/>
      <c r="Q926" s="336"/>
    </row>
    <row r="927" ht="15.75" customHeight="1">
      <c r="A927" s="336"/>
      <c r="B927" s="336"/>
      <c r="C927" s="336"/>
      <c r="D927" s="336"/>
      <c r="E927" s="336"/>
      <c r="F927" s="336"/>
      <c r="G927" s="336"/>
      <c r="H927" s="336"/>
      <c r="I927" s="336"/>
      <c r="J927" s="336"/>
      <c r="K927" s="336"/>
      <c r="L927" s="336"/>
      <c r="M927" s="336"/>
      <c r="N927" s="336"/>
      <c r="O927" s="336"/>
      <c r="P927" s="336"/>
      <c r="Q927" s="336"/>
    </row>
    <row r="928" ht="15.75" customHeight="1">
      <c r="A928" s="336"/>
      <c r="B928" s="336"/>
      <c r="C928" s="336"/>
      <c r="D928" s="336"/>
      <c r="E928" s="336"/>
      <c r="F928" s="336"/>
      <c r="G928" s="336"/>
      <c r="H928" s="336"/>
      <c r="I928" s="336"/>
      <c r="J928" s="336"/>
      <c r="K928" s="336"/>
      <c r="L928" s="336"/>
      <c r="M928" s="336"/>
      <c r="N928" s="336"/>
      <c r="O928" s="336"/>
      <c r="P928" s="336"/>
      <c r="Q928" s="336"/>
    </row>
    <row r="929" ht="15.75" customHeight="1">
      <c r="A929" s="336"/>
      <c r="B929" s="336"/>
      <c r="C929" s="336"/>
      <c r="D929" s="336"/>
      <c r="E929" s="336"/>
      <c r="F929" s="336"/>
      <c r="G929" s="336"/>
      <c r="H929" s="336"/>
      <c r="I929" s="336"/>
      <c r="J929" s="336"/>
      <c r="K929" s="336"/>
      <c r="L929" s="336"/>
      <c r="M929" s="336"/>
      <c r="N929" s="336"/>
      <c r="O929" s="336"/>
      <c r="P929" s="336"/>
      <c r="Q929" s="336"/>
    </row>
    <row r="930" ht="15.75" customHeight="1">
      <c r="A930" s="336"/>
      <c r="B930" s="336"/>
      <c r="C930" s="336"/>
      <c r="D930" s="336"/>
      <c r="E930" s="336"/>
      <c r="F930" s="336"/>
      <c r="G930" s="336"/>
      <c r="H930" s="336"/>
      <c r="I930" s="336"/>
      <c r="J930" s="336"/>
      <c r="K930" s="336"/>
      <c r="L930" s="336"/>
      <c r="M930" s="336"/>
      <c r="N930" s="336"/>
      <c r="O930" s="336"/>
      <c r="P930" s="336"/>
      <c r="Q930" s="336"/>
    </row>
    <row r="931" ht="15.75" customHeight="1">
      <c r="A931" s="336"/>
      <c r="B931" s="336"/>
      <c r="C931" s="336"/>
      <c r="D931" s="336"/>
      <c r="E931" s="336"/>
      <c r="F931" s="336"/>
      <c r="G931" s="336"/>
      <c r="H931" s="336"/>
      <c r="I931" s="336"/>
      <c r="J931" s="336"/>
      <c r="K931" s="336"/>
      <c r="L931" s="336"/>
      <c r="M931" s="336"/>
      <c r="N931" s="336"/>
      <c r="O931" s="336"/>
      <c r="P931" s="336"/>
      <c r="Q931" s="336"/>
    </row>
    <row r="932" ht="15.75" customHeight="1">
      <c r="A932" s="336"/>
      <c r="B932" s="336"/>
      <c r="C932" s="336"/>
      <c r="D932" s="336"/>
      <c r="E932" s="336"/>
      <c r="F932" s="336"/>
      <c r="G932" s="336"/>
      <c r="H932" s="336"/>
      <c r="I932" s="336"/>
      <c r="J932" s="336"/>
      <c r="K932" s="336"/>
      <c r="L932" s="336"/>
      <c r="M932" s="336"/>
      <c r="N932" s="336"/>
      <c r="O932" s="336"/>
      <c r="P932" s="336"/>
      <c r="Q932" s="336"/>
    </row>
    <row r="933" ht="15.75" customHeight="1">
      <c r="A933" s="336"/>
      <c r="B933" s="336"/>
      <c r="C933" s="336"/>
      <c r="D933" s="336"/>
      <c r="E933" s="336"/>
      <c r="F933" s="336"/>
      <c r="G933" s="336"/>
      <c r="H933" s="336"/>
      <c r="I933" s="336"/>
      <c r="J933" s="336"/>
      <c r="K933" s="336"/>
      <c r="L933" s="336"/>
      <c r="M933" s="336"/>
      <c r="N933" s="336"/>
      <c r="O933" s="336"/>
      <c r="P933" s="336"/>
      <c r="Q933" s="336"/>
    </row>
    <row r="934" ht="15.75" customHeight="1">
      <c r="A934" s="336"/>
      <c r="B934" s="336"/>
      <c r="C934" s="336"/>
      <c r="D934" s="336"/>
      <c r="E934" s="336"/>
      <c r="F934" s="336"/>
      <c r="G934" s="336"/>
      <c r="H934" s="336"/>
      <c r="I934" s="336"/>
      <c r="J934" s="336"/>
      <c r="K934" s="336"/>
      <c r="L934" s="336"/>
      <c r="M934" s="336"/>
      <c r="N934" s="336"/>
      <c r="O934" s="336"/>
      <c r="P934" s="336"/>
      <c r="Q934" s="336"/>
    </row>
    <row r="935" ht="15.75" customHeight="1">
      <c r="A935" s="336"/>
      <c r="B935" s="336"/>
      <c r="C935" s="336"/>
      <c r="D935" s="336"/>
      <c r="E935" s="336"/>
      <c r="F935" s="336"/>
      <c r="G935" s="336"/>
      <c r="H935" s="336"/>
      <c r="I935" s="336"/>
      <c r="J935" s="336"/>
      <c r="K935" s="336"/>
      <c r="L935" s="336"/>
      <c r="M935" s="336"/>
      <c r="N935" s="336"/>
      <c r="O935" s="336"/>
      <c r="P935" s="336"/>
      <c r="Q935" s="336"/>
    </row>
    <row r="936" ht="15.75" customHeight="1">
      <c r="A936" s="336"/>
      <c r="B936" s="336"/>
      <c r="C936" s="336"/>
      <c r="D936" s="336"/>
      <c r="E936" s="336"/>
      <c r="F936" s="336"/>
      <c r="G936" s="336"/>
      <c r="H936" s="336"/>
      <c r="I936" s="336"/>
      <c r="J936" s="336"/>
      <c r="K936" s="336"/>
      <c r="L936" s="336"/>
      <c r="M936" s="336"/>
      <c r="N936" s="336"/>
      <c r="O936" s="336"/>
      <c r="P936" s="336"/>
      <c r="Q936" s="336"/>
    </row>
    <row r="937" ht="15.75" customHeight="1">
      <c r="A937" s="336"/>
      <c r="B937" s="336"/>
      <c r="C937" s="336"/>
      <c r="D937" s="336"/>
      <c r="E937" s="336"/>
      <c r="F937" s="336"/>
      <c r="G937" s="336"/>
      <c r="H937" s="336"/>
      <c r="I937" s="336"/>
      <c r="J937" s="336"/>
      <c r="K937" s="336"/>
      <c r="L937" s="336"/>
      <c r="M937" s="336"/>
      <c r="N937" s="336"/>
      <c r="O937" s="336"/>
      <c r="P937" s="336"/>
      <c r="Q937" s="336"/>
    </row>
    <row r="938" ht="15.75" customHeight="1">
      <c r="A938" s="336"/>
      <c r="B938" s="336"/>
      <c r="C938" s="336"/>
      <c r="D938" s="336"/>
      <c r="E938" s="336"/>
      <c r="F938" s="336"/>
      <c r="G938" s="336"/>
      <c r="H938" s="336"/>
      <c r="I938" s="336"/>
      <c r="J938" s="336"/>
      <c r="K938" s="336"/>
      <c r="L938" s="336"/>
      <c r="M938" s="336"/>
      <c r="N938" s="336"/>
      <c r="O938" s="336"/>
      <c r="P938" s="336"/>
      <c r="Q938" s="336"/>
    </row>
    <row r="939" ht="15.75" customHeight="1">
      <c r="A939" s="336"/>
      <c r="B939" s="336"/>
      <c r="C939" s="336"/>
      <c r="D939" s="336"/>
      <c r="E939" s="336"/>
      <c r="F939" s="336"/>
      <c r="G939" s="336"/>
      <c r="H939" s="336"/>
      <c r="I939" s="336"/>
      <c r="J939" s="336"/>
      <c r="K939" s="336"/>
      <c r="L939" s="336"/>
      <c r="M939" s="336"/>
      <c r="N939" s="336"/>
      <c r="O939" s="336"/>
      <c r="P939" s="336"/>
      <c r="Q939" s="336"/>
    </row>
    <row r="940" ht="15.75" customHeight="1">
      <c r="A940" s="336"/>
      <c r="B940" s="336"/>
      <c r="C940" s="336"/>
      <c r="D940" s="336"/>
      <c r="E940" s="336"/>
      <c r="F940" s="336"/>
      <c r="G940" s="336"/>
      <c r="H940" s="336"/>
      <c r="I940" s="336"/>
      <c r="J940" s="336"/>
      <c r="K940" s="336"/>
      <c r="L940" s="336"/>
      <c r="M940" s="336"/>
      <c r="N940" s="336"/>
      <c r="O940" s="336"/>
      <c r="P940" s="336"/>
      <c r="Q940" s="336"/>
    </row>
    <row r="941" ht="15.75" customHeight="1">
      <c r="A941" s="336"/>
      <c r="B941" s="336"/>
      <c r="C941" s="336"/>
      <c r="D941" s="336"/>
      <c r="E941" s="336"/>
      <c r="F941" s="336"/>
      <c r="G941" s="336"/>
      <c r="H941" s="336"/>
      <c r="I941" s="336"/>
      <c r="J941" s="336"/>
      <c r="K941" s="336"/>
      <c r="L941" s="336"/>
      <c r="M941" s="336"/>
      <c r="N941" s="336"/>
      <c r="O941" s="336"/>
      <c r="P941" s="336"/>
      <c r="Q941" s="336"/>
    </row>
    <row r="942" ht="15.75" customHeight="1">
      <c r="A942" s="336"/>
      <c r="B942" s="336"/>
      <c r="C942" s="336"/>
      <c r="D942" s="336"/>
      <c r="E942" s="336"/>
      <c r="F942" s="336"/>
      <c r="G942" s="336"/>
      <c r="H942" s="336"/>
      <c r="I942" s="336"/>
      <c r="J942" s="336"/>
      <c r="K942" s="336"/>
      <c r="L942" s="336"/>
      <c r="M942" s="336"/>
      <c r="N942" s="336"/>
      <c r="O942" s="336"/>
      <c r="P942" s="336"/>
      <c r="Q942" s="336"/>
    </row>
    <row r="943" ht="15.75" customHeight="1">
      <c r="A943" s="336"/>
      <c r="B943" s="336"/>
      <c r="C943" s="336"/>
      <c r="D943" s="336"/>
      <c r="E943" s="336"/>
      <c r="F943" s="336"/>
      <c r="G943" s="336"/>
      <c r="H943" s="336"/>
      <c r="I943" s="336"/>
      <c r="J943" s="336"/>
      <c r="K943" s="336"/>
      <c r="L943" s="336"/>
      <c r="M943" s="336"/>
      <c r="N943" s="336"/>
      <c r="O943" s="336"/>
      <c r="P943" s="336"/>
      <c r="Q943" s="336"/>
    </row>
    <row r="944" ht="15.75" customHeight="1">
      <c r="A944" s="336"/>
      <c r="B944" s="336"/>
      <c r="C944" s="336"/>
      <c r="D944" s="336"/>
      <c r="E944" s="336"/>
      <c r="F944" s="336"/>
      <c r="G944" s="336"/>
      <c r="H944" s="336"/>
      <c r="I944" s="336"/>
      <c r="J944" s="336"/>
      <c r="K944" s="336"/>
      <c r="L944" s="336"/>
      <c r="M944" s="336"/>
      <c r="N944" s="336"/>
      <c r="O944" s="336"/>
      <c r="P944" s="336"/>
      <c r="Q944" s="336"/>
    </row>
    <row r="945" ht="15.75" customHeight="1">
      <c r="A945" s="336"/>
      <c r="B945" s="336"/>
      <c r="C945" s="336"/>
      <c r="D945" s="336"/>
      <c r="E945" s="336"/>
      <c r="F945" s="336"/>
      <c r="G945" s="336"/>
      <c r="H945" s="336"/>
      <c r="I945" s="336"/>
      <c r="J945" s="336"/>
      <c r="K945" s="336"/>
      <c r="L945" s="336"/>
      <c r="M945" s="336"/>
      <c r="N945" s="336"/>
      <c r="O945" s="336"/>
      <c r="P945" s="336"/>
      <c r="Q945" s="336"/>
    </row>
    <row r="946" ht="15.75" customHeight="1">
      <c r="A946" s="336"/>
      <c r="B946" s="336"/>
      <c r="C946" s="336"/>
      <c r="D946" s="336"/>
      <c r="E946" s="336"/>
      <c r="F946" s="336"/>
      <c r="G946" s="336"/>
      <c r="H946" s="336"/>
      <c r="I946" s="336"/>
      <c r="J946" s="336"/>
      <c r="K946" s="336"/>
      <c r="L946" s="336"/>
      <c r="M946" s="336"/>
      <c r="N946" s="336"/>
      <c r="O946" s="336"/>
      <c r="P946" s="336"/>
      <c r="Q946" s="336"/>
    </row>
    <row r="947" ht="15.75" customHeight="1">
      <c r="A947" s="336"/>
      <c r="B947" s="336"/>
      <c r="C947" s="336"/>
      <c r="D947" s="336"/>
      <c r="E947" s="336"/>
      <c r="F947" s="336"/>
      <c r="G947" s="336"/>
      <c r="H947" s="336"/>
      <c r="I947" s="336"/>
      <c r="J947" s="336"/>
      <c r="K947" s="336"/>
      <c r="L947" s="336"/>
      <c r="M947" s="336"/>
      <c r="N947" s="336"/>
      <c r="O947" s="336"/>
      <c r="P947" s="336"/>
      <c r="Q947" s="336"/>
    </row>
    <row r="948" ht="15.75" customHeight="1">
      <c r="A948" s="336"/>
      <c r="B948" s="336"/>
      <c r="C948" s="336"/>
      <c r="D948" s="336"/>
      <c r="E948" s="336"/>
      <c r="F948" s="336"/>
      <c r="G948" s="336"/>
      <c r="H948" s="336"/>
      <c r="I948" s="336"/>
      <c r="J948" s="336"/>
      <c r="K948" s="336"/>
      <c r="L948" s="336"/>
      <c r="M948" s="336"/>
      <c r="N948" s="336"/>
      <c r="O948" s="336"/>
      <c r="P948" s="336"/>
      <c r="Q948" s="336"/>
    </row>
    <row r="949" ht="15.75" customHeight="1">
      <c r="A949" s="336"/>
      <c r="B949" s="336"/>
      <c r="C949" s="336"/>
      <c r="D949" s="336"/>
      <c r="E949" s="336"/>
      <c r="F949" s="336"/>
      <c r="G949" s="336"/>
      <c r="H949" s="336"/>
      <c r="I949" s="336"/>
      <c r="J949" s="336"/>
      <c r="K949" s="336"/>
      <c r="L949" s="336"/>
      <c r="M949" s="336"/>
      <c r="N949" s="336"/>
      <c r="O949" s="336"/>
      <c r="P949" s="336"/>
      <c r="Q949" s="336"/>
    </row>
    <row r="950" ht="15.75" customHeight="1">
      <c r="A950" s="336"/>
      <c r="B950" s="336"/>
      <c r="C950" s="336"/>
      <c r="D950" s="336"/>
      <c r="E950" s="336"/>
      <c r="F950" s="336"/>
      <c r="G950" s="336"/>
      <c r="H950" s="336"/>
      <c r="I950" s="336"/>
      <c r="J950" s="336"/>
      <c r="K950" s="336"/>
      <c r="L950" s="336"/>
      <c r="M950" s="336"/>
      <c r="N950" s="336"/>
      <c r="O950" s="336"/>
      <c r="P950" s="336"/>
      <c r="Q950" s="336"/>
    </row>
    <row r="951" ht="15.75" customHeight="1">
      <c r="A951" s="336"/>
      <c r="B951" s="336"/>
      <c r="C951" s="336"/>
      <c r="D951" s="336"/>
      <c r="E951" s="336"/>
      <c r="F951" s="336"/>
      <c r="G951" s="336"/>
      <c r="H951" s="336"/>
      <c r="I951" s="336"/>
      <c r="J951" s="336"/>
      <c r="K951" s="336"/>
      <c r="L951" s="336"/>
      <c r="M951" s="336"/>
      <c r="N951" s="336"/>
      <c r="O951" s="336"/>
      <c r="P951" s="336"/>
      <c r="Q951" s="336"/>
    </row>
    <row r="952" ht="15.75" customHeight="1">
      <c r="A952" s="336"/>
      <c r="B952" s="336"/>
      <c r="C952" s="336"/>
      <c r="D952" s="336"/>
      <c r="E952" s="336"/>
      <c r="F952" s="336"/>
      <c r="G952" s="336"/>
      <c r="H952" s="336"/>
      <c r="I952" s="336"/>
      <c r="J952" s="336"/>
      <c r="K952" s="336"/>
      <c r="L952" s="336"/>
      <c r="M952" s="336"/>
      <c r="N952" s="336"/>
      <c r="O952" s="336"/>
      <c r="P952" s="336"/>
      <c r="Q952" s="336"/>
    </row>
    <row r="953" ht="15.75" customHeight="1">
      <c r="A953" s="336"/>
      <c r="B953" s="336"/>
      <c r="C953" s="336"/>
      <c r="D953" s="336"/>
      <c r="E953" s="336"/>
      <c r="F953" s="336"/>
      <c r="G953" s="336"/>
      <c r="H953" s="336"/>
      <c r="I953" s="336"/>
      <c r="J953" s="336"/>
      <c r="K953" s="336"/>
      <c r="L953" s="336"/>
      <c r="M953" s="336"/>
      <c r="N953" s="336"/>
      <c r="O953" s="336"/>
      <c r="P953" s="336"/>
      <c r="Q953" s="336"/>
    </row>
    <row r="954" ht="15.75" customHeight="1">
      <c r="A954" s="336"/>
      <c r="B954" s="336"/>
      <c r="C954" s="336"/>
      <c r="D954" s="336"/>
      <c r="E954" s="336"/>
      <c r="F954" s="336"/>
      <c r="G954" s="336"/>
      <c r="H954" s="336"/>
      <c r="I954" s="336"/>
      <c r="J954" s="336"/>
      <c r="K954" s="336"/>
      <c r="L954" s="336"/>
      <c r="M954" s="336"/>
      <c r="N954" s="336"/>
      <c r="O954" s="336"/>
      <c r="P954" s="336"/>
      <c r="Q954" s="336"/>
    </row>
    <row r="955" ht="15.75" customHeight="1">
      <c r="A955" s="336"/>
      <c r="B955" s="336"/>
      <c r="C955" s="336"/>
      <c r="D955" s="336"/>
      <c r="E955" s="336"/>
      <c r="F955" s="336"/>
      <c r="G955" s="336"/>
      <c r="H955" s="336"/>
      <c r="I955" s="336"/>
      <c r="J955" s="336"/>
      <c r="K955" s="336"/>
      <c r="L955" s="336"/>
      <c r="M955" s="336"/>
      <c r="N955" s="336"/>
      <c r="O955" s="336"/>
      <c r="P955" s="336"/>
      <c r="Q955" s="336"/>
    </row>
    <row r="956" ht="15.75" customHeight="1">
      <c r="A956" s="336"/>
      <c r="B956" s="336"/>
      <c r="C956" s="336"/>
      <c r="D956" s="336"/>
      <c r="E956" s="336"/>
      <c r="F956" s="336"/>
      <c r="G956" s="336"/>
      <c r="H956" s="336"/>
      <c r="I956" s="336"/>
      <c r="J956" s="336"/>
      <c r="K956" s="336"/>
      <c r="L956" s="336"/>
      <c r="M956" s="336"/>
      <c r="N956" s="336"/>
      <c r="O956" s="336"/>
      <c r="P956" s="336"/>
      <c r="Q956" s="336"/>
    </row>
    <row r="957" ht="15.75" customHeight="1">
      <c r="A957" s="336"/>
      <c r="B957" s="336"/>
      <c r="C957" s="336"/>
      <c r="D957" s="336"/>
      <c r="E957" s="336"/>
      <c r="F957" s="336"/>
      <c r="G957" s="336"/>
      <c r="H957" s="336"/>
      <c r="I957" s="336"/>
      <c r="J957" s="336"/>
      <c r="K957" s="336"/>
      <c r="L957" s="336"/>
      <c r="M957" s="336"/>
      <c r="N957" s="336"/>
      <c r="O957" s="336"/>
      <c r="P957" s="336"/>
      <c r="Q957" s="336"/>
    </row>
    <row r="958" ht="15.75" customHeight="1">
      <c r="A958" s="336"/>
      <c r="B958" s="336"/>
      <c r="C958" s="336"/>
      <c r="D958" s="336"/>
      <c r="E958" s="336"/>
      <c r="F958" s="336"/>
      <c r="G958" s="336"/>
      <c r="H958" s="336"/>
      <c r="I958" s="336"/>
      <c r="J958" s="336"/>
      <c r="K958" s="336"/>
      <c r="L958" s="336"/>
      <c r="M958" s="336"/>
      <c r="N958" s="336"/>
      <c r="O958" s="336"/>
      <c r="P958" s="336"/>
      <c r="Q958" s="336"/>
    </row>
    <row r="959" ht="15.75" customHeight="1">
      <c r="A959" s="336"/>
      <c r="B959" s="336"/>
      <c r="C959" s="336"/>
      <c r="D959" s="336"/>
      <c r="E959" s="336"/>
      <c r="F959" s="336"/>
      <c r="G959" s="336"/>
      <c r="H959" s="336"/>
      <c r="I959" s="336"/>
      <c r="J959" s="336"/>
      <c r="K959" s="336"/>
      <c r="L959" s="336"/>
      <c r="M959" s="336"/>
      <c r="N959" s="336"/>
      <c r="O959" s="336"/>
      <c r="P959" s="336"/>
      <c r="Q959" s="336"/>
    </row>
    <row r="960" ht="15.75" customHeight="1">
      <c r="A960" s="336"/>
      <c r="B960" s="336"/>
      <c r="C960" s="336"/>
      <c r="D960" s="336"/>
      <c r="E960" s="336"/>
      <c r="F960" s="336"/>
      <c r="G960" s="336"/>
      <c r="H960" s="336"/>
      <c r="I960" s="336"/>
      <c r="J960" s="336"/>
      <c r="K960" s="336"/>
      <c r="L960" s="336"/>
      <c r="M960" s="336"/>
      <c r="N960" s="336"/>
      <c r="O960" s="336"/>
      <c r="P960" s="336"/>
      <c r="Q960" s="336"/>
    </row>
    <row r="961" ht="15.75" customHeight="1">
      <c r="A961" s="336"/>
      <c r="B961" s="336"/>
      <c r="C961" s="336"/>
      <c r="D961" s="336"/>
      <c r="E961" s="336"/>
      <c r="F961" s="336"/>
      <c r="G961" s="336"/>
      <c r="H961" s="336"/>
      <c r="I961" s="336"/>
      <c r="J961" s="336"/>
      <c r="K961" s="336"/>
      <c r="L961" s="336"/>
      <c r="M961" s="336"/>
      <c r="N961" s="336"/>
      <c r="O961" s="336"/>
      <c r="P961" s="336"/>
      <c r="Q961" s="336"/>
    </row>
    <row r="962" ht="15.75" customHeight="1">
      <c r="A962" s="336"/>
      <c r="B962" s="336"/>
      <c r="C962" s="336"/>
      <c r="D962" s="336"/>
      <c r="E962" s="336"/>
      <c r="F962" s="336"/>
      <c r="G962" s="336"/>
      <c r="H962" s="336"/>
      <c r="I962" s="336"/>
      <c r="J962" s="336"/>
      <c r="K962" s="336"/>
      <c r="L962" s="336"/>
      <c r="M962" s="336"/>
      <c r="N962" s="336"/>
      <c r="O962" s="336"/>
      <c r="P962" s="336"/>
      <c r="Q962" s="336"/>
    </row>
    <row r="963" ht="15.75" customHeight="1">
      <c r="A963" s="336"/>
      <c r="B963" s="336"/>
      <c r="C963" s="336"/>
      <c r="D963" s="336"/>
      <c r="E963" s="336"/>
      <c r="F963" s="336"/>
      <c r="G963" s="336"/>
      <c r="H963" s="336"/>
      <c r="I963" s="336"/>
      <c r="J963" s="336"/>
      <c r="K963" s="336"/>
      <c r="L963" s="336"/>
      <c r="M963" s="336"/>
      <c r="N963" s="336"/>
      <c r="O963" s="336"/>
      <c r="P963" s="336"/>
      <c r="Q963" s="336"/>
    </row>
    <row r="964" ht="15.75" customHeight="1">
      <c r="A964" s="336"/>
      <c r="B964" s="336"/>
      <c r="C964" s="336"/>
      <c r="D964" s="336"/>
      <c r="E964" s="336"/>
      <c r="F964" s="336"/>
      <c r="G964" s="336"/>
      <c r="H964" s="336"/>
      <c r="I964" s="336"/>
      <c r="J964" s="336"/>
      <c r="K964" s="336"/>
      <c r="L964" s="336"/>
      <c r="M964" s="336"/>
      <c r="N964" s="336"/>
      <c r="O964" s="336"/>
      <c r="P964" s="336"/>
      <c r="Q964" s="336"/>
    </row>
    <row r="965" ht="15.75" customHeight="1">
      <c r="A965" s="336"/>
      <c r="B965" s="336"/>
      <c r="C965" s="336"/>
      <c r="D965" s="336"/>
      <c r="E965" s="336"/>
      <c r="F965" s="336"/>
      <c r="G965" s="336"/>
      <c r="H965" s="336"/>
      <c r="I965" s="336"/>
      <c r="J965" s="336"/>
      <c r="K965" s="336"/>
      <c r="L965" s="336"/>
      <c r="M965" s="336"/>
      <c r="N965" s="336"/>
      <c r="O965" s="336"/>
      <c r="P965" s="336"/>
      <c r="Q965" s="336"/>
    </row>
    <row r="966" ht="15.75" customHeight="1">
      <c r="A966" s="336"/>
      <c r="B966" s="336"/>
      <c r="C966" s="336"/>
      <c r="D966" s="336"/>
      <c r="E966" s="336"/>
      <c r="F966" s="336"/>
      <c r="G966" s="336"/>
      <c r="H966" s="336"/>
      <c r="I966" s="336"/>
      <c r="J966" s="336"/>
      <c r="K966" s="336"/>
      <c r="L966" s="336"/>
      <c r="M966" s="336"/>
      <c r="N966" s="336"/>
      <c r="O966" s="336"/>
      <c r="P966" s="336"/>
      <c r="Q966" s="336"/>
    </row>
    <row r="967" ht="15.75" customHeight="1">
      <c r="A967" s="336"/>
      <c r="B967" s="336"/>
      <c r="C967" s="336"/>
      <c r="D967" s="336"/>
      <c r="E967" s="336"/>
      <c r="F967" s="336"/>
      <c r="G967" s="336"/>
      <c r="H967" s="336"/>
      <c r="I967" s="336"/>
      <c r="J967" s="336"/>
      <c r="K967" s="336"/>
      <c r="L967" s="336"/>
      <c r="M967" s="336"/>
      <c r="N967" s="336"/>
      <c r="O967" s="336"/>
      <c r="P967" s="336"/>
      <c r="Q967" s="336"/>
    </row>
    <row r="968" ht="15.75" customHeight="1">
      <c r="A968" s="336"/>
      <c r="B968" s="336"/>
      <c r="C968" s="336"/>
      <c r="D968" s="336"/>
      <c r="E968" s="336"/>
      <c r="F968" s="336"/>
      <c r="G968" s="336"/>
      <c r="H968" s="336"/>
      <c r="I968" s="336"/>
      <c r="J968" s="336"/>
      <c r="K968" s="336"/>
      <c r="L968" s="336"/>
      <c r="M968" s="336"/>
      <c r="N968" s="336"/>
      <c r="O968" s="336"/>
      <c r="P968" s="336"/>
      <c r="Q968" s="336"/>
    </row>
    <row r="969" ht="15.75" customHeight="1">
      <c r="A969" s="336"/>
      <c r="B969" s="336"/>
      <c r="C969" s="336"/>
      <c r="D969" s="336"/>
      <c r="E969" s="336"/>
      <c r="F969" s="336"/>
      <c r="G969" s="336"/>
      <c r="H969" s="336"/>
      <c r="I969" s="336"/>
      <c r="J969" s="336"/>
      <c r="K969" s="336"/>
      <c r="L969" s="336"/>
      <c r="M969" s="336"/>
      <c r="N969" s="336"/>
      <c r="O969" s="336"/>
      <c r="P969" s="336"/>
      <c r="Q969" s="336"/>
    </row>
    <row r="970" ht="15.75" customHeight="1">
      <c r="A970" s="336"/>
      <c r="B970" s="336"/>
      <c r="C970" s="336"/>
      <c r="D970" s="336"/>
      <c r="E970" s="336"/>
      <c r="F970" s="336"/>
      <c r="G970" s="336"/>
      <c r="H970" s="336"/>
      <c r="I970" s="336"/>
      <c r="J970" s="336"/>
      <c r="K970" s="336"/>
      <c r="L970" s="336"/>
      <c r="M970" s="336"/>
      <c r="N970" s="336"/>
      <c r="O970" s="336"/>
      <c r="P970" s="336"/>
      <c r="Q970" s="336"/>
    </row>
    <row r="971" ht="15.75" customHeight="1">
      <c r="A971" s="336"/>
      <c r="B971" s="336"/>
      <c r="C971" s="336"/>
      <c r="D971" s="336"/>
      <c r="E971" s="336"/>
      <c r="F971" s="336"/>
      <c r="G971" s="336"/>
      <c r="H971" s="336"/>
      <c r="I971" s="336"/>
      <c r="J971" s="336"/>
      <c r="K971" s="336"/>
      <c r="L971" s="336"/>
      <c r="M971" s="336"/>
      <c r="N971" s="336"/>
      <c r="O971" s="336"/>
      <c r="P971" s="336"/>
      <c r="Q971" s="336"/>
    </row>
    <row r="972" ht="15.75" customHeight="1">
      <c r="A972" s="336"/>
      <c r="B972" s="336"/>
      <c r="C972" s="336"/>
      <c r="D972" s="336"/>
      <c r="E972" s="336"/>
      <c r="F972" s="336"/>
      <c r="G972" s="336"/>
      <c r="H972" s="336"/>
      <c r="I972" s="336"/>
      <c r="J972" s="336"/>
      <c r="K972" s="336"/>
      <c r="L972" s="336"/>
      <c r="M972" s="336"/>
      <c r="N972" s="336"/>
      <c r="O972" s="336"/>
      <c r="P972" s="336"/>
      <c r="Q972" s="336"/>
    </row>
  </sheetData>
  <mergeCells count="3">
    <mergeCell ref="L2:L3"/>
    <mergeCell ref="M2:O2"/>
    <mergeCell ref="B3:F3"/>
  </mergeCells>
  <hyperlinks>
    <hyperlink r:id="rId2" location="gid=0" ref="F6"/>
    <hyperlink r:id="rId3" ref="C10"/>
    <hyperlink r:id="rId4" ref="F10"/>
    <hyperlink r:id="rId5" ref="L10"/>
    <hyperlink r:id="rId6" ref="C14"/>
    <hyperlink r:id="rId7" ref="F14"/>
    <hyperlink r:id="rId8" ref="L14"/>
    <hyperlink r:id="rId9" location="gid=0" ref="F18"/>
    <hyperlink r:id="rId10" ref="C22"/>
    <hyperlink r:id="rId11" ref="F22"/>
    <hyperlink r:id="rId12" ref="L22"/>
    <hyperlink r:id="rId13" ref="F26"/>
    <hyperlink r:id="rId14" ref="F30"/>
    <hyperlink r:id="rId15" ref="F34"/>
    <hyperlink r:id="rId16" ref="C38"/>
    <hyperlink r:id="rId17" ref="E38"/>
    <hyperlink r:id="rId18" ref="F38"/>
    <hyperlink r:id="rId19" ref="L38"/>
    <hyperlink r:id="rId20" ref="F42"/>
    <hyperlink r:id="rId21" ref="L42"/>
  </hyperlinks>
  <drawing r:id="rId22"/>
  <legacy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0"/>
    <col customWidth="1" min="3" max="3" width="20.0"/>
    <col customWidth="1" min="11" max="11" width="6.25"/>
    <col customWidth="1" min="12" max="12" width="15.63"/>
  </cols>
  <sheetData>
    <row r="1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5.75" customHeight="1">
      <c r="A2" s="5"/>
      <c r="B2" s="450" t="s">
        <v>288</v>
      </c>
      <c r="S2" s="5"/>
      <c r="T2" s="5"/>
      <c r="U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5.75" customHeight="1">
      <c r="A4" s="5"/>
      <c r="B4" s="451" t="s">
        <v>289</v>
      </c>
      <c r="C4" s="366"/>
      <c r="D4" s="366"/>
      <c r="E4" s="366"/>
      <c r="F4" s="366"/>
      <c r="G4" s="366"/>
      <c r="H4" s="5"/>
      <c r="I4" s="5"/>
      <c r="J4" s="5"/>
      <c r="K4" s="451" t="s">
        <v>290</v>
      </c>
      <c r="S4" s="5"/>
      <c r="T4" s="5"/>
      <c r="U4" s="5"/>
    </row>
    <row r="5" ht="15.75" customHeight="1">
      <c r="A5" s="5"/>
      <c r="B5" s="452" t="s">
        <v>291</v>
      </c>
      <c r="C5" s="453" t="s">
        <v>292</v>
      </c>
      <c r="D5" s="453" t="s">
        <v>424</v>
      </c>
      <c r="E5" s="454" t="s">
        <v>294</v>
      </c>
      <c r="F5" s="454" t="s">
        <v>295</v>
      </c>
      <c r="G5" s="454" t="s">
        <v>296</v>
      </c>
      <c r="H5" s="454" t="s">
        <v>297</v>
      </c>
      <c r="I5" s="5"/>
      <c r="J5" s="5"/>
      <c r="K5" s="453" t="s">
        <v>298</v>
      </c>
      <c r="M5" s="452" t="s">
        <v>299</v>
      </c>
      <c r="O5" s="452" t="s">
        <v>296</v>
      </c>
      <c r="Q5" s="452" t="s">
        <v>297</v>
      </c>
      <c r="S5" s="5"/>
      <c r="T5" s="5"/>
      <c r="U5" s="5"/>
    </row>
    <row r="6" ht="15.75" customHeight="1">
      <c r="A6" s="5"/>
      <c r="B6" s="409">
        <v>1.0</v>
      </c>
      <c r="C6" s="455" t="s">
        <v>425</v>
      </c>
      <c r="D6" s="412">
        <f>'Inoculum Details'!L7</f>
        <v>74124.8</v>
      </c>
      <c r="E6" s="456">
        <v>1.0</v>
      </c>
      <c r="F6" s="456">
        <f>'Sys Volume &amp; Area'!N7</f>
        <v>3</v>
      </c>
      <c r="G6" s="412">
        <f t="shared" ref="G6:G8" si="1">F6*D6</f>
        <v>222374.4</v>
      </c>
      <c r="H6" s="457">
        <f t="shared" ref="H6:H8" si="2">G6/F$9</f>
        <v>0.3514931622</v>
      </c>
      <c r="I6" s="5"/>
      <c r="J6" s="5"/>
      <c r="M6" s="452" t="s">
        <v>21</v>
      </c>
      <c r="N6" s="452" t="s">
        <v>301</v>
      </c>
      <c r="O6" s="452" t="s">
        <v>21</v>
      </c>
      <c r="P6" s="452" t="s">
        <v>301</v>
      </c>
      <c r="Q6" s="452" t="s">
        <v>21</v>
      </c>
      <c r="R6" s="452" t="s">
        <v>301</v>
      </c>
      <c r="S6" s="5"/>
      <c r="T6" s="5"/>
      <c r="U6" s="5"/>
    </row>
    <row r="7" ht="15.75" customHeight="1">
      <c r="A7" s="5"/>
      <c r="B7" s="288">
        <f t="shared" ref="B7:B8" si="4">B6+1</f>
        <v>2</v>
      </c>
      <c r="C7" s="5" t="s">
        <v>426</v>
      </c>
      <c r="D7" s="458">
        <f>'Inoculum Details'!L8</f>
        <v>68653.88</v>
      </c>
      <c r="E7" s="258">
        <v>1.0</v>
      </c>
      <c r="F7" s="350">
        <f t="shared" ref="F7:F8" si="5">F6</f>
        <v>3</v>
      </c>
      <c r="G7" s="412">
        <f t="shared" si="1"/>
        <v>205961.64</v>
      </c>
      <c r="H7" s="457">
        <f t="shared" si="2"/>
        <v>0.3255505496</v>
      </c>
      <c r="I7" s="5"/>
      <c r="J7" s="5"/>
      <c r="K7" s="459" t="s">
        <v>303</v>
      </c>
      <c r="L7" s="460"/>
      <c r="M7" s="461" t="s">
        <v>304</v>
      </c>
      <c r="N7" s="461" t="s">
        <v>304</v>
      </c>
      <c r="O7" s="462">
        <f>SUM(O8:O16)</f>
        <v>632656.404</v>
      </c>
      <c r="P7" s="462">
        <f>SUM(P8:P16)+O8</f>
        <v>632656.404</v>
      </c>
      <c r="Q7" s="463">
        <f t="shared" ref="Q7:R7" si="3">O7/O$23</f>
        <v>1</v>
      </c>
      <c r="R7" s="463">
        <f t="shared" si="3"/>
        <v>1</v>
      </c>
      <c r="S7" s="5"/>
      <c r="T7" s="5"/>
      <c r="U7" s="5"/>
    </row>
    <row r="8" ht="15.75" customHeight="1">
      <c r="A8" s="5"/>
      <c r="B8" s="288">
        <f t="shared" si="4"/>
        <v>3</v>
      </c>
      <c r="C8" s="5" t="s">
        <v>427</v>
      </c>
      <c r="D8" s="458">
        <f>'Inoculum Details'!L9</f>
        <v>68106.788</v>
      </c>
      <c r="E8" s="258">
        <v>1.0</v>
      </c>
      <c r="F8" s="350">
        <f t="shared" si="5"/>
        <v>3</v>
      </c>
      <c r="G8" s="412">
        <f t="shared" si="1"/>
        <v>204320.364</v>
      </c>
      <c r="H8" s="457">
        <f t="shared" si="2"/>
        <v>0.3229562883</v>
      </c>
      <c r="I8" s="5"/>
      <c r="J8" s="5"/>
      <c r="K8" s="5"/>
      <c r="L8" s="378" t="s">
        <v>306</v>
      </c>
      <c r="M8" s="379" t="s">
        <v>304</v>
      </c>
      <c r="N8" s="379" t="s">
        <v>304</v>
      </c>
      <c r="O8" s="380">
        <f>F9</f>
        <v>632656.404</v>
      </c>
      <c r="Q8" s="381">
        <f t="shared" ref="Q8:Q16" si="7">O8/O$7</f>
        <v>1</v>
      </c>
      <c r="R8" s="381">
        <f>O8/P$7</f>
        <v>1</v>
      </c>
      <c r="S8" s="5"/>
      <c r="T8" s="5"/>
      <c r="U8" s="5"/>
    </row>
    <row r="9" ht="15.75" customHeight="1">
      <c r="A9" s="5"/>
      <c r="B9" s="464" t="s">
        <v>322</v>
      </c>
      <c r="F9" s="465">
        <f>SUM(G6:G9)</f>
        <v>632656.404</v>
      </c>
      <c r="I9" s="5"/>
      <c r="J9" s="5"/>
      <c r="K9" s="5"/>
      <c r="L9" s="378" t="s">
        <v>308</v>
      </c>
      <c r="M9" s="379">
        <v>0.0</v>
      </c>
      <c r="N9" s="379">
        <v>0.0</v>
      </c>
      <c r="O9" s="383">
        <f t="shared" ref="O9:P9" si="6">M9*$O$8</f>
        <v>0</v>
      </c>
      <c r="P9" s="383">
        <f t="shared" si="6"/>
        <v>0</v>
      </c>
      <c r="Q9" s="381">
        <f t="shared" si="7"/>
        <v>0</v>
      </c>
      <c r="R9" s="381">
        <f t="shared" ref="R9:R16" si="9">P9/P$7</f>
        <v>0</v>
      </c>
      <c r="S9" s="5"/>
      <c r="T9" s="5"/>
      <c r="U9" s="5"/>
    </row>
    <row r="10" ht="15.75" customHeight="1">
      <c r="A10" s="5"/>
      <c r="B10" s="288"/>
      <c r="C10" s="5"/>
      <c r="D10" s="466"/>
      <c r="E10" s="5"/>
      <c r="F10" s="5"/>
      <c r="G10" s="5"/>
      <c r="H10" s="5"/>
      <c r="I10" s="5"/>
      <c r="J10" s="5"/>
      <c r="K10" s="5"/>
      <c r="L10" s="378" t="s">
        <v>310</v>
      </c>
      <c r="M10" s="379">
        <v>0.0</v>
      </c>
      <c r="N10" s="379">
        <v>0.0</v>
      </c>
      <c r="O10" s="383">
        <f t="shared" ref="O10:P10" si="8">M10*$O$8</f>
        <v>0</v>
      </c>
      <c r="P10" s="383">
        <f t="shared" si="8"/>
        <v>0</v>
      </c>
      <c r="Q10" s="381">
        <f t="shared" si="7"/>
        <v>0</v>
      </c>
      <c r="R10" s="381">
        <f t="shared" si="9"/>
        <v>0</v>
      </c>
      <c r="S10" s="5"/>
      <c r="T10" s="5"/>
      <c r="U10" s="5"/>
    </row>
    <row r="11" ht="15.75" customHeight="1">
      <c r="A11" s="5"/>
      <c r="B11" s="288"/>
      <c r="C11" s="5"/>
      <c r="D11" s="197"/>
      <c r="E11" s="5"/>
      <c r="F11" s="5"/>
      <c r="G11" s="5"/>
      <c r="H11" s="5"/>
      <c r="I11" s="5"/>
      <c r="J11" s="5"/>
      <c r="K11" s="5"/>
      <c r="L11" s="378" t="s">
        <v>312</v>
      </c>
      <c r="M11" s="379">
        <v>0.0</v>
      </c>
      <c r="N11" s="379">
        <v>0.0</v>
      </c>
      <c r="O11" s="383">
        <f t="shared" ref="O11:P11" si="10">M11*$O$8</f>
        <v>0</v>
      </c>
      <c r="P11" s="383">
        <f t="shared" si="10"/>
        <v>0</v>
      </c>
      <c r="Q11" s="381">
        <f t="shared" si="7"/>
        <v>0</v>
      </c>
      <c r="R11" s="381">
        <f t="shared" si="9"/>
        <v>0</v>
      </c>
      <c r="S11" s="5"/>
      <c r="T11" s="5"/>
      <c r="U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378" t="s">
        <v>314</v>
      </c>
      <c r="M12" s="379">
        <v>0.0</v>
      </c>
      <c r="N12" s="379">
        <v>0.0</v>
      </c>
      <c r="O12" s="383">
        <f t="shared" ref="O12:P12" si="11">M12*$O$8</f>
        <v>0</v>
      </c>
      <c r="P12" s="383">
        <f t="shared" si="11"/>
        <v>0</v>
      </c>
      <c r="Q12" s="381">
        <f t="shared" si="7"/>
        <v>0</v>
      </c>
      <c r="R12" s="381">
        <f t="shared" si="9"/>
        <v>0</v>
      </c>
      <c r="S12" s="5"/>
      <c r="T12" s="5"/>
      <c r="U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78" t="s">
        <v>316</v>
      </c>
      <c r="M13" s="379">
        <v>0.0</v>
      </c>
      <c r="N13" s="379">
        <v>0.0</v>
      </c>
      <c r="O13" s="383">
        <f t="shared" ref="O13:P13" si="12">M13*$O$8</f>
        <v>0</v>
      </c>
      <c r="P13" s="383">
        <f t="shared" si="12"/>
        <v>0</v>
      </c>
      <c r="Q13" s="381">
        <f t="shared" si="7"/>
        <v>0</v>
      </c>
      <c r="R13" s="381">
        <f t="shared" si="9"/>
        <v>0</v>
      </c>
      <c r="S13" s="5"/>
      <c r="T13" s="5"/>
      <c r="U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78" t="s">
        <v>318</v>
      </c>
      <c r="M14" s="379">
        <v>0.0</v>
      </c>
      <c r="N14" s="379">
        <v>0.0</v>
      </c>
      <c r="O14" s="383">
        <f t="shared" ref="O14:P14" si="13">M14*$O$8</f>
        <v>0</v>
      </c>
      <c r="P14" s="383">
        <f t="shared" si="13"/>
        <v>0</v>
      </c>
      <c r="Q14" s="381">
        <f t="shared" si="7"/>
        <v>0</v>
      </c>
      <c r="R14" s="381">
        <f t="shared" si="9"/>
        <v>0</v>
      </c>
      <c r="S14" s="5"/>
      <c r="T14" s="5"/>
      <c r="U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78" t="s">
        <v>320</v>
      </c>
      <c r="M15" s="379">
        <v>0.0</v>
      </c>
      <c r="N15" s="379">
        <v>0.0</v>
      </c>
      <c r="O15" s="383">
        <f t="shared" ref="O15:P15" si="14">M15*$O$8</f>
        <v>0</v>
      </c>
      <c r="P15" s="383">
        <f t="shared" si="14"/>
        <v>0</v>
      </c>
      <c r="Q15" s="381">
        <f t="shared" si="7"/>
        <v>0</v>
      </c>
      <c r="R15" s="381">
        <f t="shared" si="9"/>
        <v>0</v>
      </c>
      <c r="S15" s="5"/>
      <c r="T15" s="5"/>
      <c r="U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78" t="s">
        <v>321</v>
      </c>
      <c r="M16" s="379">
        <v>0.0</v>
      </c>
      <c r="N16" s="379">
        <v>0.0</v>
      </c>
      <c r="O16" s="383">
        <f t="shared" ref="O16:P16" si="15">M16*$O$8</f>
        <v>0</v>
      </c>
      <c r="P16" s="383">
        <f t="shared" si="15"/>
        <v>0</v>
      </c>
      <c r="Q16" s="381">
        <f t="shared" si="7"/>
        <v>0</v>
      </c>
      <c r="R16" s="381">
        <f t="shared" si="9"/>
        <v>0</v>
      </c>
      <c r="S16" s="5"/>
      <c r="T16" s="5"/>
      <c r="U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459" t="s">
        <v>323</v>
      </c>
      <c r="L17" s="460"/>
      <c r="M17" s="461" t="s">
        <v>304</v>
      </c>
      <c r="N17" s="467" t="s">
        <v>304</v>
      </c>
      <c r="O17" s="462">
        <f t="shared" ref="O17:P17" si="16">SUM(O18:O19)</f>
        <v>0</v>
      </c>
      <c r="P17" s="462">
        <f t="shared" si="16"/>
        <v>0</v>
      </c>
      <c r="Q17" s="463">
        <f t="shared" ref="Q17:R17" si="17">O17/O$23</f>
        <v>0</v>
      </c>
      <c r="R17" s="463">
        <f t="shared" si="17"/>
        <v>0</v>
      </c>
      <c r="S17" s="5"/>
      <c r="T17" s="5"/>
      <c r="U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78" t="s">
        <v>324</v>
      </c>
      <c r="M18" s="379">
        <v>0.0</v>
      </c>
      <c r="N18" s="379">
        <v>0.0</v>
      </c>
      <c r="O18" s="383">
        <f t="shared" ref="O18:P18" si="18">M18*$O$8</f>
        <v>0</v>
      </c>
      <c r="P18" s="383">
        <f t="shared" si="18"/>
        <v>0</v>
      </c>
      <c r="Q18" s="381" t="str">
        <f t="shared" ref="Q18:R18" si="19">O18/O$17</f>
        <v>#DIV/0!</v>
      </c>
      <c r="R18" s="381" t="str">
        <f t="shared" si="19"/>
        <v>#DIV/0!</v>
      </c>
      <c r="S18" s="5"/>
      <c r="T18" s="5"/>
      <c r="U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378" t="s">
        <v>325</v>
      </c>
      <c r="M19" s="379">
        <v>0.0</v>
      </c>
      <c r="N19" s="379">
        <v>0.0</v>
      </c>
      <c r="O19" s="383">
        <f t="shared" ref="O19:P19" si="20">M19*$O$8</f>
        <v>0</v>
      </c>
      <c r="P19" s="383">
        <f t="shared" si="20"/>
        <v>0</v>
      </c>
      <c r="Q19" s="381" t="str">
        <f t="shared" ref="Q19:R19" si="21">O19/O$17</f>
        <v>#DIV/0!</v>
      </c>
      <c r="R19" s="381" t="str">
        <f t="shared" si="21"/>
        <v>#DIV/0!</v>
      </c>
      <c r="S19" s="5"/>
      <c r="T19" s="5"/>
      <c r="U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468" t="s">
        <v>326</v>
      </c>
      <c r="L20" s="460"/>
      <c r="M20" s="461" t="s">
        <v>304</v>
      </c>
      <c r="N20" s="467" t="s">
        <v>304</v>
      </c>
      <c r="O20" s="462">
        <f t="shared" ref="O20:P20" si="22">SUM(O21:O22)</f>
        <v>0</v>
      </c>
      <c r="P20" s="462">
        <f t="shared" si="22"/>
        <v>0</v>
      </c>
      <c r="Q20" s="463">
        <f t="shared" ref="Q20:R20" si="23">O20/O$23</f>
        <v>0</v>
      </c>
      <c r="R20" s="463">
        <f t="shared" si="23"/>
        <v>0</v>
      </c>
      <c r="S20" s="5"/>
      <c r="T20" s="5"/>
      <c r="U20" s="5"/>
    </row>
    <row r="21" ht="15.75" customHeight="1">
      <c r="A21" s="5"/>
      <c r="B21" s="288"/>
      <c r="C21" s="5"/>
      <c r="D21" s="5"/>
      <c r="E21" s="5"/>
      <c r="F21" s="5"/>
      <c r="G21" s="5"/>
      <c r="H21" s="5"/>
      <c r="I21" s="5"/>
      <c r="J21" s="5"/>
      <c r="K21" s="5"/>
      <c r="L21" s="378" t="s">
        <v>327</v>
      </c>
      <c r="M21" s="379">
        <v>0.0</v>
      </c>
      <c r="N21" s="379">
        <v>0.0</v>
      </c>
      <c r="O21" s="383">
        <f t="shared" ref="O21:P21" si="24">M21*$O$8</f>
        <v>0</v>
      </c>
      <c r="P21" s="383">
        <f t="shared" si="24"/>
        <v>0</v>
      </c>
      <c r="Q21" s="381" t="str">
        <f t="shared" ref="Q21:R21" si="25">O21/O$20</f>
        <v>#DIV/0!</v>
      </c>
      <c r="R21" s="381" t="str">
        <f t="shared" si="25"/>
        <v>#DIV/0!</v>
      </c>
      <c r="S21" s="5"/>
      <c r="T21" s="5"/>
      <c r="U21" s="5"/>
    </row>
    <row r="22" ht="15.75" customHeight="1">
      <c r="A22" s="5"/>
      <c r="B22" s="288"/>
      <c r="C22" s="5"/>
      <c r="D22" s="5"/>
      <c r="E22" s="5"/>
      <c r="F22" s="5"/>
      <c r="G22" s="5"/>
      <c r="H22" s="5"/>
      <c r="I22" s="5"/>
      <c r="J22" s="5"/>
      <c r="K22" s="5"/>
      <c r="L22" s="378" t="s">
        <v>328</v>
      </c>
      <c r="M22" s="379">
        <v>0.0</v>
      </c>
      <c r="N22" s="379">
        <v>0.0</v>
      </c>
      <c r="O22" s="383">
        <f t="shared" ref="O22:P22" si="26">M22*$O$8</f>
        <v>0</v>
      </c>
      <c r="P22" s="383">
        <f t="shared" si="26"/>
        <v>0</v>
      </c>
      <c r="Q22" s="381" t="str">
        <f t="shared" ref="Q22:R22" si="27">O22/O$20</f>
        <v>#DIV/0!</v>
      </c>
      <c r="R22" s="381" t="str">
        <f t="shared" si="27"/>
        <v>#DIV/0!</v>
      </c>
      <c r="S22" s="5"/>
      <c r="T22" s="5"/>
      <c r="U22" s="5"/>
    </row>
    <row r="23" ht="15.75" customHeight="1">
      <c r="A23" s="5"/>
      <c r="B23" s="288"/>
      <c r="C23" s="5"/>
      <c r="D23" s="5"/>
      <c r="E23" s="5"/>
      <c r="F23" s="5"/>
      <c r="G23" s="5"/>
      <c r="H23" s="5"/>
      <c r="I23" s="283">
        <f>O8/O23</f>
        <v>1</v>
      </c>
      <c r="J23" s="283">
        <f>O8/P23</f>
        <v>1</v>
      </c>
      <c r="K23" s="464" t="s">
        <v>329</v>
      </c>
      <c r="O23" s="469">
        <f t="shared" ref="O23:P23" si="28">SUM(O7,O17,O20)</f>
        <v>632656.404</v>
      </c>
      <c r="P23" s="469">
        <f t="shared" si="28"/>
        <v>632656.404</v>
      </c>
      <c r="Q23" s="453" t="s">
        <v>304</v>
      </c>
      <c r="R23" s="453" t="s">
        <v>304</v>
      </c>
      <c r="S23" s="5"/>
      <c r="T23" s="5"/>
      <c r="U23" s="5"/>
    </row>
    <row r="24" ht="15.75" customHeight="1">
      <c r="A24" s="5"/>
      <c r="B24" s="28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470" t="s">
        <v>330</v>
      </c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453" t="s">
        <v>331</v>
      </c>
      <c r="M27" s="452" t="s">
        <v>332</v>
      </c>
      <c r="N27" s="5"/>
      <c r="O27" s="5"/>
      <c r="P27" s="5"/>
      <c r="Q27" s="5"/>
      <c r="R27" s="5"/>
      <c r="S27" s="5"/>
      <c r="T27" s="5"/>
      <c r="U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 t="s">
        <v>428</v>
      </c>
      <c r="M28" s="471">
        <f>SUM('Sys Volume &amp; Area'!W11,'Sys Volume &amp; Area'!W15,'Sys Volume &amp; Area'!W19)</f>
        <v>0.428675907</v>
      </c>
      <c r="N28" s="472"/>
      <c r="O28" s="5"/>
      <c r="P28" s="5"/>
      <c r="Q28" s="5"/>
      <c r="R28" s="5"/>
      <c r="S28" s="5"/>
      <c r="T28" s="5"/>
      <c r="U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288"/>
      <c r="N29" s="342"/>
      <c r="O29" s="5"/>
      <c r="P29" s="5"/>
      <c r="Q29" s="5"/>
      <c r="R29" s="5"/>
      <c r="S29" s="5"/>
      <c r="T29" s="5"/>
      <c r="U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453" t="s">
        <v>334</v>
      </c>
      <c r="M30" s="453" t="s">
        <v>335</v>
      </c>
      <c r="N30" s="452" t="s">
        <v>336</v>
      </c>
      <c r="O30" s="452" t="s">
        <v>296</v>
      </c>
      <c r="P30" s="5"/>
      <c r="Q30" s="5"/>
      <c r="R30" s="5"/>
      <c r="S30" s="5"/>
      <c r="T30" s="5"/>
      <c r="U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 t="s">
        <v>337</v>
      </c>
      <c r="M31" s="5" t="s">
        <v>338</v>
      </c>
      <c r="N31" s="393">
        <v>3010.0</v>
      </c>
      <c r="O31" s="394">
        <f t="shared" ref="O31:O34" si="29">N31*(M$28+M$29)</f>
        <v>1290.31448</v>
      </c>
      <c r="Q31" s="5"/>
      <c r="R31" s="5"/>
      <c r="S31" s="5"/>
      <c r="T31" s="5"/>
      <c r="U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 t="s">
        <v>339</v>
      </c>
      <c r="M32" s="5" t="s">
        <v>340</v>
      </c>
      <c r="N32" s="393">
        <v>3800.0</v>
      </c>
      <c r="O32" s="394">
        <f t="shared" si="29"/>
        <v>1628.968446</v>
      </c>
      <c r="P32" s="392" t="s">
        <v>341</v>
      </c>
      <c r="Q32" s="5"/>
      <c r="R32" s="5"/>
      <c r="S32" s="5"/>
      <c r="T32" s="5"/>
      <c r="U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 t="s">
        <v>342</v>
      </c>
      <c r="M33" s="5" t="s">
        <v>338</v>
      </c>
      <c r="N33" s="393">
        <v>417.0</v>
      </c>
      <c r="O33" s="394">
        <f t="shared" si="29"/>
        <v>178.7578532</v>
      </c>
      <c r="P33" s="5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 t="s">
        <v>343</v>
      </c>
      <c r="M34" s="5" t="s">
        <v>338</v>
      </c>
      <c r="N34" s="393">
        <v>1660.0</v>
      </c>
      <c r="O34" s="394">
        <f t="shared" si="29"/>
        <v>711.6020055</v>
      </c>
      <c r="P34" s="5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464" t="s">
        <v>344</v>
      </c>
      <c r="O35" s="473">
        <f>MIN(O31:O34)</f>
        <v>178.7578532</v>
      </c>
      <c r="P35" s="5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464" t="s">
        <v>345</v>
      </c>
      <c r="O36" s="473">
        <f>MAX(O31:O34)</f>
        <v>1628.968446</v>
      </c>
      <c r="P36" s="5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5"/>
      <c r="B39" s="395"/>
      <c r="C39" s="395"/>
      <c r="D39" s="395"/>
      <c r="E39" s="395"/>
      <c r="F39" s="395"/>
      <c r="G39" s="395"/>
      <c r="H39" s="395"/>
      <c r="I39" s="395"/>
      <c r="J39" s="395"/>
      <c r="K39" s="395"/>
      <c r="L39" s="395"/>
      <c r="M39" s="395"/>
      <c r="N39" s="395"/>
      <c r="O39" s="395"/>
      <c r="P39" s="5"/>
      <c r="Q39" s="5"/>
      <c r="R39" s="5"/>
      <c r="S39" s="5"/>
      <c r="T39" s="5"/>
      <c r="U39" s="5"/>
    </row>
    <row r="40" ht="15.75" customHeight="1">
      <c r="A40" s="5"/>
      <c r="B40" s="450" t="s">
        <v>346</v>
      </c>
      <c r="P40" s="5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5.75" customHeight="1">
      <c r="A42" s="5"/>
      <c r="B42" s="474" t="s">
        <v>347</v>
      </c>
      <c r="C42" s="366"/>
      <c r="D42" s="366"/>
      <c r="E42" s="366"/>
      <c r="F42" s="366"/>
      <c r="G42" s="5"/>
      <c r="H42" s="5"/>
      <c r="I42" s="5"/>
      <c r="J42" s="451" t="s">
        <v>348</v>
      </c>
      <c r="L42" s="5"/>
      <c r="M42" s="396" t="s">
        <v>429</v>
      </c>
      <c r="N42" s="475">
        <f>M28</f>
        <v>0.428675907</v>
      </c>
      <c r="O42" s="5"/>
      <c r="P42" s="5"/>
      <c r="Q42" s="5"/>
      <c r="R42" s="5"/>
      <c r="S42" s="5"/>
      <c r="T42" s="5"/>
    </row>
    <row r="43" ht="15.75" customHeight="1">
      <c r="A43" s="5"/>
      <c r="B43" s="452" t="s">
        <v>350</v>
      </c>
      <c r="C43" s="453" t="s">
        <v>292</v>
      </c>
      <c r="D43" s="453" t="s">
        <v>430</v>
      </c>
      <c r="E43" s="453" t="s">
        <v>431</v>
      </c>
      <c r="F43" s="454" t="s">
        <v>353</v>
      </c>
      <c r="G43" s="454" t="s">
        <v>297</v>
      </c>
      <c r="H43" s="5"/>
      <c r="I43" s="5"/>
      <c r="J43" s="453" t="s">
        <v>182</v>
      </c>
      <c r="L43" s="452" t="s">
        <v>354</v>
      </c>
      <c r="M43" s="452" t="s">
        <v>355</v>
      </c>
      <c r="N43" s="452" t="s">
        <v>356</v>
      </c>
      <c r="O43" s="5"/>
      <c r="P43" s="5"/>
      <c r="Q43" s="5"/>
      <c r="R43" s="5"/>
      <c r="S43" s="5"/>
      <c r="T43" s="5"/>
    </row>
    <row r="44" ht="15.75" customHeight="1">
      <c r="A44" s="5"/>
      <c r="B44" s="288"/>
      <c r="C44" s="5"/>
      <c r="D44" s="258"/>
      <c r="E44" s="258"/>
      <c r="F44" s="258"/>
      <c r="G44" s="356"/>
      <c r="H44" s="5"/>
      <c r="I44" s="5"/>
      <c r="J44" s="5" t="s">
        <v>432</v>
      </c>
      <c r="L44" s="288">
        <v>1.0</v>
      </c>
      <c r="M44" s="393">
        <f>M47*3</f>
        <v>219000</v>
      </c>
      <c r="N44" s="393">
        <f t="shared" ref="N44:N48" si="30">M44*L44</f>
        <v>219000</v>
      </c>
      <c r="O44" s="5"/>
      <c r="P44" s="5"/>
      <c r="Q44" s="5"/>
      <c r="R44" s="5"/>
      <c r="S44" s="5"/>
      <c r="T44" s="5"/>
    </row>
    <row r="45" ht="15.75" customHeight="1">
      <c r="A45" s="5"/>
      <c r="B45" s="464" t="s">
        <v>322</v>
      </c>
      <c r="E45" s="452">
        <f>SUM(F44)</f>
        <v>0</v>
      </c>
      <c r="H45" s="5"/>
      <c r="I45" s="5"/>
      <c r="J45" s="5" t="s">
        <v>433</v>
      </c>
      <c r="L45" s="288">
        <v>2.0</v>
      </c>
      <c r="M45" s="393">
        <f>M47*2.5</f>
        <v>182500</v>
      </c>
      <c r="N45" s="393">
        <f t="shared" si="30"/>
        <v>365000</v>
      </c>
      <c r="O45" s="5"/>
      <c r="P45" s="5"/>
      <c r="Q45" s="5"/>
      <c r="R45" s="5"/>
      <c r="S45" s="5"/>
      <c r="T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 t="s">
        <v>434</v>
      </c>
      <c r="L46" s="288">
        <v>1.0</v>
      </c>
      <c r="M46" s="393">
        <f>M47*2</f>
        <v>146000</v>
      </c>
      <c r="N46" s="393">
        <f t="shared" si="30"/>
        <v>146000</v>
      </c>
      <c r="O46" s="5"/>
      <c r="P46" s="5"/>
      <c r="Q46" s="5"/>
      <c r="R46" s="5"/>
      <c r="S46" s="5"/>
      <c r="T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396" t="s">
        <v>363</v>
      </c>
      <c r="J47" s="5" t="s">
        <v>131</v>
      </c>
      <c r="L47" s="403">
        <v>1.0</v>
      </c>
      <c r="M47" s="393">
        <f>'System Control &amp; Outputs'!$C$27*40*50</f>
        <v>73000</v>
      </c>
      <c r="N47" s="393">
        <f t="shared" si="30"/>
        <v>73000</v>
      </c>
      <c r="O47" s="392" t="s">
        <v>364</v>
      </c>
      <c r="P47" s="5"/>
      <c r="Q47" s="5"/>
      <c r="R47" s="5"/>
      <c r="S47" s="5"/>
      <c r="T47" s="5"/>
    </row>
    <row r="48" ht="15.75" customHeight="1">
      <c r="A48" s="5"/>
      <c r="B48" s="474" t="s">
        <v>367</v>
      </c>
      <c r="C48" s="366"/>
      <c r="D48" s="366"/>
      <c r="E48" s="366"/>
      <c r="F48" s="366"/>
      <c r="G48" s="5"/>
      <c r="H48" s="5"/>
      <c r="I48" s="396" t="s">
        <v>363</v>
      </c>
      <c r="J48" s="5" t="s">
        <v>135</v>
      </c>
      <c r="L48" s="403">
        <f>ROUNDUP(N42/10)</f>
        <v>1</v>
      </c>
      <c r="M48" s="393">
        <f>'System Control &amp; Outputs'!$C$27*40*50</f>
        <v>73000</v>
      </c>
      <c r="N48" s="393">
        <f t="shared" si="30"/>
        <v>73000</v>
      </c>
      <c r="O48" s="476" t="s">
        <v>435</v>
      </c>
      <c r="P48" s="5"/>
      <c r="Q48" s="5"/>
      <c r="R48" s="5"/>
      <c r="S48" s="5"/>
      <c r="T48" s="5"/>
    </row>
    <row r="49" ht="15.75" customHeight="1">
      <c r="A49" s="5"/>
      <c r="B49" s="452" t="s">
        <v>291</v>
      </c>
      <c r="C49" s="453" t="s">
        <v>292</v>
      </c>
      <c r="D49" s="453" t="s">
        <v>368</v>
      </c>
      <c r="E49" s="454" t="s">
        <v>352</v>
      </c>
      <c r="F49" s="454" t="s">
        <v>353</v>
      </c>
      <c r="G49" s="454" t="s">
        <v>297</v>
      </c>
      <c r="H49" s="5"/>
      <c r="I49" s="477"/>
      <c r="J49" s="464" t="s">
        <v>365</v>
      </c>
      <c r="L49" s="452">
        <f>SUM(L44:L48)</f>
        <v>6</v>
      </c>
      <c r="M49" s="478"/>
      <c r="N49" s="465">
        <f>SUM(N44:N48)</f>
        <v>876000</v>
      </c>
      <c r="O49" s="5"/>
      <c r="P49" s="5"/>
      <c r="Q49" s="5"/>
      <c r="R49" s="5"/>
      <c r="S49" s="5"/>
      <c r="T49" s="5"/>
    </row>
    <row r="50" ht="15.75" customHeight="1">
      <c r="A50" s="5"/>
      <c r="B50" s="409">
        <v>1.0</v>
      </c>
      <c r="C50" s="455" t="s">
        <v>425</v>
      </c>
      <c r="D50" s="5" t="s">
        <v>370</v>
      </c>
      <c r="E50" s="479">
        <f>'Inoculum Details'!L36*$F6</f>
        <v>107.7073649</v>
      </c>
      <c r="F50" s="458">
        <f>'Inoculum Details'!M36</f>
        <v>130.0243309</v>
      </c>
      <c r="G50" s="359"/>
      <c r="H50" s="5"/>
      <c r="I50" s="396" t="s">
        <v>363</v>
      </c>
      <c r="J50" s="5" t="s">
        <v>136</v>
      </c>
      <c r="L50" s="403">
        <f>L48*2</f>
        <v>2</v>
      </c>
      <c r="M50" s="393">
        <f>'System Control &amp; Outputs'!$C$27*40*50</f>
        <v>73000</v>
      </c>
      <c r="N50" s="393">
        <f>M50*L50</f>
        <v>146000</v>
      </c>
      <c r="O50" s="476" t="s">
        <v>436</v>
      </c>
      <c r="P50" s="5"/>
      <c r="Q50" s="5"/>
      <c r="R50" s="5"/>
      <c r="S50" s="5"/>
      <c r="T50" s="5"/>
    </row>
    <row r="51" ht="15.75" customHeight="1">
      <c r="A51" s="5"/>
      <c r="B51" s="288">
        <f t="shared" ref="B51:B52" si="31">B50+1</f>
        <v>2</v>
      </c>
      <c r="C51" s="5" t="s">
        <v>426</v>
      </c>
      <c r="D51" s="5" t="s">
        <v>370</v>
      </c>
      <c r="E51" s="479">
        <f>'Inoculum Details'!L37*$F7</f>
        <v>16.15271018</v>
      </c>
      <c r="F51" s="458">
        <f>'Inoculum Details'!M37</f>
        <v>19.49955173</v>
      </c>
      <c r="H51" s="5"/>
      <c r="I51" s="5"/>
      <c r="J51" s="464" t="s">
        <v>366</v>
      </c>
      <c r="L51" s="452">
        <f>SUM(L44:L47)+L50</f>
        <v>7</v>
      </c>
      <c r="M51" s="478"/>
      <c r="N51" s="465">
        <f>SUM(N44:N47)+N50</f>
        <v>949000</v>
      </c>
      <c r="P51" s="5"/>
      <c r="Q51" s="5"/>
      <c r="R51" s="5"/>
      <c r="S51" s="5"/>
      <c r="T51" s="5"/>
    </row>
    <row r="52" ht="15.75" customHeight="1">
      <c r="A52" s="5"/>
      <c r="B52" s="288">
        <f t="shared" si="31"/>
        <v>3</v>
      </c>
      <c r="C52" s="5" t="s">
        <v>427</v>
      </c>
      <c r="D52" s="5" t="s">
        <v>370</v>
      </c>
      <c r="E52" s="479">
        <f>'Inoculum Details'!L38*$F8</f>
        <v>2.422397451</v>
      </c>
      <c r="F52" s="458">
        <f>'Inoculum Details'!M38</f>
        <v>2.924318203</v>
      </c>
      <c r="H52" s="5"/>
      <c r="I52" s="5"/>
      <c r="J52" s="5"/>
      <c r="K52" s="5"/>
      <c r="L52" s="5"/>
      <c r="M52" s="5"/>
      <c r="N52" s="5"/>
      <c r="O52" s="258"/>
      <c r="P52" s="5"/>
      <c r="Q52" s="5"/>
      <c r="R52" s="5"/>
      <c r="S52" s="5"/>
      <c r="T52" s="5"/>
    </row>
    <row r="53" ht="15.75" customHeight="1">
      <c r="A53" s="5"/>
      <c r="B53" s="464" t="s">
        <v>322</v>
      </c>
      <c r="E53" s="465">
        <f>SUM(F50)</f>
        <v>130.0243309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5.75" customHeight="1">
      <c r="A54" s="5"/>
      <c r="B54" s="5" t="s">
        <v>373</v>
      </c>
      <c r="E54" s="408">
        <f>SUM(E50:E52)</f>
        <v>126.2824725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5.75" customHeight="1">
      <c r="A55" s="5"/>
      <c r="B55" s="5" t="s">
        <v>100</v>
      </c>
      <c r="E55" s="5">
        <f>SUM(E43,E46)</f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5.75" customHeight="1">
      <c r="A56" s="5"/>
      <c r="B56" s="474"/>
      <c r="C56" s="366"/>
      <c r="D56" s="366"/>
      <c r="E56" s="366"/>
      <c r="F56" s="36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5.75" customHeight="1">
      <c r="A57" s="5"/>
      <c r="B57" s="474" t="s">
        <v>374</v>
      </c>
      <c r="C57" s="366"/>
      <c r="D57" s="366"/>
      <c r="E57" s="366"/>
      <c r="F57" s="36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5.75" customHeight="1">
      <c r="A58" s="5"/>
      <c r="B58" s="452" t="s">
        <v>291</v>
      </c>
      <c r="C58" s="453" t="s">
        <v>292</v>
      </c>
      <c r="D58" s="454" t="s">
        <v>375</v>
      </c>
      <c r="E58" s="454" t="s">
        <v>376</v>
      </c>
      <c r="F58" s="454" t="s">
        <v>353</v>
      </c>
      <c r="G58" s="454" t="s">
        <v>297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5.75" customHeight="1">
      <c r="A59" s="5"/>
      <c r="B59" s="409">
        <v>1.0</v>
      </c>
      <c r="C59" s="455" t="s">
        <v>425</v>
      </c>
      <c r="D59" s="258" t="s">
        <v>377</v>
      </c>
      <c r="E59" s="356">
        <v>0.05</v>
      </c>
      <c r="F59" s="458">
        <f t="shared" ref="F59:F61" si="32">G6*E59</f>
        <v>11118.72</v>
      </c>
      <c r="G59" s="480">
        <f t="shared" ref="G59:G61" si="33">F59/E$62</f>
        <v>0.3514931622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5.75" customHeight="1">
      <c r="A60" s="5"/>
      <c r="B60" s="288">
        <f t="shared" ref="B60:B61" si="34">B59+1</f>
        <v>2</v>
      </c>
      <c r="C60" s="5" t="s">
        <v>426</v>
      </c>
      <c r="D60" s="258" t="s">
        <v>377</v>
      </c>
      <c r="E60" s="356">
        <v>0.05</v>
      </c>
      <c r="F60" s="458">
        <f t="shared" si="32"/>
        <v>10298.082</v>
      </c>
      <c r="G60" s="480">
        <f t="shared" si="33"/>
        <v>0.3255505496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5.75" customHeight="1">
      <c r="A61" s="5"/>
      <c r="B61" s="288">
        <f t="shared" si="34"/>
        <v>3</v>
      </c>
      <c r="C61" s="5" t="s">
        <v>427</v>
      </c>
      <c r="D61" s="258" t="s">
        <v>377</v>
      </c>
      <c r="E61" s="356">
        <v>0.05</v>
      </c>
      <c r="F61" s="458">
        <f t="shared" si="32"/>
        <v>10216.0182</v>
      </c>
      <c r="G61" s="480">
        <f t="shared" si="33"/>
        <v>0.3229562883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5.75" customHeight="1">
      <c r="A62" s="5"/>
      <c r="B62" s="464" t="s">
        <v>322</v>
      </c>
      <c r="E62" s="465">
        <f>SUM(F59:F61)</f>
        <v>31632.8202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288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288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288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28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28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28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28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288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288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288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288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288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288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288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288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288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288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8">
    <mergeCell ref="B2:R2"/>
    <mergeCell ref="K4:R4"/>
    <mergeCell ref="K5:L6"/>
    <mergeCell ref="M5:N5"/>
    <mergeCell ref="O5:P5"/>
    <mergeCell ref="Q5:R5"/>
    <mergeCell ref="O8:P8"/>
    <mergeCell ref="B9:E9"/>
    <mergeCell ref="F9:H9"/>
    <mergeCell ref="K23:N23"/>
    <mergeCell ref="K27:L27"/>
    <mergeCell ref="K28:L28"/>
    <mergeCell ref="K30:L30"/>
    <mergeCell ref="K31:L31"/>
    <mergeCell ref="K32:L32"/>
    <mergeCell ref="K33:L33"/>
    <mergeCell ref="K34:L34"/>
    <mergeCell ref="K35:N35"/>
    <mergeCell ref="K36:N36"/>
    <mergeCell ref="B40:O40"/>
    <mergeCell ref="J42:K42"/>
    <mergeCell ref="J43:K43"/>
    <mergeCell ref="J44:K44"/>
    <mergeCell ref="B45:D45"/>
    <mergeCell ref="E45:G45"/>
    <mergeCell ref="J45:K45"/>
    <mergeCell ref="J46:K46"/>
    <mergeCell ref="J47:K47"/>
    <mergeCell ref="B55:D55"/>
    <mergeCell ref="B62:D62"/>
    <mergeCell ref="E62:G62"/>
    <mergeCell ref="J48:K48"/>
    <mergeCell ref="J49:K49"/>
    <mergeCell ref="J50:K50"/>
    <mergeCell ref="J51:K51"/>
    <mergeCell ref="B53:D53"/>
    <mergeCell ref="E53:G53"/>
    <mergeCell ref="B54:D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.25"/>
    <col customWidth="1" min="3" max="4" width="18.25"/>
    <col customWidth="1" min="11" max="12" width="18.25"/>
    <col customWidth="1" min="15" max="15" width="13.88"/>
  </cols>
  <sheetData>
    <row r="1" ht="15.75" customHeight="1">
      <c r="A1" s="334"/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6"/>
    </row>
    <row r="2" ht="15.75" customHeight="1">
      <c r="A2" s="334"/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</row>
    <row r="3" ht="15.75" customHeight="1">
      <c r="A3" s="334"/>
      <c r="B3" s="481" t="s">
        <v>381</v>
      </c>
      <c r="N3" s="334"/>
      <c r="O3" s="334"/>
      <c r="P3" s="334"/>
      <c r="Q3" s="334"/>
      <c r="R3" s="334"/>
    </row>
    <row r="4" ht="15.75" customHeight="1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</row>
    <row r="5" ht="15.75" customHeight="1">
      <c r="A5" s="334"/>
      <c r="B5" s="482" t="s">
        <v>437</v>
      </c>
      <c r="I5" s="425"/>
      <c r="J5" s="483" t="s">
        <v>438</v>
      </c>
      <c r="N5" s="425"/>
      <c r="O5" s="425"/>
      <c r="P5" s="334"/>
      <c r="Q5" s="336"/>
    </row>
    <row r="6" ht="33.75" customHeight="1">
      <c r="A6" s="334"/>
      <c r="B6" s="484" t="s">
        <v>29</v>
      </c>
      <c r="C6" s="484" t="s">
        <v>439</v>
      </c>
      <c r="D6" s="484" t="s">
        <v>440</v>
      </c>
      <c r="E6" s="484" t="s">
        <v>441</v>
      </c>
      <c r="F6" s="484" t="s">
        <v>442</v>
      </c>
      <c r="G6" s="484" t="s">
        <v>443</v>
      </c>
      <c r="H6" s="484" t="s">
        <v>444</v>
      </c>
      <c r="I6" s="425"/>
      <c r="J6" s="333" t="s">
        <v>29</v>
      </c>
      <c r="K6" s="333" t="s">
        <v>439</v>
      </c>
      <c r="L6" s="333" t="s">
        <v>445</v>
      </c>
      <c r="M6" s="485" t="s">
        <v>296</v>
      </c>
      <c r="N6" s="425"/>
      <c r="O6" s="425"/>
      <c r="P6" s="334"/>
      <c r="Q6" s="336"/>
    </row>
    <row r="7" ht="16.5" customHeight="1">
      <c r="A7" s="334"/>
      <c r="B7" s="486">
        <v>2.0</v>
      </c>
      <c r="C7" s="486" t="s">
        <v>446</v>
      </c>
      <c r="D7" s="487">
        <v>2.46531755E8</v>
      </c>
      <c r="E7" s="488">
        <f t="shared" ref="E7:E12" si="1">D7/5000</f>
        <v>49306.351</v>
      </c>
      <c r="F7" s="486">
        <f t="shared" ref="F7:F12" si="2">5000/B7</f>
        <v>2500</v>
      </c>
      <c r="G7" s="488">
        <f t="shared" ref="G7:G12" si="3">E7*B7</f>
        <v>98612.702</v>
      </c>
      <c r="H7" s="488">
        <f t="shared" ref="H7:H12" si="4">G7*1.24</f>
        <v>122279.7505</v>
      </c>
      <c r="I7" s="425"/>
      <c r="J7" s="346">
        <f>'Sys Volume &amp; Area'!$L$11</f>
        <v>0.1</v>
      </c>
      <c r="K7" s="346" t="s">
        <v>447</v>
      </c>
      <c r="L7" s="428">
        <f t="shared" ref="L7:L9" si="5">60788*J7+68046</f>
        <v>74124.8</v>
      </c>
      <c r="M7" s="428">
        <f>L7*'Sys Volume &amp; Area'!$N$7</f>
        <v>222374.4</v>
      </c>
      <c r="N7" s="489" t="s">
        <v>448</v>
      </c>
      <c r="O7" s="425"/>
      <c r="P7" s="334"/>
      <c r="Q7" s="336"/>
    </row>
    <row r="8" ht="16.5" customHeight="1">
      <c r="A8" s="334"/>
      <c r="B8" s="486">
        <v>10.0</v>
      </c>
      <c r="C8" s="486" t="s">
        <v>446</v>
      </c>
      <c r="D8" s="490">
        <v>1.5850691E8</v>
      </c>
      <c r="E8" s="488">
        <f t="shared" si="1"/>
        <v>31701.382</v>
      </c>
      <c r="F8" s="486">
        <f t="shared" si="2"/>
        <v>500</v>
      </c>
      <c r="G8" s="488">
        <f t="shared" si="3"/>
        <v>317013.82</v>
      </c>
      <c r="H8" s="488">
        <f t="shared" si="4"/>
        <v>393097.1368</v>
      </c>
      <c r="I8" s="334"/>
      <c r="J8" s="346">
        <f>'Sys Volume &amp; Area'!$L$15</f>
        <v>0.01</v>
      </c>
      <c r="K8" s="346" t="s">
        <v>447</v>
      </c>
      <c r="L8" s="428">
        <f t="shared" si="5"/>
        <v>68653.88</v>
      </c>
      <c r="M8" s="428">
        <f>L8*'Sys Volume &amp; Area'!$N$7</f>
        <v>205961.64</v>
      </c>
      <c r="N8" s="489" t="s">
        <v>449</v>
      </c>
      <c r="O8" s="334"/>
      <c r="P8" s="334"/>
      <c r="Q8" s="336"/>
    </row>
    <row r="9" ht="16.5" customHeight="1">
      <c r="A9" s="334"/>
      <c r="B9" s="486">
        <v>50.0</v>
      </c>
      <c r="C9" s="486" t="s">
        <v>446</v>
      </c>
      <c r="D9" s="487">
        <v>9.8673256E7</v>
      </c>
      <c r="E9" s="488">
        <f t="shared" si="1"/>
        <v>19734.6512</v>
      </c>
      <c r="F9" s="486">
        <f t="shared" si="2"/>
        <v>100</v>
      </c>
      <c r="G9" s="488">
        <f t="shared" si="3"/>
        <v>986732.56</v>
      </c>
      <c r="H9" s="488">
        <f t="shared" si="4"/>
        <v>1223548.374</v>
      </c>
      <c r="I9" s="334"/>
      <c r="J9" s="258">
        <f>'Sys Volume &amp; Area'!$L$19</f>
        <v>0.001</v>
      </c>
      <c r="K9" s="346" t="s">
        <v>447</v>
      </c>
      <c r="L9" s="428">
        <f t="shared" si="5"/>
        <v>68106.788</v>
      </c>
      <c r="M9" s="428">
        <f>L9*'Sys Volume &amp; Area'!$N$7</f>
        <v>204320.364</v>
      </c>
      <c r="N9" s="489" t="s">
        <v>450</v>
      </c>
      <c r="O9" s="334"/>
      <c r="P9" s="334"/>
      <c r="Q9" s="336"/>
    </row>
    <row r="10" ht="16.5" customHeight="1">
      <c r="A10" s="334"/>
      <c r="B10" s="486">
        <v>2.0</v>
      </c>
      <c r="C10" s="486" t="s">
        <v>447</v>
      </c>
      <c r="D10" s="487">
        <v>3.65691872E8</v>
      </c>
      <c r="E10" s="488">
        <f t="shared" si="1"/>
        <v>73138.3744</v>
      </c>
      <c r="F10" s="486">
        <f t="shared" si="2"/>
        <v>2500</v>
      </c>
      <c r="G10" s="488">
        <f t="shared" si="3"/>
        <v>146276.7488</v>
      </c>
      <c r="H10" s="488">
        <f t="shared" si="4"/>
        <v>181383.1685</v>
      </c>
      <c r="I10" s="334"/>
      <c r="J10" s="491" t="s">
        <v>451</v>
      </c>
      <c r="M10" s="492">
        <f>SUM(M7:M9)</f>
        <v>632656.404</v>
      </c>
      <c r="N10" s="334"/>
      <c r="O10" s="334"/>
      <c r="P10" s="334"/>
      <c r="Q10" s="336"/>
    </row>
    <row r="11" ht="16.5" customHeight="1">
      <c r="A11" s="334"/>
      <c r="B11" s="486">
        <v>10.0</v>
      </c>
      <c r="C11" s="486" t="s">
        <v>447</v>
      </c>
      <c r="D11" s="490">
        <v>2.76539009E8</v>
      </c>
      <c r="E11" s="488">
        <f t="shared" si="1"/>
        <v>55307.8018</v>
      </c>
      <c r="F11" s="486">
        <f t="shared" si="2"/>
        <v>500</v>
      </c>
      <c r="G11" s="488">
        <f t="shared" si="3"/>
        <v>553078.018</v>
      </c>
      <c r="H11" s="488">
        <f t="shared" si="4"/>
        <v>685816.7423</v>
      </c>
      <c r="I11" s="334"/>
      <c r="J11" s="334"/>
      <c r="K11" s="334"/>
      <c r="L11" s="334"/>
      <c r="M11" s="334"/>
      <c r="N11" s="334"/>
      <c r="O11" s="334"/>
      <c r="P11" s="334"/>
      <c r="Q11" s="336"/>
    </row>
    <row r="12" ht="16.5" customHeight="1">
      <c r="A12" s="334"/>
      <c r="B12" s="493">
        <v>50.0</v>
      </c>
      <c r="C12" s="486" t="s">
        <v>447</v>
      </c>
      <c r="D12" s="487">
        <v>2.50468668E8</v>
      </c>
      <c r="E12" s="488">
        <f t="shared" si="1"/>
        <v>50093.7336</v>
      </c>
      <c r="F12" s="486">
        <f t="shared" si="2"/>
        <v>100</v>
      </c>
      <c r="G12" s="488">
        <f t="shared" si="3"/>
        <v>2504686.68</v>
      </c>
      <c r="H12" s="488">
        <f t="shared" si="4"/>
        <v>3105811.483</v>
      </c>
      <c r="I12" s="334"/>
      <c r="J12" s="334"/>
      <c r="K12" s="334"/>
      <c r="L12" s="334"/>
      <c r="M12" s="334"/>
      <c r="N12" s="334"/>
      <c r="O12" s="334"/>
      <c r="P12" s="334"/>
      <c r="Q12" s="336"/>
    </row>
    <row r="13" ht="15.75" customHeight="1">
      <c r="A13" s="334"/>
      <c r="B13" s="494" t="s">
        <v>452</v>
      </c>
      <c r="I13" s="334"/>
      <c r="J13" s="334"/>
      <c r="K13" s="334"/>
      <c r="L13" s="334"/>
      <c r="M13" s="334"/>
      <c r="N13" s="334"/>
      <c r="O13" s="334"/>
      <c r="P13" s="334"/>
      <c r="Q13" s="336"/>
    </row>
    <row r="14" ht="15.75" customHeight="1">
      <c r="A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6"/>
    </row>
    <row r="15" ht="15.75" customHeight="1">
      <c r="A15" s="334"/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6"/>
    </row>
    <row r="16" ht="15.75" customHeight="1">
      <c r="A16" s="334"/>
      <c r="D16" s="334"/>
      <c r="E16" s="334"/>
      <c r="F16" s="334"/>
      <c r="G16" s="334"/>
      <c r="H16" s="334"/>
      <c r="I16" s="334"/>
      <c r="J16" s="334"/>
      <c r="K16" s="334"/>
      <c r="L16" s="334"/>
      <c r="M16" s="334"/>
      <c r="N16" s="334"/>
      <c r="O16" s="334"/>
      <c r="P16" s="334"/>
      <c r="Q16" s="336"/>
    </row>
    <row r="17" ht="15.75" customHeight="1">
      <c r="A17" s="334"/>
      <c r="I17" s="334"/>
      <c r="J17" s="334"/>
      <c r="K17" s="334"/>
      <c r="L17" s="334"/>
      <c r="M17" s="334"/>
      <c r="N17" s="334"/>
      <c r="O17" s="334"/>
      <c r="P17" s="334"/>
      <c r="Q17" s="336"/>
    </row>
    <row r="18" ht="15.75" customHeight="1">
      <c r="A18" s="334"/>
      <c r="I18" s="334"/>
      <c r="J18" s="334"/>
      <c r="K18" s="334"/>
      <c r="L18" s="334"/>
      <c r="M18" s="334"/>
      <c r="N18" s="334"/>
      <c r="O18" s="334"/>
      <c r="P18" s="334"/>
      <c r="Q18" s="336"/>
    </row>
    <row r="19" ht="15.75" customHeight="1">
      <c r="A19" s="334"/>
      <c r="I19" s="334"/>
      <c r="J19" s="334"/>
      <c r="K19" s="334"/>
      <c r="L19" s="334"/>
      <c r="M19" s="334"/>
      <c r="N19" s="334"/>
      <c r="O19" s="334"/>
      <c r="P19" s="334"/>
      <c r="Q19" s="336"/>
    </row>
    <row r="20" ht="15.75" customHeight="1">
      <c r="A20" s="334"/>
      <c r="B20" s="334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34"/>
      <c r="N20" s="334"/>
      <c r="O20" s="334"/>
      <c r="P20" s="334"/>
      <c r="Q20" s="336"/>
    </row>
    <row r="21" ht="15.75" customHeight="1">
      <c r="A21" s="334"/>
      <c r="B21" s="334"/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334"/>
      <c r="N21" s="334"/>
      <c r="O21" s="334"/>
      <c r="P21" s="334"/>
      <c r="Q21" s="336"/>
    </row>
    <row r="22" ht="15.75" customHeight="1">
      <c r="A22" s="334"/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6"/>
    </row>
    <row r="23" ht="15.75" customHeight="1">
      <c r="A23" s="334"/>
      <c r="B23" s="334"/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334"/>
      <c r="N23" s="334"/>
      <c r="O23" s="334"/>
      <c r="P23" s="334"/>
      <c r="Q23" s="336"/>
    </row>
    <row r="24" ht="15.75" customHeight="1">
      <c r="A24" s="334"/>
      <c r="B24" s="334"/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334"/>
      <c r="N24" s="334"/>
      <c r="O24" s="334"/>
      <c r="P24" s="334"/>
      <c r="Q24" s="336"/>
    </row>
    <row r="25" ht="15.75" customHeight="1">
      <c r="A25" s="334"/>
      <c r="B25" s="334"/>
      <c r="C25" s="334"/>
      <c r="D25" s="334"/>
      <c r="E25" s="334"/>
      <c r="F25" s="334"/>
      <c r="G25" s="334"/>
      <c r="H25" s="334"/>
      <c r="I25" s="334"/>
      <c r="J25" s="334"/>
      <c r="K25" s="334"/>
      <c r="L25" s="334"/>
      <c r="M25" s="334"/>
      <c r="N25" s="334"/>
      <c r="O25" s="334"/>
      <c r="P25" s="334"/>
      <c r="Q25" s="336"/>
    </row>
    <row r="26" ht="15.75" customHeight="1">
      <c r="A26" s="334"/>
      <c r="B26" s="334"/>
      <c r="C26" s="334"/>
      <c r="D26" s="334"/>
      <c r="E26" s="334"/>
      <c r="F26" s="334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6"/>
    </row>
    <row r="27" ht="15.75" customHeight="1">
      <c r="A27" s="334"/>
      <c r="B27" s="334"/>
      <c r="C27" s="334"/>
      <c r="D27" s="334"/>
      <c r="E27" s="334"/>
      <c r="F27" s="334"/>
      <c r="G27" s="334"/>
      <c r="H27" s="334"/>
      <c r="I27" s="334"/>
      <c r="J27" s="334"/>
      <c r="K27" s="334"/>
      <c r="L27" s="334"/>
      <c r="M27" s="334"/>
      <c r="N27" s="334"/>
      <c r="O27" s="334"/>
      <c r="P27" s="334"/>
      <c r="Q27" s="336"/>
    </row>
    <row r="28" ht="15.75" customHeight="1">
      <c r="A28" s="334"/>
      <c r="B28" s="334"/>
      <c r="C28" s="334"/>
      <c r="D28" s="334"/>
      <c r="E28" s="334"/>
      <c r="F28" s="334"/>
      <c r="G28" s="334"/>
      <c r="H28" s="334"/>
      <c r="I28" s="334"/>
      <c r="J28" s="334"/>
      <c r="K28" s="334"/>
      <c r="L28" s="334"/>
      <c r="M28" s="334"/>
      <c r="N28" s="334"/>
      <c r="O28" s="334"/>
      <c r="P28" s="334"/>
      <c r="Q28" s="336"/>
    </row>
    <row r="29" ht="15.75" customHeight="1">
      <c r="A29" s="334"/>
      <c r="B29" s="334"/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6"/>
    </row>
    <row r="30" ht="15.75" customHeight="1">
      <c r="A30" s="334"/>
      <c r="B30" s="334"/>
      <c r="C30" s="334"/>
      <c r="D30" s="334"/>
      <c r="E30" s="334"/>
      <c r="F30" s="334"/>
      <c r="G30" s="334"/>
      <c r="H30" s="334"/>
      <c r="I30" s="334"/>
      <c r="J30" s="334"/>
      <c r="K30" s="334"/>
      <c r="L30" s="334"/>
      <c r="M30" s="334"/>
      <c r="N30" s="334"/>
      <c r="O30" s="334"/>
      <c r="P30" s="334"/>
      <c r="Q30" s="336"/>
    </row>
    <row r="31" ht="15.75" customHeight="1">
      <c r="A31" s="334"/>
      <c r="B31" s="334"/>
      <c r="C31" s="334"/>
      <c r="D31" s="334"/>
      <c r="E31" s="334"/>
      <c r="F31" s="334"/>
      <c r="G31" s="334"/>
      <c r="H31" s="334"/>
      <c r="I31" s="334"/>
      <c r="J31" s="334"/>
      <c r="K31" s="334"/>
      <c r="L31" s="334"/>
      <c r="M31" s="334"/>
      <c r="N31" s="334"/>
      <c r="O31" s="334"/>
      <c r="P31" s="334"/>
      <c r="Q31" s="336"/>
    </row>
    <row r="32" ht="15.75" customHeight="1">
      <c r="A32" s="334"/>
      <c r="B32" s="334"/>
      <c r="C32" s="334"/>
      <c r="D32" s="334"/>
      <c r="E32" s="334"/>
      <c r="F32" s="334"/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Q32" s="336"/>
    </row>
    <row r="33" ht="15.75" customHeight="1">
      <c r="A33" s="334"/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6"/>
    </row>
    <row r="34" ht="15.75" customHeight="1">
      <c r="A34" s="334"/>
      <c r="B34" s="482" t="s">
        <v>437</v>
      </c>
      <c r="I34" s="334"/>
      <c r="J34" s="483" t="s">
        <v>438</v>
      </c>
      <c r="N34" s="334"/>
      <c r="O34" s="334"/>
      <c r="P34" s="334"/>
      <c r="Q34" s="336"/>
    </row>
    <row r="35" ht="33.0" customHeight="1">
      <c r="A35" s="334"/>
      <c r="B35" s="484" t="s">
        <v>29</v>
      </c>
      <c r="C35" s="485" t="s">
        <v>453</v>
      </c>
      <c r="D35" s="485" t="s">
        <v>454</v>
      </c>
      <c r="E35" s="334"/>
      <c r="F35" s="334"/>
      <c r="G35" s="334"/>
      <c r="H35" s="334"/>
      <c r="I35" s="334"/>
      <c r="J35" s="333" t="s">
        <v>29</v>
      </c>
      <c r="K35" s="485" t="s">
        <v>454</v>
      </c>
      <c r="L35" s="485" t="s">
        <v>455</v>
      </c>
      <c r="M35" s="485" t="s">
        <v>456</v>
      </c>
      <c r="N35" s="334"/>
      <c r="O35" s="334"/>
      <c r="P35" s="334"/>
      <c r="Q35" s="336"/>
    </row>
    <row r="36" ht="15.75" customHeight="1">
      <c r="A36" s="334"/>
      <c r="B36" s="486">
        <v>2.0</v>
      </c>
      <c r="C36" s="346">
        <v>75.5</v>
      </c>
      <c r="D36" s="430">
        <f t="shared" ref="D36:D38" si="6">C36/2.47105</f>
        <v>30.55381316</v>
      </c>
      <c r="E36" s="334"/>
      <c r="F36" s="334"/>
      <c r="G36" s="334"/>
      <c r="H36" s="334"/>
      <c r="I36" s="334"/>
      <c r="J36" s="346">
        <f>'Sys Volume &amp; Area'!$L$11</f>
        <v>0.1</v>
      </c>
      <c r="K36" s="430">
        <f t="shared" ref="K36:K38" si="7">34.2*(J36^-0.176)</f>
        <v>51.28922137</v>
      </c>
      <c r="L36" s="347">
        <f>K36*J36*'Sys Volume &amp; Area'!L24</f>
        <v>35.90245496</v>
      </c>
      <c r="M36" s="428">
        <f>L36*'Sys Volume &amp; Area'!$N$7*'System Control &amp; Outputs'!$C$19*'Sys Volume &amp; Area'!$N$7</f>
        <v>130.0243309</v>
      </c>
      <c r="N36" s="489" t="s">
        <v>448</v>
      </c>
      <c r="O36" s="334"/>
      <c r="P36" s="334"/>
      <c r="Q36" s="336"/>
    </row>
    <row r="37" ht="15.75" customHeight="1">
      <c r="A37" s="334"/>
      <c r="B37" s="486">
        <v>10.0</v>
      </c>
      <c r="C37" s="346">
        <v>55.1</v>
      </c>
      <c r="D37" s="430">
        <f t="shared" si="6"/>
        <v>22.29821331</v>
      </c>
      <c r="E37" s="334"/>
      <c r="F37" s="334"/>
      <c r="G37" s="334"/>
      <c r="H37" s="334"/>
      <c r="I37" s="334"/>
      <c r="J37" s="346">
        <f>'Sys Volume &amp; Area'!$L$15</f>
        <v>0.01</v>
      </c>
      <c r="K37" s="430">
        <f t="shared" si="7"/>
        <v>76.91766752</v>
      </c>
      <c r="L37" s="347">
        <f>K37*J37*'Sys Volume &amp; Area'!L29</f>
        <v>5.384236726</v>
      </c>
      <c r="M37" s="428">
        <f>L37*'Sys Volume &amp; Area'!$N$7*'System Control &amp; Outputs'!$C$19*'Sys Volume &amp; Area'!$N$7</f>
        <v>19.49955173</v>
      </c>
      <c r="N37" s="489" t="s">
        <v>449</v>
      </c>
      <c r="O37" s="334"/>
      <c r="P37" s="334"/>
      <c r="Q37" s="336"/>
    </row>
    <row r="38" ht="15.75" customHeight="1">
      <c r="A38" s="334"/>
      <c r="B38" s="486">
        <v>50.0</v>
      </c>
      <c r="C38" s="346">
        <v>42.8</v>
      </c>
      <c r="D38" s="430">
        <f t="shared" si="6"/>
        <v>17.32057223</v>
      </c>
      <c r="E38" s="334"/>
      <c r="F38" s="334"/>
      <c r="G38" s="334"/>
      <c r="H38" s="334"/>
      <c r="I38" s="334"/>
      <c r="J38" s="258">
        <f>'Sys Volume &amp; Area'!$L$19</f>
        <v>0.001</v>
      </c>
      <c r="K38" s="430">
        <f t="shared" si="7"/>
        <v>115.3522596</v>
      </c>
      <c r="L38" s="347">
        <f>K38*J38*'Sys Volume &amp; Area'!L34</f>
        <v>0.8074658169</v>
      </c>
      <c r="M38" s="428">
        <f>L38*'Sys Volume &amp; Area'!$N$7*'System Control &amp; Outputs'!$C$19*'Sys Volume &amp; Area'!$N$7</f>
        <v>2.924318203</v>
      </c>
      <c r="N38" s="489" t="s">
        <v>450</v>
      </c>
      <c r="O38" s="334"/>
      <c r="P38" s="334"/>
      <c r="Q38" s="336"/>
    </row>
    <row r="39" ht="15.75" customHeight="1">
      <c r="A39" s="334"/>
      <c r="B39" s="334"/>
      <c r="C39" s="334"/>
      <c r="D39" s="334"/>
      <c r="E39" s="334"/>
      <c r="F39" s="334"/>
      <c r="G39" s="334"/>
      <c r="H39" s="334"/>
      <c r="I39" s="334"/>
      <c r="J39" s="491" t="s">
        <v>451</v>
      </c>
      <c r="M39" s="492">
        <f>SUM(M36:M38)</f>
        <v>152.4482008</v>
      </c>
      <c r="N39" s="334"/>
      <c r="O39" s="334"/>
      <c r="P39" s="334"/>
      <c r="Q39" s="336"/>
    </row>
    <row r="40" ht="15.75" customHeight="1">
      <c r="A40" s="334"/>
      <c r="B40" s="334"/>
      <c r="C40" s="334"/>
      <c r="D40" s="334"/>
      <c r="E40" s="334"/>
      <c r="F40" s="334"/>
      <c r="G40" s="334"/>
      <c r="H40" s="334"/>
      <c r="I40" s="334"/>
      <c r="N40" s="334"/>
      <c r="O40" s="334"/>
      <c r="P40" s="334"/>
      <c r="Q40" s="336"/>
    </row>
    <row r="41" ht="15.75" customHeight="1">
      <c r="A41" s="334"/>
      <c r="B41" s="334"/>
      <c r="C41" s="334"/>
      <c r="D41" s="334"/>
      <c r="E41" s="334"/>
      <c r="F41" s="334"/>
      <c r="G41" s="334"/>
      <c r="H41" s="334"/>
      <c r="I41" s="334"/>
      <c r="N41" s="334"/>
      <c r="O41" s="334"/>
      <c r="P41" s="334"/>
      <c r="Q41" s="336"/>
    </row>
    <row r="42" ht="15.75" customHeight="1">
      <c r="A42" s="334"/>
      <c r="B42" s="334"/>
      <c r="C42" s="334"/>
      <c r="D42" s="334"/>
      <c r="E42" s="334"/>
      <c r="F42" s="334"/>
      <c r="G42" s="334"/>
      <c r="H42" s="334"/>
      <c r="I42" s="334"/>
      <c r="N42" s="334"/>
      <c r="O42" s="334"/>
      <c r="P42" s="334"/>
      <c r="Q42" s="336"/>
    </row>
    <row r="43" ht="15.75" customHeight="1">
      <c r="A43" s="334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6"/>
    </row>
    <row r="44" ht="15.75" customHeight="1">
      <c r="A44" s="334"/>
      <c r="B44" s="334"/>
      <c r="C44" s="334"/>
      <c r="D44" s="334"/>
      <c r="E44" s="334"/>
      <c r="F44" s="334"/>
      <c r="G44" s="334"/>
      <c r="H44" s="334"/>
      <c r="I44" s="334"/>
      <c r="J44" s="334"/>
      <c r="K44" s="334"/>
      <c r="L44" s="334"/>
      <c r="M44" s="334"/>
      <c r="N44" s="334"/>
      <c r="O44" s="334"/>
      <c r="P44" s="334"/>
      <c r="Q44" s="336"/>
    </row>
    <row r="45" ht="15.75" customHeight="1">
      <c r="A45" s="334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6"/>
    </row>
    <row r="46" ht="15.75" customHeight="1">
      <c r="A46" s="334"/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6"/>
    </row>
    <row r="47" ht="15.75" customHeight="1">
      <c r="A47" s="334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6"/>
    </row>
    <row r="48" ht="15.75" customHeight="1">
      <c r="A48" s="334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N48" s="334"/>
      <c r="O48" s="334"/>
      <c r="P48" s="334"/>
      <c r="Q48" s="336"/>
    </row>
    <row r="49" ht="15.75" customHeight="1">
      <c r="A49" s="334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6"/>
    </row>
    <row r="50" ht="15.75" customHeight="1">
      <c r="A50" s="334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/>
      <c r="O50" s="334"/>
      <c r="P50" s="334"/>
      <c r="Q50" s="336"/>
    </row>
    <row r="51" ht="15.75" customHeight="1">
      <c r="A51" s="334"/>
      <c r="B51" s="334"/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6"/>
    </row>
    <row r="52" ht="15.75" customHeight="1">
      <c r="A52" s="334"/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334"/>
      <c r="P52" s="334"/>
      <c r="Q52" s="336"/>
    </row>
    <row r="53" ht="15.75" customHeight="1">
      <c r="A53" s="334"/>
      <c r="B53" s="334"/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6"/>
    </row>
    <row r="54" ht="15.75" customHeight="1">
      <c r="A54" s="334"/>
      <c r="B54" s="334"/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/>
      <c r="O54" s="334"/>
      <c r="P54" s="334"/>
      <c r="Q54" s="336"/>
    </row>
    <row r="55" ht="15.75" customHeight="1">
      <c r="A55" s="334"/>
      <c r="B55" s="334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6"/>
    </row>
    <row r="56" ht="15.75" customHeight="1">
      <c r="A56" s="334"/>
      <c r="B56" s="334"/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34"/>
      <c r="P56" s="334"/>
      <c r="Q56" s="336"/>
    </row>
    <row r="57" ht="15.75" customHeight="1">
      <c r="A57" s="334"/>
      <c r="B57" s="334"/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6"/>
    </row>
    <row r="58" ht="15.75" customHeight="1">
      <c r="A58" s="334"/>
      <c r="B58" s="334"/>
      <c r="C58" s="334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6"/>
    </row>
    <row r="59" ht="15.75" customHeight="1">
      <c r="A59" s="334"/>
      <c r="B59" s="334"/>
      <c r="C59" s="334"/>
      <c r="D59" s="334"/>
      <c r="E59" s="334"/>
      <c r="F59" s="334"/>
      <c r="G59" s="334"/>
      <c r="H59" s="334"/>
      <c r="I59" s="334"/>
      <c r="J59" s="334"/>
      <c r="K59" s="334"/>
      <c r="L59" s="334"/>
      <c r="M59" s="334"/>
      <c r="N59" s="334"/>
      <c r="O59" s="334"/>
      <c r="P59" s="334"/>
      <c r="Q59" s="336"/>
    </row>
    <row r="60" ht="15.75" customHeight="1">
      <c r="A60" s="334"/>
      <c r="B60" s="334"/>
      <c r="C60" s="334"/>
      <c r="D60" s="334"/>
      <c r="E60" s="334"/>
      <c r="F60" s="334"/>
      <c r="G60" s="334"/>
      <c r="H60" s="334"/>
      <c r="I60" s="334"/>
      <c r="J60" s="334"/>
      <c r="K60" s="334"/>
      <c r="L60" s="334"/>
      <c r="M60" s="334"/>
      <c r="N60" s="334"/>
      <c r="O60" s="334"/>
      <c r="P60" s="334"/>
      <c r="Q60" s="336"/>
    </row>
    <row r="61" ht="15.75" customHeight="1">
      <c r="A61" s="334"/>
      <c r="B61" s="334"/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4"/>
      <c r="O61" s="334"/>
      <c r="P61" s="334"/>
      <c r="Q61" s="336"/>
    </row>
    <row r="62" ht="15.75" customHeight="1">
      <c r="A62" s="334"/>
      <c r="B62" s="334"/>
      <c r="C62" s="334"/>
      <c r="D62" s="334"/>
      <c r="E62" s="334"/>
      <c r="F62" s="334"/>
      <c r="G62" s="334"/>
      <c r="H62" s="334"/>
      <c r="I62" s="334"/>
      <c r="J62" s="334"/>
      <c r="K62" s="334"/>
      <c r="L62" s="334"/>
      <c r="M62" s="334"/>
      <c r="N62" s="334"/>
      <c r="O62" s="334"/>
      <c r="P62" s="334"/>
      <c r="Q62" s="336"/>
    </row>
    <row r="63" ht="15.75" customHeight="1">
      <c r="A63" s="334"/>
      <c r="B63" s="334"/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6"/>
    </row>
    <row r="64" ht="15.75" customHeight="1">
      <c r="A64" s="334"/>
      <c r="B64" s="334"/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6"/>
    </row>
    <row r="65" ht="15.75" customHeight="1">
      <c r="A65" s="334"/>
      <c r="B65" s="334"/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34"/>
      <c r="P65" s="334"/>
      <c r="Q65" s="336"/>
    </row>
    <row r="66" ht="15.75" customHeight="1">
      <c r="A66" s="334"/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4"/>
      <c r="Q66" s="336"/>
    </row>
    <row r="67" ht="15.75" customHeight="1">
      <c r="A67" s="334"/>
      <c r="B67" s="334"/>
      <c r="C67" s="334"/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34"/>
      <c r="O67" s="334"/>
      <c r="P67" s="334"/>
      <c r="Q67" s="336"/>
    </row>
    <row r="68" ht="15.75" customHeight="1">
      <c r="A68" s="334"/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6"/>
    </row>
    <row r="69" ht="15.75" customHeight="1">
      <c r="A69" s="334"/>
      <c r="B69" s="334"/>
      <c r="C69" s="334"/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6"/>
    </row>
    <row r="70" ht="15.75" customHeight="1">
      <c r="A70" s="334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6"/>
    </row>
    <row r="71" ht="15.75" customHeight="1">
      <c r="A71" s="334"/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6"/>
    </row>
    <row r="72" ht="15.75" customHeight="1">
      <c r="A72" s="334"/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6"/>
    </row>
    <row r="73" ht="15.75" customHeight="1">
      <c r="A73" s="334"/>
      <c r="B73" s="334"/>
      <c r="C73" s="334"/>
      <c r="D73" s="334"/>
      <c r="E73" s="334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6"/>
    </row>
    <row r="74" ht="15.75" customHeight="1">
      <c r="A74" s="334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6"/>
    </row>
    <row r="75" ht="15.75" customHeight="1">
      <c r="A75" s="334"/>
      <c r="B75" s="334"/>
      <c r="C75" s="33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6"/>
    </row>
    <row r="76" ht="15.75" customHeight="1">
      <c r="A76" s="334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6"/>
    </row>
    <row r="77" ht="15.75" customHeight="1">
      <c r="A77" s="334"/>
      <c r="B77" s="334"/>
      <c r="C77" s="334"/>
      <c r="D77" s="334"/>
      <c r="E77" s="334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6"/>
    </row>
    <row r="78" ht="15.75" customHeight="1">
      <c r="A78" s="334"/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6"/>
    </row>
    <row r="79" ht="15.75" customHeight="1">
      <c r="A79" s="334"/>
      <c r="B79" s="334"/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6"/>
    </row>
    <row r="80" ht="15.75" customHeight="1">
      <c r="A80" s="334"/>
      <c r="B80" s="334"/>
      <c r="C80" s="334"/>
      <c r="D80" s="334"/>
      <c r="E80" s="334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6"/>
    </row>
    <row r="81" ht="15.75" customHeight="1">
      <c r="A81" s="334"/>
      <c r="B81" s="334"/>
      <c r="C81" s="334"/>
      <c r="D81" s="334"/>
      <c r="E81" s="334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6"/>
    </row>
    <row r="82" ht="15.75" customHeight="1">
      <c r="A82" s="334"/>
      <c r="B82" s="334"/>
      <c r="C82" s="334"/>
      <c r="D82" s="334"/>
      <c r="E82" s="334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6"/>
    </row>
    <row r="83" ht="15.75" customHeight="1">
      <c r="A83" s="334"/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6"/>
    </row>
    <row r="84" ht="15.75" customHeight="1">
      <c r="A84" s="334"/>
      <c r="B84" s="334"/>
      <c r="C84" s="334"/>
      <c r="D84" s="334"/>
      <c r="E84" s="334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6"/>
    </row>
    <row r="85" ht="15.75" customHeight="1">
      <c r="A85" s="334"/>
      <c r="B85" s="334"/>
      <c r="C85" s="334"/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6"/>
    </row>
    <row r="86" ht="15.75" customHeight="1">
      <c r="A86" s="334"/>
      <c r="B86" s="334"/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6"/>
    </row>
    <row r="87" ht="15.75" customHeight="1">
      <c r="A87" s="334"/>
      <c r="B87" s="334"/>
      <c r="C87" s="334"/>
      <c r="D87" s="334"/>
      <c r="E87" s="334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6"/>
    </row>
    <row r="88" ht="15.75" customHeight="1">
      <c r="A88" s="334"/>
      <c r="B88" s="334"/>
      <c r="C88" s="334"/>
      <c r="D88" s="334"/>
      <c r="E88" s="334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6"/>
    </row>
    <row r="89" ht="15.75" customHeight="1">
      <c r="A89" s="334"/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6"/>
    </row>
    <row r="90" ht="15.75" customHeight="1">
      <c r="A90" s="334"/>
      <c r="B90" s="334"/>
      <c r="C90" s="334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6"/>
    </row>
    <row r="91" ht="15.75" customHeight="1">
      <c r="A91" s="334"/>
      <c r="B91" s="334"/>
      <c r="C91" s="334"/>
      <c r="D91" s="334"/>
      <c r="E91" s="334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6"/>
    </row>
    <row r="92" ht="15.75" customHeight="1">
      <c r="A92" s="334"/>
      <c r="B92" s="334"/>
      <c r="C92" s="334"/>
      <c r="D92" s="334"/>
      <c r="E92" s="334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6"/>
    </row>
    <row r="93" ht="15.75" customHeight="1">
      <c r="A93" s="334"/>
      <c r="B93" s="334"/>
      <c r="C93" s="334"/>
      <c r="D93" s="334"/>
      <c r="E93" s="334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6"/>
    </row>
    <row r="94" ht="15.75" customHeight="1">
      <c r="A94" s="334"/>
      <c r="B94" s="334"/>
      <c r="C94" s="334"/>
      <c r="D94" s="334"/>
      <c r="E94" s="334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6"/>
    </row>
    <row r="95" ht="15.75" customHeight="1">
      <c r="A95" s="334"/>
      <c r="B95" s="334"/>
      <c r="C95" s="334"/>
      <c r="D95" s="334"/>
      <c r="E95" s="334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6"/>
    </row>
    <row r="96" ht="15.75" customHeight="1">
      <c r="A96" s="334"/>
      <c r="B96" s="334"/>
      <c r="C96" s="334"/>
      <c r="D96" s="334"/>
      <c r="E96" s="334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6"/>
    </row>
    <row r="97" ht="15.75" customHeight="1">
      <c r="A97" s="334"/>
      <c r="B97" s="334"/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6"/>
    </row>
    <row r="98" ht="15.75" customHeight="1">
      <c r="A98" s="334"/>
      <c r="B98" s="334"/>
      <c r="C98" s="334"/>
      <c r="D98" s="334"/>
      <c r="E98" s="334"/>
      <c r="F98" s="334"/>
      <c r="G98" s="334"/>
      <c r="H98" s="334"/>
      <c r="I98" s="334"/>
      <c r="J98" s="334"/>
      <c r="K98" s="334"/>
      <c r="L98" s="334"/>
      <c r="M98" s="334"/>
      <c r="N98" s="334"/>
      <c r="O98" s="334"/>
      <c r="P98" s="334"/>
      <c r="Q98" s="336"/>
    </row>
    <row r="99" ht="15.75" customHeight="1">
      <c r="A99" s="334"/>
      <c r="B99" s="334"/>
      <c r="C99" s="334"/>
      <c r="D99" s="334"/>
      <c r="E99" s="334"/>
      <c r="F99" s="334"/>
      <c r="G99" s="334"/>
      <c r="H99" s="334"/>
      <c r="I99" s="334"/>
      <c r="J99" s="334"/>
      <c r="K99" s="334"/>
      <c r="L99" s="334"/>
      <c r="M99" s="334"/>
      <c r="N99" s="334"/>
      <c r="O99" s="334"/>
      <c r="P99" s="334"/>
      <c r="Q99" s="336"/>
    </row>
    <row r="100" ht="15.75" customHeight="1">
      <c r="A100" s="334"/>
      <c r="B100" s="334"/>
      <c r="C100" s="334"/>
      <c r="D100" s="334"/>
      <c r="E100" s="334"/>
      <c r="F100" s="334"/>
      <c r="G100" s="334"/>
      <c r="H100" s="334"/>
      <c r="I100" s="334"/>
      <c r="J100" s="334"/>
      <c r="K100" s="334"/>
      <c r="L100" s="334"/>
      <c r="M100" s="334"/>
      <c r="N100" s="334"/>
      <c r="O100" s="334"/>
      <c r="P100" s="334"/>
      <c r="Q100" s="336"/>
    </row>
    <row r="101" ht="15.75" customHeight="1">
      <c r="A101" s="334"/>
      <c r="B101" s="334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6"/>
    </row>
    <row r="102" ht="15.75" customHeight="1">
      <c r="A102" s="334"/>
      <c r="B102" s="334"/>
      <c r="C102" s="334"/>
      <c r="D102" s="334"/>
      <c r="E102" s="334"/>
      <c r="F102" s="334"/>
      <c r="G102" s="334"/>
      <c r="H102" s="334"/>
      <c r="I102" s="334"/>
      <c r="J102" s="334"/>
      <c r="K102" s="334"/>
      <c r="L102" s="334"/>
      <c r="M102" s="334"/>
      <c r="N102" s="334"/>
      <c r="O102" s="334"/>
      <c r="P102" s="334"/>
      <c r="Q102" s="336"/>
    </row>
    <row r="103" ht="15.75" customHeight="1">
      <c r="A103" s="334"/>
      <c r="B103" s="334"/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334"/>
      <c r="O103" s="334"/>
      <c r="P103" s="334"/>
      <c r="Q103" s="336"/>
    </row>
    <row r="104" ht="15.75" customHeight="1">
      <c r="A104" s="334"/>
      <c r="B104" s="334"/>
      <c r="C104" s="334"/>
      <c r="D104" s="334"/>
      <c r="E104" s="334"/>
      <c r="F104" s="334"/>
      <c r="G104" s="334"/>
      <c r="H104" s="334"/>
      <c r="I104" s="334"/>
      <c r="J104" s="334"/>
      <c r="K104" s="334"/>
      <c r="L104" s="334"/>
      <c r="M104" s="334"/>
      <c r="N104" s="334"/>
      <c r="O104" s="334"/>
      <c r="P104" s="334"/>
      <c r="Q104" s="336"/>
    </row>
    <row r="105" ht="15.75" customHeight="1">
      <c r="A105" s="334"/>
      <c r="B105" s="334"/>
      <c r="C105" s="334"/>
      <c r="D105" s="334"/>
      <c r="E105" s="334"/>
      <c r="F105" s="334"/>
      <c r="G105" s="334"/>
      <c r="H105" s="334"/>
      <c r="I105" s="334"/>
      <c r="J105" s="334"/>
      <c r="K105" s="334"/>
      <c r="L105" s="334"/>
      <c r="M105" s="334"/>
      <c r="N105" s="334"/>
      <c r="O105" s="334"/>
      <c r="P105" s="334"/>
      <c r="Q105" s="336"/>
    </row>
    <row r="106" ht="15.75" customHeight="1">
      <c r="A106" s="334"/>
      <c r="B106" s="334"/>
      <c r="C106" s="334"/>
      <c r="D106" s="334"/>
      <c r="E106" s="334"/>
      <c r="F106" s="334"/>
      <c r="G106" s="334"/>
      <c r="H106" s="334"/>
      <c r="I106" s="334"/>
      <c r="J106" s="334"/>
      <c r="K106" s="334"/>
      <c r="L106" s="334"/>
      <c r="M106" s="334"/>
      <c r="N106" s="334"/>
      <c r="O106" s="334"/>
      <c r="P106" s="334"/>
      <c r="Q106" s="336"/>
    </row>
    <row r="107" ht="15.75" customHeight="1">
      <c r="A107" s="334"/>
      <c r="B107" s="334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334"/>
      <c r="P107" s="334"/>
      <c r="Q107" s="336"/>
    </row>
    <row r="108" ht="15.75" customHeight="1">
      <c r="A108" s="334"/>
      <c r="B108" s="334"/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/>
      <c r="N108" s="334"/>
      <c r="O108" s="334"/>
      <c r="P108" s="334"/>
      <c r="Q108" s="336"/>
    </row>
    <row r="109" ht="15.75" customHeight="1">
      <c r="A109" s="334"/>
      <c r="B109" s="334"/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4"/>
      <c r="Q109" s="336"/>
    </row>
    <row r="110" ht="15.75" customHeight="1">
      <c r="A110" s="334"/>
      <c r="B110" s="334"/>
      <c r="C110" s="334"/>
      <c r="D110" s="334"/>
      <c r="E110" s="334"/>
      <c r="F110" s="334"/>
      <c r="G110" s="334"/>
      <c r="H110" s="334"/>
      <c r="I110" s="334"/>
      <c r="J110" s="334"/>
      <c r="K110" s="334"/>
      <c r="L110" s="334"/>
      <c r="M110" s="334"/>
      <c r="N110" s="334"/>
      <c r="O110" s="334"/>
      <c r="P110" s="334"/>
      <c r="Q110" s="336"/>
    </row>
    <row r="111" ht="15.75" customHeight="1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6"/>
    </row>
    <row r="112" ht="15.75" customHeight="1">
      <c r="A112" s="334"/>
      <c r="B112" s="334"/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34"/>
      <c r="O112" s="334"/>
      <c r="P112" s="334"/>
      <c r="Q112" s="336"/>
    </row>
    <row r="113" ht="15.75" customHeight="1">
      <c r="A113" s="334"/>
      <c r="B113" s="334"/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34"/>
      <c r="O113" s="334"/>
      <c r="P113" s="334"/>
      <c r="Q113" s="336"/>
    </row>
    <row r="114" ht="15.75" customHeight="1">
      <c r="A114" s="334"/>
      <c r="B114" s="334"/>
      <c r="C114" s="334"/>
      <c r="D114" s="334"/>
      <c r="E114" s="334"/>
      <c r="F114" s="334"/>
      <c r="G114" s="334"/>
      <c r="H114" s="334"/>
      <c r="I114" s="334"/>
      <c r="J114" s="334"/>
      <c r="K114" s="334"/>
      <c r="L114" s="334"/>
      <c r="M114" s="334"/>
      <c r="N114" s="334"/>
      <c r="O114" s="334"/>
      <c r="P114" s="334"/>
      <c r="Q114" s="336"/>
    </row>
    <row r="115" ht="15.75" customHeight="1">
      <c r="A115" s="334"/>
      <c r="B115" s="334"/>
      <c r="C115" s="334"/>
      <c r="D115" s="334"/>
      <c r="E115" s="334"/>
      <c r="F115" s="334"/>
      <c r="G115" s="334"/>
      <c r="H115" s="334"/>
      <c r="I115" s="334"/>
      <c r="J115" s="334"/>
      <c r="K115" s="334"/>
      <c r="L115" s="334"/>
      <c r="M115" s="334"/>
      <c r="N115" s="334"/>
      <c r="O115" s="334"/>
      <c r="P115" s="334"/>
      <c r="Q115" s="336"/>
    </row>
    <row r="116" ht="15.75" customHeight="1">
      <c r="A116" s="334"/>
      <c r="B116" s="334"/>
      <c r="C116" s="334"/>
      <c r="D116" s="334"/>
      <c r="E116" s="334"/>
      <c r="F116" s="334"/>
      <c r="G116" s="334"/>
      <c r="H116" s="334"/>
      <c r="I116" s="334"/>
      <c r="J116" s="334"/>
      <c r="K116" s="334"/>
      <c r="L116" s="334"/>
      <c r="M116" s="334"/>
      <c r="N116" s="334"/>
      <c r="O116" s="334"/>
      <c r="P116" s="334"/>
      <c r="Q116" s="336"/>
    </row>
    <row r="117" ht="15.75" customHeight="1">
      <c r="A117" s="334"/>
      <c r="B117" s="334"/>
      <c r="C117" s="334"/>
      <c r="D117" s="334"/>
      <c r="E117" s="334"/>
      <c r="F117" s="334"/>
      <c r="G117" s="334"/>
      <c r="H117" s="334"/>
      <c r="I117" s="334"/>
      <c r="J117" s="334"/>
      <c r="K117" s="334"/>
      <c r="L117" s="334"/>
      <c r="M117" s="334"/>
      <c r="N117" s="334"/>
      <c r="O117" s="334"/>
      <c r="P117" s="334"/>
      <c r="Q117" s="336"/>
    </row>
    <row r="118" ht="15.75" customHeight="1">
      <c r="A118" s="334"/>
      <c r="B118" s="334"/>
      <c r="C118" s="334"/>
      <c r="D118" s="334"/>
      <c r="E118" s="334"/>
      <c r="F118" s="334"/>
      <c r="G118" s="334"/>
      <c r="H118" s="334"/>
      <c r="I118" s="334"/>
      <c r="J118" s="334"/>
      <c r="K118" s="334"/>
      <c r="L118" s="334"/>
      <c r="M118" s="334"/>
      <c r="N118" s="334"/>
      <c r="O118" s="334"/>
      <c r="P118" s="334"/>
      <c r="Q118" s="336"/>
    </row>
    <row r="119" ht="15.75" customHeight="1">
      <c r="A119" s="334"/>
      <c r="B119" s="334"/>
      <c r="C119" s="334"/>
      <c r="D119" s="334"/>
      <c r="E119" s="334"/>
      <c r="F119" s="334"/>
      <c r="G119" s="334"/>
      <c r="H119" s="334"/>
      <c r="I119" s="334"/>
      <c r="J119" s="334"/>
      <c r="K119" s="334"/>
      <c r="L119" s="334"/>
      <c r="M119" s="334"/>
      <c r="N119" s="334"/>
      <c r="O119" s="334"/>
      <c r="P119" s="334"/>
      <c r="Q119" s="336"/>
    </row>
    <row r="120" ht="15.75" customHeight="1">
      <c r="A120" s="334"/>
      <c r="B120" s="334"/>
      <c r="C120" s="334"/>
      <c r="D120" s="334"/>
      <c r="E120" s="334"/>
      <c r="F120" s="334"/>
      <c r="G120" s="334"/>
      <c r="H120" s="334"/>
      <c r="I120" s="334"/>
      <c r="J120" s="334"/>
      <c r="K120" s="334"/>
      <c r="L120" s="334"/>
      <c r="M120" s="334"/>
      <c r="N120" s="334"/>
      <c r="O120" s="334"/>
      <c r="P120" s="334"/>
      <c r="Q120" s="336"/>
    </row>
    <row r="121" ht="15.75" customHeight="1">
      <c r="A121" s="334"/>
      <c r="B121" s="334"/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334"/>
      <c r="O121" s="334"/>
      <c r="P121" s="334"/>
      <c r="Q121" s="336"/>
    </row>
    <row r="122" ht="15.75" customHeight="1">
      <c r="A122" s="334"/>
      <c r="B122" s="334"/>
      <c r="C122" s="334"/>
      <c r="D122" s="334"/>
      <c r="E122" s="334"/>
      <c r="F122" s="334"/>
      <c r="G122" s="334"/>
      <c r="H122" s="334"/>
      <c r="I122" s="334"/>
      <c r="J122" s="334"/>
      <c r="K122" s="334"/>
      <c r="L122" s="334"/>
      <c r="M122" s="334"/>
      <c r="N122" s="334"/>
      <c r="O122" s="334"/>
      <c r="P122" s="334"/>
      <c r="Q122" s="336"/>
    </row>
    <row r="123" ht="15.75" customHeight="1">
      <c r="A123" s="334"/>
      <c r="B123" s="334"/>
      <c r="C123" s="334"/>
      <c r="D123" s="334"/>
      <c r="E123" s="334"/>
      <c r="F123" s="334"/>
      <c r="G123" s="334"/>
      <c r="H123" s="334"/>
      <c r="I123" s="334"/>
      <c r="J123" s="334"/>
      <c r="K123" s="334"/>
      <c r="L123" s="334"/>
      <c r="M123" s="334"/>
      <c r="N123" s="334"/>
      <c r="O123" s="334"/>
      <c r="P123" s="334"/>
      <c r="Q123" s="336"/>
    </row>
    <row r="124" ht="15.75" customHeight="1">
      <c r="A124" s="334"/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34"/>
      <c r="Q124" s="336"/>
    </row>
    <row r="125" ht="15.75" customHeight="1">
      <c r="A125" s="334"/>
      <c r="B125" s="334"/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334"/>
      <c r="O125" s="334"/>
      <c r="P125" s="334"/>
      <c r="Q125" s="336"/>
    </row>
    <row r="126" ht="15.75" customHeight="1">
      <c r="A126" s="334"/>
      <c r="B126" s="334"/>
      <c r="C126" s="334"/>
      <c r="D126" s="334"/>
      <c r="E126" s="334"/>
      <c r="F126" s="334"/>
      <c r="G126" s="334"/>
      <c r="H126" s="334"/>
      <c r="I126" s="334"/>
      <c r="J126" s="334"/>
      <c r="K126" s="334"/>
      <c r="L126" s="334"/>
      <c r="M126" s="334"/>
      <c r="N126" s="334"/>
      <c r="O126" s="334"/>
      <c r="P126" s="334"/>
      <c r="Q126" s="336"/>
    </row>
    <row r="127" ht="15.75" customHeight="1">
      <c r="A127" s="334"/>
      <c r="B127" s="334"/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4"/>
      <c r="Q127" s="336"/>
    </row>
    <row r="128" ht="15.75" customHeight="1">
      <c r="A128" s="334"/>
      <c r="B128" s="334"/>
      <c r="C128" s="334"/>
      <c r="D128" s="334"/>
      <c r="E128" s="334"/>
      <c r="F128" s="334"/>
      <c r="G128" s="334"/>
      <c r="H128" s="334"/>
      <c r="I128" s="334"/>
      <c r="J128" s="334"/>
      <c r="K128" s="334"/>
      <c r="L128" s="334"/>
      <c r="M128" s="334"/>
      <c r="N128" s="334"/>
      <c r="O128" s="334"/>
      <c r="P128" s="334"/>
      <c r="Q128" s="336"/>
    </row>
    <row r="129" ht="15.75" customHeight="1">
      <c r="A129" s="334"/>
      <c r="B129" s="334"/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34"/>
      <c r="O129" s="334"/>
      <c r="P129" s="334"/>
      <c r="Q129" s="336"/>
    </row>
    <row r="130" ht="15.75" customHeight="1">
      <c r="A130" s="334"/>
      <c r="B130" s="334"/>
      <c r="C130" s="334"/>
      <c r="D130" s="334"/>
      <c r="E130" s="334"/>
      <c r="F130" s="334"/>
      <c r="G130" s="334"/>
      <c r="H130" s="334"/>
      <c r="I130" s="334"/>
      <c r="J130" s="334"/>
      <c r="K130" s="334"/>
      <c r="L130" s="334"/>
      <c r="M130" s="334"/>
      <c r="N130" s="334"/>
      <c r="O130" s="334"/>
      <c r="P130" s="334"/>
      <c r="Q130" s="336"/>
    </row>
    <row r="131" ht="15.75" customHeight="1">
      <c r="A131" s="334"/>
      <c r="B131" s="334"/>
      <c r="C131" s="334"/>
      <c r="D131" s="334"/>
      <c r="E131" s="334"/>
      <c r="F131" s="334"/>
      <c r="G131" s="334"/>
      <c r="H131" s="334"/>
      <c r="I131" s="334"/>
      <c r="J131" s="334"/>
      <c r="K131" s="334"/>
      <c r="L131" s="334"/>
      <c r="M131" s="334"/>
      <c r="N131" s="334"/>
      <c r="O131" s="334"/>
      <c r="P131" s="334"/>
      <c r="Q131" s="336"/>
    </row>
    <row r="132" ht="15.75" customHeight="1">
      <c r="A132" s="334"/>
      <c r="B132" s="334"/>
      <c r="C132" s="334"/>
      <c r="D132" s="334"/>
      <c r="E132" s="334"/>
      <c r="F132" s="334"/>
      <c r="G132" s="334"/>
      <c r="H132" s="334"/>
      <c r="I132" s="334"/>
      <c r="J132" s="334"/>
      <c r="K132" s="334"/>
      <c r="L132" s="334"/>
      <c r="M132" s="334"/>
      <c r="N132" s="334"/>
      <c r="O132" s="334"/>
      <c r="P132" s="334"/>
      <c r="Q132" s="336"/>
    </row>
    <row r="133" ht="15.75" customHeight="1">
      <c r="A133" s="334"/>
      <c r="B133" s="334"/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334"/>
      <c r="O133" s="334"/>
      <c r="P133" s="334"/>
      <c r="Q133" s="336"/>
    </row>
    <row r="134" ht="15.75" customHeight="1">
      <c r="A134" s="334"/>
      <c r="B134" s="334"/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6"/>
    </row>
    <row r="135" ht="15.75" customHeight="1">
      <c r="A135" s="334"/>
      <c r="B135" s="334"/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  <c r="M135" s="334"/>
      <c r="N135" s="334"/>
      <c r="O135" s="334"/>
      <c r="P135" s="334"/>
      <c r="Q135" s="336"/>
    </row>
    <row r="136" ht="15.75" customHeight="1">
      <c r="A136" s="334"/>
      <c r="B136" s="334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6"/>
    </row>
    <row r="137" ht="15.75" customHeight="1">
      <c r="A137" s="334"/>
      <c r="B137" s="334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34"/>
      <c r="O137" s="334"/>
      <c r="P137" s="334"/>
      <c r="Q137" s="336"/>
    </row>
    <row r="138" ht="15.75" customHeight="1">
      <c r="A138" s="334"/>
      <c r="B138" s="334"/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34"/>
      <c r="O138" s="334"/>
      <c r="P138" s="334"/>
      <c r="Q138" s="336"/>
    </row>
    <row r="139" ht="15.75" customHeight="1">
      <c r="A139" s="334"/>
      <c r="B139" s="334"/>
      <c r="C139" s="334"/>
      <c r="D139" s="334"/>
      <c r="E139" s="334"/>
      <c r="F139" s="334"/>
      <c r="G139" s="334"/>
      <c r="H139" s="334"/>
      <c r="I139" s="334"/>
      <c r="J139" s="334"/>
      <c r="K139" s="334"/>
      <c r="L139" s="334"/>
      <c r="M139" s="334"/>
      <c r="N139" s="334"/>
      <c r="O139" s="334"/>
      <c r="P139" s="334"/>
      <c r="Q139" s="336"/>
    </row>
    <row r="140" ht="15.75" customHeight="1">
      <c r="A140" s="334"/>
      <c r="B140" s="334"/>
      <c r="C140" s="334"/>
      <c r="D140" s="334"/>
      <c r="E140" s="334"/>
      <c r="F140" s="334"/>
      <c r="G140" s="334"/>
      <c r="H140" s="334"/>
      <c r="I140" s="334"/>
      <c r="J140" s="334"/>
      <c r="K140" s="334"/>
      <c r="L140" s="334"/>
      <c r="M140" s="334"/>
      <c r="N140" s="334"/>
      <c r="O140" s="334"/>
      <c r="P140" s="334"/>
      <c r="Q140" s="336"/>
    </row>
    <row r="141" ht="15.75" customHeight="1">
      <c r="A141" s="334"/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6"/>
    </row>
    <row r="142" ht="15.75" customHeight="1">
      <c r="A142" s="334"/>
      <c r="B142" s="334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34"/>
      <c r="O142" s="334"/>
      <c r="P142" s="334"/>
      <c r="Q142" s="336"/>
    </row>
    <row r="143" ht="15.75" customHeight="1">
      <c r="A143" s="334"/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6"/>
    </row>
    <row r="144" ht="15.75" customHeight="1">
      <c r="A144" s="334"/>
      <c r="B144" s="334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4"/>
      <c r="Q144" s="336"/>
    </row>
    <row r="145" ht="15.75" customHeight="1">
      <c r="A145" s="334"/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6"/>
    </row>
    <row r="146" ht="15.75" customHeight="1">
      <c r="A146" s="334"/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6"/>
    </row>
    <row r="147" ht="15.75" customHeight="1">
      <c r="A147" s="334"/>
      <c r="B147" s="334"/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6"/>
    </row>
    <row r="148" ht="15.75" customHeight="1">
      <c r="A148" s="334"/>
      <c r="B148" s="334"/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Q148" s="336"/>
    </row>
    <row r="149" ht="15.75" customHeight="1">
      <c r="A149" s="334"/>
      <c r="B149" s="334"/>
      <c r="C149" s="334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4"/>
      <c r="Q149" s="336"/>
    </row>
    <row r="150" ht="15.75" customHeight="1">
      <c r="A150" s="334"/>
      <c r="B150" s="334"/>
      <c r="C150" s="334"/>
      <c r="D150" s="334"/>
      <c r="E150" s="334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4"/>
      <c r="Q150" s="336"/>
    </row>
    <row r="151" ht="15.75" customHeight="1">
      <c r="A151" s="334"/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6"/>
    </row>
    <row r="152" ht="15.75" customHeight="1">
      <c r="A152" s="334"/>
      <c r="B152" s="334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6"/>
    </row>
    <row r="153" ht="15.75" customHeight="1">
      <c r="A153" s="334"/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4"/>
      <c r="Q153" s="336"/>
    </row>
    <row r="154" ht="15.75" customHeight="1">
      <c r="A154" s="334"/>
      <c r="B154" s="334"/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4"/>
      <c r="Q154" s="336"/>
    </row>
    <row r="155" ht="15.75" customHeight="1">
      <c r="A155" s="334"/>
      <c r="B155" s="334"/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6"/>
    </row>
    <row r="156" ht="15.75" customHeight="1">
      <c r="A156" s="334"/>
      <c r="B156" s="334"/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4"/>
      <c r="Q156" s="336"/>
    </row>
    <row r="157" ht="15.75" customHeight="1">
      <c r="A157" s="334"/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6"/>
    </row>
    <row r="158" ht="15.75" customHeight="1">
      <c r="A158" s="334"/>
      <c r="B158" s="334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4"/>
      <c r="Q158" s="336"/>
    </row>
    <row r="159" ht="15.75" customHeight="1">
      <c r="A159" s="334"/>
      <c r="B159" s="334"/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4"/>
      <c r="Q159" s="336"/>
    </row>
    <row r="160" ht="15.75" customHeight="1">
      <c r="A160" s="334"/>
      <c r="B160" s="334"/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4"/>
      <c r="Q160" s="336"/>
    </row>
    <row r="161" ht="15.75" customHeight="1">
      <c r="A161" s="334"/>
      <c r="B161" s="334"/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4"/>
      <c r="Q161" s="336"/>
    </row>
    <row r="162" ht="15.75" customHeight="1">
      <c r="A162" s="334"/>
      <c r="B162" s="334"/>
      <c r="C162" s="334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4"/>
      <c r="Q162" s="336"/>
    </row>
    <row r="163" ht="15.75" customHeight="1">
      <c r="A163" s="334"/>
      <c r="B163" s="334"/>
      <c r="C163" s="334"/>
      <c r="D163" s="334"/>
      <c r="E163" s="334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4"/>
      <c r="Q163" s="336"/>
    </row>
    <row r="164" ht="15.75" customHeight="1">
      <c r="A164" s="334"/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6"/>
    </row>
    <row r="165" ht="15.75" customHeight="1">
      <c r="A165" s="334"/>
      <c r="B165" s="334"/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6"/>
    </row>
    <row r="166" ht="15.75" customHeight="1">
      <c r="A166" s="334"/>
      <c r="B166" s="334"/>
      <c r="C166" s="334"/>
      <c r="D166" s="334"/>
      <c r="E166" s="334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4"/>
      <c r="Q166" s="336"/>
    </row>
    <row r="167" ht="15.75" customHeight="1">
      <c r="A167" s="334"/>
      <c r="B167" s="334"/>
      <c r="C167" s="334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6"/>
    </row>
    <row r="168" ht="15.75" customHeight="1">
      <c r="A168" s="334"/>
      <c r="B168" s="334"/>
      <c r="C168" s="334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4"/>
      <c r="Q168" s="336"/>
    </row>
    <row r="169" ht="15.75" customHeight="1">
      <c r="A169" s="334"/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6"/>
    </row>
    <row r="170" ht="15.75" customHeight="1">
      <c r="A170" s="334"/>
      <c r="B170" s="334"/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/>
      <c r="N170" s="334"/>
      <c r="O170" s="334"/>
      <c r="P170" s="334"/>
      <c r="Q170" s="336"/>
    </row>
    <row r="171" ht="15.75" customHeight="1">
      <c r="A171" s="334"/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6"/>
    </row>
    <row r="172" ht="15.75" customHeight="1">
      <c r="A172" s="334"/>
      <c r="B172" s="334"/>
      <c r="C172" s="334"/>
      <c r="D172" s="334"/>
      <c r="E172" s="334"/>
      <c r="F172" s="334"/>
      <c r="G172" s="334"/>
      <c r="H172" s="334"/>
      <c r="I172" s="334"/>
      <c r="J172" s="334"/>
      <c r="K172" s="334"/>
      <c r="L172" s="334"/>
      <c r="M172" s="334"/>
      <c r="N172" s="334"/>
      <c r="O172" s="334"/>
      <c r="P172" s="334"/>
      <c r="Q172" s="336"/>
    </row>
    <row r="173" ht="15.75" customHeight="1">
      <c r="A173" s="334"/>
      <c r="B173" s="334"/>
      <c r="C173" s="334"/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6"/>
    </row>
    <row r="174" ht="15.75" customHeight="1">
      <c r="A174" s="334"/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6"/>
    </row>
    <row r="175" ht="15.75" customHeight="1">
      <c r="A175" s="334"/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4"/>
      <c r="Q175" s="336"/>
    </row>
    <row r="176" ht="15.75" customHeight="1">
      <c r="A176" s="334"/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4"/>
      <c r="Q176" s="336"/>
    </row>
    <row r="177" ht="15.75" customHeight="1">
      <c r="A177" s="334"/>
      <c r="B177" s="334"/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34"/>
      <c r="Q177" s="336"/>
    </row>
    <row r="178" ht="15.75" customHeight="1">
      <c r="A178" s="334"/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4"/>
      <c r="Q178" s="336"/>
    </row>
    <row r="179" ht="15.75" customHeight="1">
      <c r="A179" s="334"/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6"/>
    </row>
    <row r="180" ht="15.75" customHeight="1">
      <c r="A180" s="334"/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6"/>
    </row>
    <row r="181" ht="15.75" customHeight="1">
      <c r="A181" s="334"/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6"/>
    </row>
    <row r="182" ht="15.75" customHeight="1">
      <c r="A182" s="334"/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6"/>
    </row>
    <row r="183" ht="15.75" customHeight="1">
      <c r="A183" s="334"/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6"/>
    </row>
    <row r="184" ht="15.75" customHeight="1">
      <c r="A184" s="334"/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6"/>
    </row>
    <row r="185" ht="15.75" customHeight="1">
      <c r="A185" s="334"/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6"/>
    </row>
    <row r="186" ht="15.75" customHeight="1">
      <c r="A186" s="334"/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6"/>
    </row>
    <row r="187" ht="15.75" customHeight="1">
      <c r="A187" s="334"/>
      <c r="B187" s="334"/>
      <c r="C187" s="334"/>
      <c r="D187" s="334"/>
      <c r="E187" s="334"/>
      <c r="F187" s="334"/>
      <c r="G187" s="334"/>
      <c r="H187" s="334"/>
      <c r="I187" s="334"/>
      <c r="J187" s="334"/>
      <c r="K187" s="334"/>
      <c r="L187" s="334"/>
      <c r="M187" s="334"/>
      <c r="N187" s="334"/>
      <c r="O187" s="334"/>
      <c r="P187" s="334"/>
      <c r="Q187" s="336"/>
    </row>
    <row r="188" ht="15.75" customHeight="1">
      <c r="A188" s="334"/>
      <c r="B188" s="334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4"/>
      <c r="Q188" s="336"/>
    </row>
    <row r="189" ht="15.75" customHeight="1">
      <c r="A189" s="334"/>
      <c r="B189" s="334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4"/>
      <c r="Q189" s="336"/>
    </row>
    <row r="190" ht="15.75" customHeight="1">
      <c r="A190" s="334"/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  <c r="M190" s="334"/>
      <c r="N190" s="334"/>
      <c r="O190" s="334"/>
      <c r="P190" s="334"/>
      <c r="Q190" s="336"/>
    </row>
    <row r="191" ht="15.75" customHeight="1">
      <c r="A191" s="334"/>
      <c r="B191" s="334"/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334"/>
      <c r="O191" s="334"/>
      <c r="P191" s="334"/>
      <c r="Q191" s="336"/>
    </row>
    <row r="192" ht="15.75" customHeight="1">
      <c r="A192" s="334"/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4"/>
      <c r="Q192" s="336"/>
    </row>
    <row r="193" ht="15.75" customHeight="1">
      <c r="A193" s="334"/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4"/>
      <c r="Q193" s="336"/>
    </row>
    <row r="194" ht="15.75" customHeight="1">
      <c r="A194" s="334"/>
      <c r="B194" s="334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334"/>
      <c r="O194" s="334"/>
      <c r="P194" s="334"/>
      <c r="Q194" s="336"/>
    </row>
    <row r="195" ht="15.75" customHeight="1">
      <c r="A195" s="334"/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6"/>
    </row>
    <row r="196" ht="15.75" customHeight="1">
      <c r="A196" s="334"/>
      <c r="B196" s="334"/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4"/>
      <c r="Q196" s="336"/>
    </row>
    <row r="197" ht="15.75" customHeight="1">
      <c r="A197" s="334"/>
      <c r="B197" s="334"/>
      <c r="C197" s="334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4"/>
      <c r="Q197" s="336"/>
    </row>
    <row r="198" ht="15.75" customHeight="1">
      <c r="A198" s="334"/>
      <c r="B198" s="334"/>
      <c r="C198" s="334"/>
      <c r="D198" s="334"/>
      <c r="E198" s="334"/>
      <c r="F198" s="334"/>
      <c r="G198" s="334"/>
      <c r="H198" s="334"/>
      <c r="I198" s="334"/>
      <c r="J198" s="334"/>
      <c r="K198" s="334"/>
      <c r="L198" s="334"/>
      <c r="M198" s="334"/>
      <c r="N198" s="334"/>
      <c r="O198" s="334"/>
      <c r="P198" s="334"/>
      <c r="Q198" s="336"/>
    </row>
    <row r="199" ht="15.75" customHeight="1">
      <c r="A199" s="334"/>
      <c r="B199" s="334"/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4"/>
      <c r="Q199" s="336"/>
    </row>
    <row r="200" ht="15.75" customHeight="1">
      <c r="A200" s="334"/>
      <c r="B200" s="334"/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4"/>
      <c r="Q200" s="336"/>
    </row>
    <row r="201" ht="15.75" customHeight="1">
      <c r="A201" s="336"/>
      <c r="B201" s="336"/>
      <c r="C201" s="336"/>
      <c r="D201" s="336"/>
      <c r="E201" s="336"/>
      <c r="F201" s="336"/>
      <c r="G201" s="336"/>
      <c r="H201" s="336"/>
      <c r="I201" s="336"/>
      <c r="J201" s="336"/>
      <c r="K201" s="336"/>
      <c r="L201" s="336"/>
      <c r="M201" s="336"/>
      <c r="N201" s="336"/>
      <c r="O201" s="336"/>
      <c r="P201" s="336"/>
      <c r="Q201" s="336"/>
    </row>
    <row r="202" ht="15.75" customHeight="1">
      <c r="A202" s="336"/>
      <c r="B202" s="336"/>
      <c r="C202" s="336"/>
      <c r="D202" s="336"/>
      <c r="E202" s="336"/>
      <c r="F202" s="336"/>
      <c r="G202" s="336"/>
      <c r="H202" s="336"/>
      <c r="I202" s="336"/>
      <c r="J202" s="336"/>
      <c r="K202" s="336"/>
      <c r="L202" s="336"/>
      <c r="M202" s="336"/>
      <c r="N202" s="336"/>
      <c r="O202" s="336"/>
      <c r="P202" s="336"/>
      <c r="Q202" s="336"/>
    </row>
    <row r="203" ht="15.75" customHeight="1">
      <c r="A203" s="336"/>
      <c r="B203" s="336"/>
      <c r="C203" s="336"/>
      <c r="D203" s="336"/>
      <c r="E203" s="336"/>
      <c r="F203" s="336"/>
      <c r="G203" s="336"/>
      <c r="H203" s="336"/>
      <c r="I203" s="336"/>
      <c r="J203" s="336"/>
      <c r="K203" s="336"/>
      <c r="L203" s="336"/>
      <c r="M203" s="336"/>
      <c r="N203" s="336"/>
      <c r="O203" s="336"/>
      <c r="P203" s="336"/>
      <c r="Q203" s="336"/>
    </row>
    <row r="204" ht="15.75" customHeight="1">
      <c r="A204" s="336"/>
      <c r="B204" s="336"/>
      <c r="C204" s="336"/>
      <c r="D204" s="336"/>
      <c r="E204" s="336"/>
      <c r="F204" s="336"/>
      <c r="G204" s="336"/>
      <c r="H204" s="336"/>
      <c r="I204" s="336"/>
      <c r="J204" s="336"/>
      <c r="K204" s="336"/>
      <c r="L204" s="336"/>
      <c r="M204" s="336"/>
      <c r="N204" s="336"/>
      <c r="O204" s="336"/>
      <c r="P204" s="336"/>
      <c r="Q204" s="336"/>
    </row>
    <row r="205" ht="15.75" customHeight="1">
      <c r="A205" s="336"/>
      <c r="B205" s="336"/>
      <c r="C205" s="336"/>
      <c r="D205" s="336"/>
      <c r="E205" s="336"/>
      <c r="F205" s="336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  <c r="Q205" s="336"/>
    </row>
    <row r="206" ht="15.75" customHeight="1">
      <c r="A206" s="336"/>
      <c r="B206" s="336"/>
      <c r="C206" s="336"/>
      <c r="D206" s="336"/>
      <c r="E206" s="336"/>
      <c r="F206" s="336"/>
      <c r="G206" s="336"/>
      <c r="H206" s="336"/>
      <c r="I206" s="336"/>
      <c r="J206" s="336"/>
      <c r="K206" s="336"/>
      <c r="L206" s="336"/>
      <c r="M206" s="336"/>
      <c r="N206" s="336"/>
      <c r="O206" s="336"/>
      <c r="P206" s="336"/>
      <c r="Q206" s="336"/>
    </row>
    <row r="207" ht="15.75" customHeight="1">
      <c r="A207" s="336"/>
      <c r="B207" s="336"/>
      <c r="C207" s="336"/>
      <c r="D207" s="336"/>
      <c r="E207" s="336"/>
      <c r="F207" s="336"/>
      <c r="G207" s="336"/>
      <c r="H207" s="336"/>
      <c r="I207" s="336"/>
      <c r="J207" s="336"/>
      <c r="K207" s="336"/>
      <c r="L207" s="336"/>
      <c r="M207" s="336"/>
      <c r="N207" s="336"/>
      <c r="O207" s="336"/>
      <c r="P207" s="336"/>
      <c r="Q207" s="336"/>
    </row>
    <row r="208" ht="15.75" customHeight="1">
      <c r="A208" s="336"/>
      <c r="B208" s="336"/>
      <c r="C208" s="336"/>
      <c r="D208" s="336"/>
      <c r="E208" s="336"/>
      <c r="F208" s="336"/>
      <c r="G208" s="336"/>
      <c r="H208" s="336"/>
      <c r="I208" s="336"/>
      <c r="J208" s="336"/>
      <c r="K208" s="336"/>
      <c r="L208" s="336"/>
      <c r="M208" s="336"/>
      <c r="N208" s="336"/>
      <c r="O208" s="336"/>
      <c r="P208" s="336"/>
      <c r="Q208" s="336"/>
    </row>
    <row r="209" ht="15.75" customHeight="1">
      <c r="A209" s="336"/>
      <c r="B209" s="336"/>
      <c r="C209" s="336"/>
      <c r="D209" s="336"/>
      <c r="E209" s="336"/>
      <c r="F209" s="336"/>
      <c r="G209" s="336"/>
      <c r="H209" s="336"/>
      <c r="I209" s="336"/>
      <c r="J209" s="336"/>
      <c r="K209" s="336"/>
      <c r="L209" s="336"/>
      <c r="M209" s="336"/>
      <c r="N209" s="336"/>
      <c r="O209" s="336"/>
      <c r="P209" s="336"/>
      <c r="Q209" s="336"/>
    </row>
    <row r="210" ht="15.75" customHeight="1">
      <c r="A210" s="336"/>
      <c r="B210" s="336"/>
      <c r="C210" s="336"/>
      <c r="D210" s="336"/>
      <c r="E210" s="336"/>
      <c r="F210" s="336"/>
      <c r="G210" s="336"/>
      <c r="H210" s="336"/>
      <c r="I210" s="336"/>
      <c r="J210" s="336"/>
      <c r="K210" s="336"/>
      <c r="L210" s="336"/>
      <c r="M210" s="336"/>
      <c r="N210" s="336"/>
      <c r="O210" s="336"/>
      <c r="P210" s="336"/>
      <c r="Q210" s="336"/>
    </row>
    <row r="211" ht="15.75" customHeight="1">
      <c r="A211" s="336"/>
      <c r="B211" s="336"/>
      <c r="C211" s="336"/>
      <c r="D211" s="336"/>
      <c r="E211" s="336"/>
      <c r="F211" s="336"/>
      <c r="G211" s="336"/>
      <c r="H211" s="336"/>
      <c r="I211" s="336"/>
      <c r="J211" s="336"/>
      <c r="K211" s="336"/>
      <c r="L211" s="336"/>
      <c r="M211" s="336"/>
      <c r="N211" s="336"/>
      <c r="O211" s="336"/>
      <c r="P211" s="336"/>
      <c r="Q211" s="336"/>
    </row>
    <row r="212" ht="15.75" customHeight="1">
      <c r="A212" s="336"/>
      <c r="B212" s="336"/>
      <c r="C212" s="336"/>
      <c r="D212" s="336"/>
      <c r="E212" s="336"/>
      <c r="F212" s="336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  <c r="Q212" s="336"/>
    </row>
    <row r="213" ht="15.75" customHeight="1">
      <c r="A213" s="336"/>
      <c r="B213" s="336"/>
      <c r="C213" s="336"/>
      <c r="D213" s="336"/>
      <c r="E213" s="336"/>
      <c r="F213" s="336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  <c r="Q213" s="336"/>
    </row>
    <row r="214" ht="15.75" customHeight="1">
      <c r="A214" s="336"/>
      <c r="B214" s="336"/>
      <c r="C214" s="336"/>
      <c r="D214" s="336"/>
      <c r="E214" s="336"/>
      <c r="F214" s="336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  <c r="Q214" s="336"/>
    </row>
    <row r="215" ht="15.75" customHeight="1">
      <c r="A215" s="336"/>
      <c r="B215" s="336"/>
      <c r="C215" s="336"/>
      <c r="D215" s="336"/>
      <c r="E215" s="336"/>
      <c r="F215" s="336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</row>
    <row r="216" ht="15.75" customHeight="1">
      <c r="A216" s="336"/>
      <c r="B216" s="336"/>
      <c r="C216" s="336"/>
      <c r="D216" s="336"/>
      <c r="E216" s="336"/>
      <c r="F216" s="336"/>
      <c r="G216" s="336"/>
      <c r="H216" s="336"/>
      <c r="I216" s="336"/>
      <c r="J216" s="336"/>
      <c r="K216" s="336"/>
      <c r="L216" s="336"/>
      <c r="M216" s="336"/>
      <c r="N216" s="336"/>
      <c r="O216" s="336"/>
      <c r="P216" s="336"/>
      <c r="Q216" s="336"/>
    </row>
    <row r="217" ht="15.75" customHeight="1">
      <c r="A217" s="336"/>
      <c r="B217" s="336"/>
      <c r="C217" s="336"/>
      <c r="D217" s="336"/>
      <c r="E217" s="336"/>
      <c r="F217" s="336"/>
      <c r="G217" s="336"/>
      <c r="H217" s="336"/>
      <c r="I217" s="336"/>
      <c r="J217" s="336"/>
      <c r="K217" s="336"/>
      <c r="L217" s="336"/>
      <c r="M217" s="336"/>
      <c r="N217" s="336"/>
      <c r="O217" s="336"/>
      <c r="P217" s="336"/>
      <c r="Q217" s="336"/>
    </row>
    <row r="218" ht="15.75" customHeight="1">
      <c r="A218" s="336"/>
      <c r="B218" s="336"/>
      <c r="C218" s="336"/>
      <c r="D218" s="336"/>
      <c r="E218" s="336"/>
      <c r="F218" s="336"/>
      <c r="G218" s="336"/>
      <c r="H218" s="336"/>
      <c r="I218" s="336"/>
      <c r="J218" s="336"/>
      <c r="K218" s="336"/>
      <c r="L218" s="336"/>
      <c r="M218" s="336"/>
      <c r="N218" s="336"/>
      <c r="O218" s="336"/>
      <c r="P218" s="336"/>
      <c r="Q218" s="336"/>
    </row>
    <row r="219" ht="15.75" customHeight="1">
      <c r="A219" s="336"/>
      <c r="B219" s="336"/>
      <c r="C219" s="336"/>
      <c r="D219" s="336"/>
      <c r="E219" s="336"/>
      <c r="F219" s="336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  <c r="Q219" s="336"/>
    </row>
    <row r="220" ht="15.75" customHeight="1">
      <c r="A220" s="336"/>
      <c r="B220" s="336"/>
      <c r="C220" s="336"/>
      <c r="D220" s="336"/>
      <c r="E220" s="336"/>
      <c r="F220" s="336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  <c r="Q220" s="336"/>
    </row>
    <row r="221" ht="15.75" customHeight="1">
      <c r="A221" s="336"/>
      <c r="B221" s="336"/>
      <c r="C221" s="336"/>
      <c r="D221" s="336"/>
      <c r="E221" s="336"/>
      <c r="F221" s="336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  <c r="Q221" s="336"/>
    </row>
    <row r="222" ht="15.75" customHeight="1">
      <c r="A222" s="336"/>
      <c r="B222" s="336"/>
      <c r="C222" s="336"/>
      <c r="D222" s="336"/>
      <c r="E222" s="336"/>
      <c r="F222" s="336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  <c r="Q222" s="336"/>
    </row>
    <row r="223" ht="15.75" customHeight="1">
      <c r="A223" s="336"/>
      <c r="B223" s="336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</row>
    <row r="224" ht="15.75" customHeight="1">
      <c r="A224" s="336"/>
      <c r="B224" s="336"/>
      <c r="C224" s="336"/>
      <c r="D224" s="336"/>
      <c r="E224" s="336"/>
      <c r="F224" s="336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  <c r="Q224" s="336"/>
    </row>
    <row r="225" ht="15.75" customHeight="1">
      <c r="A225" s="336"/>
      <c r="B225" s="336"/>
      <c r="C225" s="336"/>
      <c r="D225" s="336"/>
      <c r="E225" s="336"/>
      <c r="F225" s="336"/>
      <c r="G225" s="336"/>
      <c r="H225" s="336"/>
      <c r="I225" s="336"/>
      <c r="J225" s="336"/>
      <c r="K225" s="336"/>
      <c r="L225" s="336"/>
      <c r="M225" s="336"/>
      <c r="N225" s="336"/>
      <c r="O225" s="336"/>
      <c r="P225" s="336"/>
      <c r="Q225" s="336"/>
    </row>
    <row r="226" ht="15.75" customHeight="1">
      <c r="A226" s="336"/>
      <c r="B226" s="336"/>
      <c r="C226" s="336"/>
      <c r="D226" s="336"/>
      <c r="E226" s="336"/>
      <c r="F226" s="336"/>
      <c r="G226" s="336"/>
      <c r="H226" s="336"/>
      <c r="I226" s="336"/>
      <c r="J226" s="336"/>
      <c r="K226" s="336"/>
      <c r="L226" s="336"/>
      <c r="M226" s="336"/>
      <c r="N226" s="336"/>
      <c r="O226" s="336"/>
      <c r="P226" s="336"/>
      <c r="Q226" s="336"/>
    </row>
    <row r="227" ht="15.75" customHeight="1">
      <c r="A227" s="336"/>
      <c r="B227" s="336"/>
      <c r="C227" s="336"/>
      <c r="D227" s="336"/>
      <c r="E227" s="336"/>
      <c r="F227" s="336"/>
      <c r="G227" s="336"/>
      <c r="H227" s="336"/>
      <c r="I227" s="336"/>
      <c r="J227" s="336"/>
      <c r="K227" s="336"/>
      <c r="L227" s="336"/>
      <c r="M227" s="336"/>
      <c r="N227" s="336"/>
      <c r="O227" s="336"/>
      <c r="P227" s="336"/>
      <c r="Q227" s="336"/>
    </row>
    <row r="228" ht="15.75" customHeight="1">
      <c r="A228" s="336"/>
      <c r="B228" s="336"/>
      <c r="C228" s="336"/>
      <c r="D228" s="336"/>
      <c r="E228" s="336"/>
      <c r="F228" s="336"/>
      <c r="G228" s="336"/>
      <c r="H228" s="336"/>
      <c r="I228" s="336"/>
      <c r="J228" s="336"/>
      <c r="K228" s="336"/>
      <c r="L228" s="336"/>
      <c r="M228" s="336"/>
      <c r="N228" s="336"/>
      <c r="O228" s="336"/>
      <c r="P228" s="336"/>
      <c r="Q228" s="336"/>
    </row>
    <row r="229" ht="15.75" customHeight="1">
      <c r="A229" s="336"/>
      <c r="B229" s="336"/>
      <c r="C229" s="336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  <c r="Q229" s="336"/>
    </row>
    <row r="230" ht="15.75" customHeight="1">
      <c r="A230" s="336"/>
      <c r="B230" s="336"/>
      <c r="C230" s="336"/>
      <c r="D230" s="336"/>
      <c r="E230" s="336"/>
      <c r="F230" s="336"/>
      <c r="G230" s="336"/>
      <c r="H230" s="336"/>
      <c r="I230" s="336"/>
      <c r="J230" s="336"/>
      <c r="K230" s="336"/>
      <c r="L230" s="336"/>
      <c r="M230" s="336"/>
      <c r="N230" s="336"/>
      <c r="O230" s="336"/>
      <c r="P230" s="336"/>
      <c r="Q230" s="336"/>
    </row>
    <row r="231" ht="15.75" customHeight="1">
      <c r="A231" s="336"/>
      <c r="B231" s="336"/>
      <c r="C231" s="336"/>
      <c r="D231" s="336"/>
      <c r="E231" s="336"/>
      <c r="F231" s="336"/>
      <c r="G231" s="336"/>
      <c r="H231" s="336"/>
      <c r="I231" s="336"/>
      <c r="J231" s="336"/>
      <c r="K231" s="336"/>
      <c r="L231" s="336"/>
      <c r="M231" s="336"/>
      <c r="N231" s="336"/>
      <c r="O231" s="336"/>
      <c r="P231" s="336"/>
      <c r="Q231" s="336"/>
    </row>
    <row r="232" ht="15.75" customHeight="1">
      <c r="A232" s="336"/>
      <c r="B232" s="336"/>
      <c r="C232" s="336"/>
      <c r="D232" s="336"/>
      <c r="E232" s="336"/>
      <c r="F232" s="336"/>
      <c r="G232" s="336"/>
      <c r="H232" s="336"/>
      <c r="I232" s="336"/>
      <c r="J232" s="336"/>
      <c r="K232" s="336"/>
      <c r="L232" s="336"/>
      <c r="M232" s="336"/>
      <c r="N232" s="336"/>
      <c r="O232" s="336"/>
      <c r="P232" s="336"/>
      <c r="Q232" s="336"/>
    </row>
    <row r="233" ht="15.75" customHeight="1">
      <c r="A233" s="336"/>
      <c r="B233" s="336"/>
      <c r="C233" s="336"/>
      <c r="D233" s="336"/>
      <c r="E233" s="336"/>
      <c r="F233" s="336"/>
      <c r="G233" s="336"/>
      <c r="H233" s="336"/>
      <c r="I233" s="336"/>
      <c r="J233" s="336"/>
      <c r="K233" s="336"/>
      <c r="L233" s="336"/>
      <c r="M233" s="336"/>
      <c r="N233" s="336"/>
      <c r="O233" s="336"/>
      <c r="P233" s="336"/>
      <c r="Q233" s="336"/>
    </row>
    <row r="234" ht="15.75" customHeight="1">
      <c r="A234" s="336"/>
      <c r="B234" s="336"/>
      <c r="C234" s="336"/>
      <c r="D234" s="336"/>
      <c r="E234" s="336"/>
      <c r="F234" s="336"/>
      <c r="G234" s="336"/>
      <c r="H234" s="336"/>
      <c r="I234" s="336"/>
      <c r="J234" s="336"/>
      <c r="K234" s="336"/>
      <c r="L234" s="336"/>
      <c r="M234" s="336"/>
      <c r="N234" s="336"/>
      <c r="O234" s="336"/>
      <c r="P234" s="336"/>
      <c r="Q234" s="336"/>
    </row>
    <row r="235" ht="15.75" customHeight="1">
      <c r="A235" s="336"/>
      <c r="B235" s="336"/>
      <c r="C235" s="336"/>
      <c r="D235" s="336"/>
      <c r="E235" s="336"/>
      <c r="F235" s="336"/>
      <c r="G235" s="336"/>
      <c r="H235" s="336"/>
      <c r="I235" s="336"/>
      <c r="J235" s="336"/>
      <c r="K235" s="336"/>
      <c r="L235" s="336"/>
      <c r="M235" s="336"/>
      <c r="N235" s="336"/>
      <c r="O235" s="336"/>
      <c r="P235" s="336"/>
      <c r="Q235" s="336"/>
    </row>
    <row r="236" ht="15.75" customHeight="1">
      <c r="A236" s="336"/>
      <c r="B236" s="336"/>
      <c r="C236" s="336"/>
      <c r="D236" s="336"/>
      <c r="E236" s="336"/>
      <c r="F236" s="336"/>
      <c r="G236" s="336"/>
      <c r="H236" s="336"/>
      <c r="I236" s="336"/>
      <c r="J236" s="336"/>
      <c r="K236" s="336"/>
      <c r="L236" s="336"/>
      <c r="M236" s="336"/>
      <c r="N236" s="336"/>
      <c r="O236" s="336"/>
      <c r="P236" s="336"/>
      <c r="Q236" s="336"/>
    </row>
    <row r="237" ht="15.75" customHeight="1">
      <c r="A237" s="336"/>
      <c r="B237" s="336"/>
      <c r="C237" s="336"/>
      <c r="D237" s="336"/>
      <c r="E237" s="336"/>
      <c r="F237" s="336"/>
      <c r="G237" s="336"/>
      <c r="H237" s="336"/>
      <c r="I237" s="336"/>
      <c r="J237" s="336"/>
      <c r="K237" s="336"/>
      <c r="L237" s="336"/>
      <c r="M237" s="336"/>
      <c r="N237" s="336"/>
      <c r="O237" s="336"/>
      <c r="P237" s="336"/>
      <c r="Q237" s="336"/>
    </row>
    <row r="238" ht="15.75" customHeight="1">
      <c r="A238" s="336"/>
      <c r="B238" s="336"/>
      <c r="C238" s="336"/>
      <c r="D238" s="336"/>
      <c r="E238" s="336"/>
      <c r="F238" s="336"/>
      <c r="G238" s="336"/>
      <c r="H238" s="336"/>
      <c r="I238" s="336"/>
      <c r="J238" s="336"/>
      <c r="K238" s="336"/>
      <c r="L238" s="336"/>
      <c r="M238" s="336"/>
      <c r="N238" s="336"/>
      <c r="O238" s="336"/>
      <c r="P238" s="336"/>
      <c r="Q238" s="336"/>
    </row>
    <row r="239" ht="15.75" customHeight="1">
      <c r="A239" s="336"/>
      <c r="B239" s="336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  <c r="Q239" s="336"/>
    </row>
    <row r="240" ht="15.75" customHeight="1">
      <c r="A240" s="336"/>
      <c r="B240" s="336"/>
      <c r="C240" s="336"/>
      <c r="D240" s="336"/>
      <c r="E240" s="336"/>
      <c r="F240" s="336"/>
      <c r="G240" s="336"/>
      <c r="H240" s="336"/>
      <c r="I240" s="336"/>
      <c r="J240" s="336"/>
      <c r="K240" s="336"/>
      <c r="L240" s="336"/>
      <c r="M240" s="336"/>
      <c r="N240" s="336"/>
      <c r="O240" s="336"/>
      <c r="P240" s="336"/>
      <c r="Q240" s="336"/>
    </row>
    <row r="241" ht="15.75" customHeight="1">
      <c r="A241" s="336"/>
      <c r="B241" s="336"/>
      <c r="C241" s="336"/>
      <c r="D241" s="336"/>
      <c r="E241" s="336"/>
      <c r="F241" s="336"/>
      <c r="G241" s="336"/>
      <c r="H241" s="336"/>
      <c r="I241" s="336"/>
      <c r="J241" s="336"/>
      <c r="K241" s="336"/>
      <c r="L241" s="336"/>
      <c r="M241" s="336"/>
      <c r="N241" s="336"/>
      <c r="O241" s="336"/>
      <c r="P241" s="336"/>
      <c r="Q241" s="336"/>
    </row>
    <row r="242" ht="15.75" customHeight="1">
      <c r="A242" s="336"/>
      <c r="B242" s="336"/>
      <c r="C242" s="336"/>
      <c r="D242" s="336"/>
      <c r="E242" s="336"/>
      <c r="F242" s="336"/>
      <c r="G242" s="336"/>
      <c r="H242" s="336"/>
      <c r="I242" s="336"/>
      <c r="J242" s="336"/>
      <c r="K242" s="336"/>
      <c r="L242" s="336"/>
      <c r="M242" s="336"/>
      <c r="N242" s="336"/>
      <c r="O242" s="336"/>
      <c r="P242" s="336"/>
      <c r="Q242" s="336"/>
    </row>
    <row r="243" ht="15.75" customHeight="1">
      <c r="A243" s="336"/>
      <c r="B243" s="336"/>
      <c r="C243" s="336"/>
      <c r="D243" s="336"/>
      <c r="E243" s="336"/>
      <c r="F243" s="336"/>
      <c r="G243" s="336"/>
      <c r="H243" s="336"/>
      <c r="I243" s="336"/>
      <c r="J243" s="336"/>
      <c r="K243" s="336"/>
      <c r="L243" s="336"/>
      <c r="M243" s="336"/>
      <c r="N243" s="336"/>
      <c r="O243" s="336"/>
      <c r="P243" s="336"/>
      <c r="Q243" s="336"/>
    </row>
    <row r="244" ht="15.75" customHeight="1">
      <c r="A244" s="336"/>
      <c r="B244" s="336"/>
      <c r="C244" s="336"/>
      <c r="D244" s="336"/>
      <c r="E244" s="336"/>
      <c r="F244" s="336"/>
      <c r="G244" s="336"/>
      <c r="H244" s="336"/>
      <c r="I244" s="336"/>
      <c r="J244" s="336"/>
      <c r="K244" s="336"/>
      <c r="L244" s="336"/>
      <c r="M244" s="336"/>
      <c r="N244" s="336"/>
      <c r="O244" s="336"/>
      <c r="P244" s="336"/>
      <c r="Q244" s="336"/>
    </row>
    <row r="245" ht="15.75" customHeight="1">
      <c r="A245" s="336"/>
      <c r="B245" s="336"/>
      <c r="C245" s="336"/>
      <c r="D245" s="336"/>
      <c r="E245" s="336"/>
      <c r="F245" s="336"/>
      <c r="G245" s="336"/>
      <c r="H245" s="336"/>
      <c r="I245" s="336"/>
      <c r="J245" s="336"/>
      <c r="K245" s="336"/>
      <c r="L245" s="336"/>
      <c r="M245" s="336"/>
      <c r="N245" s="336"/>
      <c r="O245" s="336"/>
      <c r="P245" s="336"/>
      <c r="Q245" s="336"/>
    </row>
    <row r="246" ht="15.75" customHeight="1">
      <c r="A246" s="336"/>
      <c r="B246" s="336"/>
      <c r="C246" s="336"/>
      <c r="D246" s="336"/>
      <c r="E246" s="336"/>
      <c r="F246" s="336"/>
      <c r="G246" s="336"/>
      <c r="H246" s="336"/>
      <c r="I246" s="336"/>
      <c r="J246" s="336"/>
      <c r="K246" s="336"/>
      <c r="L246" s="336"/>
      <c r="M246" s="336"/>
      <c r="N246" s="336"/>
      <c r="O246" s="336"/>
      <c r="P246" s="336"/>
      <c r="Q246" s="336"/>
    </row>
    <row r="247" ht="15.75" customHeight="1">
      <c r="A247" s="336"/>
      <c r="B247" s="336"/>
      <c r="C247" s="336"/>
      <c r="D247" s="336"/>
      <c r="E247" s="336"/>
      <c r="F247" s="336"/>
      <c r="G247" s="336"/>
      <c r="H247" s="336"/>
      <c r="I247" s="336"/>
      <c r="J247" s="336"/>
      <c r="K247" s="336"/>
      <c r="L247" s="336"/>
      <c r="M247" s="336"/>
      <c r="N247" s="336"/>
      <c r="O247" s="336"/>
      <c r="P247" s="336"/>
      <c r="Q247" s="336"/>
    </row>
    <row r="248" ht="15.75" customHeight="1">
      <c r="A248" s="336"/>
      <c r="B248" s="336"/>
      <c r="C248" s="336"/>
      <c r="D248" s="336"/>
      <c r="E248" s="336"/>
      <c r="F248" s="336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  <c r="Q248" s="336"/>
    </row>
    <row r="249" ht="15.75" customHeight="1">
      <c r="A249" s="336"/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</row>
    <row r="250" ht="15.75" customHeight="1">
      <c r="A250" s="336"/>
      <c r="B250" s="336"/>
      <c r="C250" s="336"/>
      <c r="D250" s="336"/>
      <c r="E250" s="336"/>
      <c r="F250" s="336"/>
      <c r="G250" s="336"/>
      <c r="H250" s="336"/>
      <c r="I250" s="336"/>
      <c r="J250" s="336"/>
      <c r="K250" s="336"/>
      <c r="L250" s="336"/>
      <c r="M250" s="336"/>
      <c r="N250" s="336"/>
      <c r="O250" s="336"/>
      <c r="P250" s="336"/>
      <c r="Q250" s="336"/>
    </row>
    <row r="251" ht="15.75" customHeight="1">
      <c r="A251" s="336"/>
      <c r="B251" s="336"/>
      <c r="C251" s="336"/>
      <c r="D251" s="336"/>
      <c r="E251" s="336"/>
      <c r="F251" s="336"/>
      <c r="G251" s="336"/>
      <c r="H251" s="336"/>
      <c r="I251" s="336"/>
      <c r="J251" s="336"/>
      <c r="K251" s="336"/>
      <c r="L251" s="336"/>
      <c r="M251" s="336"/>
      <c r="N251" s="336"/>
      <c r="O251" s="336"/>
      <c r="P251" s="336"/>
      <c r="Q251" s="336"/>
    </row>
    <row r="252" ht="15.75" customHeight="1">
      <c r="A252" s="336"/>
      <c r="B252" s="336"/>
      <c r="C252" s="336"/>
      <c r="D252" s="336"/>
      <c r="E252" s="336"/>
      <c r="F252" s="336"/>
      <c r="G252" s="336"/>
      <c r="H252" s="336"/>
      <c r="I252" s="336"/>
      <c r="J252" s="336"/>
      <c r="K252" s="336"/>
      <c r="L252" s="336"/>
      <c r="M252" s="336"/>
      <c r="N252" s="336"/>
      <c r="O252" s="336"/>
      <c r="P252" s="336"/>
      <c r="Q252" s="336"/>
    </row>
    <row r="253" ht="15.75" customHeight="1">
      <c r="A253" s="336"/>
      <c r="B253" s="336"/>
      <c r="C253" s="336"/>
      <c r="D253" s="336"/>
      <c r="E253" s="336"/>
      <c r="F253" s="336"/>
      <c r="G253" s="336"/>
      <c r="H253" s="336"/>
      <c r="I253" s="336"/>
      <c r="J253" s="336"/>
      <c r="K253" s="336"/>
      <c r="L253" s="336"/>
      <c r="M253" s="336"/>
      <c r="N253" s="336"/>
      <c r="O253" s="336"/>
      <c r="P253" s="336"/>
      <c r="Q253" s="336"/>
    </row>
    <row r="254" ht="15.75" customHeight="1">
      <c r="A254" s="336"/>
      <c r="B254" s="336"/>
      <c r="C254" s="336"/>
      <c r="D254" s="336"/>
      <c r="E254" s="336"/>
      <c r="F254" s="336"/>
      <c r="G254" s="336"/>
      <c r="H254" s="336"/>
      <c r="I254" s="336"/>
      <c r="J254" s="336"/>
      <c r="K254" s="336"/>
      <c r="L254" s="336"/>
      <c r="M254" s="336"/>
      <c r="N254" s="336"/>
      <c r="O254" s="336"/>
      <c r="P254" s="336"/>
      <c r="Q254" s="336"/>
    </row>
    <row r="255" ht="15.75" customHeight="1">
      <c r="A255" s="336"/>
      <c r="B255" s="336"/>
      <c r="C255" s="336"/>
      <c r="D255" s="336"/>
      <c r="E255" s="336"/>
      <c r="F255" s="336"/>
      <c r="G255" s="336"/>
      <c r="H255" s="336"/>
      <c r="I255" s="336"/>
      <c r="J255" s="336"/>
      <c r="K255" s="336"/>
      <c r="L255" s="336"/>
      <c r="M255" s="336"/>
      <c r="N255" s="336"/>
      <c r="O255" s="336"/>
      <c r="P255" s="336"/>
      <c r="Q255" s="336"/>
    </row>
    <row r="256" ht="15.75" customHeight="1">
      <c r="A256" s="336"/>
      <c r="B256" s="336"/>
      <c r="C256" s="336"/>
      <c r="D256" s="336"/>
      <c r="E256" s="336"/>
      <c r="F256" s="336"/>
      <c r="G256" s="336"/>
      <c r="H256" s="336"/>
      <c r="I256" s="336"/>
      <c r="J256" s="336"/>
      <c r="K256" s="336"/>
      <c r="L256" s="336"/>
      <c r="M256" s="336"/>
      <c r="N256" s="336"/>
      <c r="O256" s="336"/>
      <c r="P256" s="336"/>
      <c r="Q256" s="336"/>
    </row>
    <row r="257" ht="15.75" customHeight="1">
      <c r="A257" s="336"/>
      <c r="B257" s="336"/>
      <c r="C257" s="336"/>
      <c r="D257" s="336"/>
      <c r="E257" s="336"/>
      <c r="F257" s="336"/>
      <c r="G257" s="336"/>
      <c r="H257" s="336"/>
      <c r="I257" s="336"/>
      <c r="J257" s="336"/>
      <c r="K257" s="336"/>
      <c r="L257" s="336"/>
      <c r="M257" s="336"/>
      <c r="N257" s="336"/>
      <c r="O257" s="336"/>
      <c r="P257" s="336"/>
      <c r="Q257" s="336"/>
    </row>
    <row r="258" ht="15.75" customHeight="1">
      <c r="A258" s="336"/>
      <c r="B258" s="336"/>
      <c r="C258" s="336"/>
      <c r="D258" s="336"/>
      <c r="E258" s="336"/>
      <c r="F258" s="336"/>
      <c r="G258" s="336"/>
      <c r="H258" s="336"/>
      <c r="I258" s="336"/>
      <c r="J258" s="336"/>
      <c r="K258" s="336"/>
      <c r="L258" s="336"/>
      <c r="M258" s="336"/>
      <c r="N258" s="336"/>
      <c r="O258" s="336"/>
      <c r="P258" s="336"/>
      <c r="Q258" s="336"/>
    </row>
    <row r="259" ht="15.75" customHeight="1">
      <c r="A259" s="336"/>
      <c r="B259" s="336"/>
      <c r="C259" s="336"/>
      <c r="D259" s="336"/>
      <c r="E259" s="336"/>
      <c r="F259" s="336"/>
      <c r="G259" s="336"/>
      <c r="H259" s="336"/>
      <c r="I259" s="336"/>
      <c r="J259" s="336"/>
      <c r="K259" s="336"/>
      <c r="L259" s="336"/>
      <c r="M259" s="336"/>
      <c r="N259" s="336"/>
      <c r="O259" s="336"/>
      <c r="P259" s="336"/>
      <c r="Q259" s="336"/>
    </row>
    <row r="260" ht="15.75" customHeight="1">
      <c r="A260" s="336"/>
      <c r="B260" s="336"/>
      <c r="C260" s="336"/>
      <c r="D260" s="336"/>
      <c r="E260" s="336"/>
      <c r="F260" s="336"/>
      <c r="G260" s="336"/>
      <c r="H260" s="336"/>
      <c r="I260" s="336"/>
      <c r="J260" s="336"/>
      <c r="K260" s="336"/>
      <c r="L260" s="336"/>
      <c r="M260" s="336"/>
      <c r="N260" s="336"/>
      <c r="O260" s="336"/>
      <c r="P260" s="336"/>
      <c r="Q260" s="336"/>
    </row>
    <row r="261" ht="15.75" customHeight="1">
      <c r="A261" s="336"/>
      <c r="B261" s="336"/>
      <c r="C261" s="336"/>
      <c r="D261" s="336"/>
      <c r="E261" s="336"/>
      <c r="F261" s="336"/>
      <c r="G261" s="336"/>
      <c r="H261" s="336"/>
      <c r="I261" s="336"/>
      <c r="J261" s="336"/>
      <c r="K261" s="336"/>
      <c r="L261" s="336"/>
      <c r="M261" s="336"/>
      <c r="N261" s="336"/>
      <c r="O261" s="336"/>
      <c r="P261" s="336"/>
      <c r="Q261" s="336"/>
    </row>
    <row r="262" ht="15.75" customHeight="1">
      <c r="A262" s="336"/>
      <c r="B262" s="336"/>
      <c r="C262" s="336"/>
      <c r="D262" s="336"/>
      <c r="E262" s="336"/>
      <c r="F262" s="336"/>
      <c r="G262" s="336"/>
      <c r="H262" s="336"/>
      <c r="I262" s="336"/>
      <c r="J262" s="336"/>
      <c r="K262" s="336"/>
      <c r="L262" s="336"/>
      <c r="M262" s="336"/>
      <c r="N262" s="336"/>
      <c r="O262" s="336"/>
      <c r="P262" s="336"/>
      <c r="Q262" s="336"/>
    </row>
    <row r="263" ht="15.75" customHeight="1">
      <c r="A263" s="336"/>
      <c r="B263" s="336"/>
      <c r="C263" s="336"/>
      <c r="D263" s="336"/>
      <c r="E263" s="336"/>
      <c r="F263" s="336"/>
      <c r="G263" s="336"/>
      <c r="H263" s="336"/>
      <c r="I263" s="336"/>
      <c r="J263" s="336"/>
      <c r="K263" s="336"/>
      <c r="L263" s="336"/>
      <c r="M263" s="336"/>
      <c r="N263" s="336"/>
      <c r="O263" s="336"/>
      <c r="P263" s="336"/>
      <c r="Q263" s="336"/>
    </row>
    <row r="264" ht="15.75" customHeight="1">
      <c r="A264" s="336"/>
      <c r="B264" s="336"/>
      <c r="C264" s="336"/>
      <c r="D264" s="336"/>
      <c r="E264" s="336"/>
      <c r="F264" s="336"/>
      <c r="G264" s="336"/>
      <c r="H264" s="336"/>
      <c r="I264" s="336"/>
      <c r="J264" s="336"/>
      <c r="K264" s="336"/>
      <c r="L264" s="336"/>
      <c r="M264" s="336"/>
      <c r="N264" s="336"/>
      <c r="O264" s="336"/>
      <c r="P264" s="336"/>
      <c r="Q264" s="336"/>
    </row>
    <row r="265" ht="15.75" customHeight="1">
      <c r="A265" s="336"/>
      <c r="B265" s="336"/>
      <c r="C265" s="336"/>
      <c r="D265" s="336"/>
      <c r="E265" s="336"/>
      <c r="F265" s="336"/>
      <c r="G265" s="336"/>
      <c r="H265" s="336"/>
      <c r="I265" s="336"/>
      <c r="J265" s="336"/>
      <c r="K265" s="336"/>
      <c r="L265" s="336"/>
      <c r="M265" s="336"/>
      <c r="N265" s="336"/>
      <c r="O265" s="336"/>
      <c r="P265" s="336"/>
      <c r="Q265" s="336"/>
    </row>
    <row r="266" ht="15.75" customHeight="1">
      <c r="A266" s="336"/>
      <c r="B266" s="336"/>
      <c r="C266" s="336"/>
      <c r="D266" s="336"/>
      <c r="E266" s="336"/>
      <c r="F266" s="336"/>
      <c r="G266" s="336"/>
      <c r="H266" s="336"/>
      <c r="I266" s="336"/>
      <c r="J266" s="336"/>
      <c r="K266" s="336"/>
      <c r="L266" s="336"/>
      <c r="M266" s="336"/>
      <c r="N266" s="336"/>
      <c r="O266" s="336"/>
      <c r="P266" s="336"/>
      <c r="Q266" s="336"/>
    </row>
    <row r="267" ht="15.75" customHeight="1">
      <c r="A267" s="336"/>
      <c r="B267" s="336"/>
      <c r="C267" s="336"/>
      <c r="D267" s="336"/>
      <c r="E267" s="336"/>
      <c r="F267" s="336"/>
      <c r="G267" s="336"/>
      <c r="H267" s="336"/>
      <c r="I267" s="336"/>
      <c r="J267" s="336"/>
      <c r="K267" s="336"/>
      <c r="L267" s="336"/>
      <c r="M267" s="336"/>
      <c r="N267" s="336"/>
      <c r="O267" s="336"/>
      <c r="P267" s="336"/>
      <c r="Q267" s="336"/>
    </row>
    <row r="268" ht="15.75" customHeight="1">
      <c r="A268" s="336"/>
      <c r="B268" s="336"/>
      <c r="C268" s="336"/>
      <c r="D268" s="336"/>
      <c r="E268" s="336"/>
      <c r="F268" s="336"/>
      <c r="G268" s="336"/>
      <c r="H268" s="336"/>
      <c r="I268" s="336"/>
      <c r="J268" s="336"/>
      <c r="K268" s="336"/>
      <c r="L268" s="336"/>
      <c r="M268" s="336"/>
      <c r="N268" s="336"/>
      <c r="O268" s="336"/>
      <c r="P268" s="336"/>
      <c r="Q268" s="336"/>
    </row>
    <row r="269" ht="15.75" customHeight="1">
      <c r="A269" s="336"/>
      <c r="B269" s="336"/>
      <c r="C269" s="336"/>
      <c r="D269" s="336"/>
      <c r="E269" s="336"/>
      <c r="F269" s="336"/>
      <c r="G269" s="336"/>
      <c r="H269" s="336"/>
      <c r="I269" s="336"/>
      <c r="J269" s="336"/>
      <c r="K269" s="336"/>
      <c r="L269" s="336"/>
      <c r="M269" s="336"/>
      <c r="N269" s="336"/>
      <c r="O269" s="336"/>
      <c r="P269" s="336"/>
      <c r="Q269" s="336"/>
    </row>
    <row r="270" ht="15.75" customHeight="1">
      <c r="A270" s="336"/>
      <c r="B270" s="336"/>
      <c r="C270" s="336"/>
      <c r="D270" s="336"/>
      <c r="E270" s="336"/>
      <c r="F270" s="336"/>
      <c r="G270" s="336"/>
      <c r="H270" s="336"/>
      <c r="I270" s="336"/>
      <c r="J270" s="336"/>
      <c r="K270" s="336"/>
      <c r="L270" s="336"/>
      <c r="M270" s="336"/>
      <c r="N270" s="336"/>
      <c r="O270" s="336"/>
      <c r="P270" s="336"/>
      <c r="Q270" s="336"/>
    </row>
    <row r="271" ht="15.75" customHeight="1">
      <c r="A271" s="336"/>
      <c r="B271" s="336"/>
      <c r="C271" s="336"/>
      <c r="D271" s="336"/>
      <c r="E271" s="336"/>
      <c r="F271" s="336"/>
      <c r="G271" s="336"/>
      <c r="H271" s="336"/>
      <c r="I271" s="336"/>
      <c r="J271" s="336"/>
      <c r="K271" s="336"/>
      <c r="L271" s="336"/>
      <c r="M271" s="336"/>
      <c r="N271" s="336"/>
      <c r="O271" s="336"/>
      <c r="P271" s="336"/>
      <c r="Q271" s="336"/>
    </row>
    <row r="272" ht="15.75" customHeight="1">
      <c r="A272" s="336"/>
      <c r="B272" s="336"/>
      <c r="C272" s="336"/>
      <c r="D272" s="336"/>
      <c r="E272" s="336"/>
      <c r="F272" s="336"/>
      <c r="G272" s="336"/>
      <c r="H272" s="336"/>
      <c r="I272" s="336"/>
      <c r="J272" s="336"/>
      <c r="K272" s="336"/>
      <c r="L272" s="336"/>
      <c r="M272" s="336"/>
      <c r="N272" s="336"/>
      <c r="O272" s="336"/>
      <c r="P272" s="336"/>
      <c r="Q272" s="336"/>
    </row>
    <row r="273" ht="15.75" customHeight="1">
      <c r="A273" s="336"/>
      <c r="B273" s="336"/>
      <c r="C273" s="336"/>
      <c r="D273" s="336"/>
      <c r="E273" s="336"/>
      <c r="F273" s="336"/>
      <c r="G273" s="336"/>
      <c r="H273" s="336"/>
      <c r="I273" s="336"/>
      <c r="J273" s="336"/>
      <c r="K273" s="336"/>
      <c r="L273" s="336"/>
      <c r="M273" s="336"/>
      <c r="N273" s="336"/>
      <c r="O273" s="336"/>
      <c r="P273" s="336"/>
      <c r="Q273" s="336"/>
    </row>
    <row r="274" ht="15.75" customHeight="1">
      <c r="A274" s="336"/>
      <c r="B274" s="336"/>
      <c r="C274" s="336"/>
      <c r="D274" s="336"/>
      <c r="E274" s="336"/>
      <c r="F274" s="336"/>
      <c r="G274" s="336"/>
      <c r="H274" s="336"/>
      <c r="I274" s="336"/>
      <c r="J274" s="336"/>
      <c r="K274" s="336"/>
      <c r="L274" s="336"/>
      <c r="M274" s="336"/>
      <c r="N274" s="336"/>
      <c r="O274" s="336"/>
      <c r="P274" s="336"/>
      <c r="Q274" s="336"/>
    </row>
    <row r="275" ht="15.75" customHeight="1">
      <c r="A275" s="336"/>
      <c r="B275" s="336"/>
      <c r="C275" s="336"/>
      <c r="D275" s="336"/>
      <c r="E275" s="336"/>
      <c r="F275" s="336"/>
      <c r="G275" s="336"/>
      <c r="H275" s="336"/>
      <c r="I275" s="336"/>
      <c r="J275" s="336"/>
      <c r="K275" s="336"/>
      <c r="L275" s="336"/>
      <c r="M275" s="336"/>
      <c r="N275" s="336"/>
      <c r="O275" s="336"/>
      <c r="P275" s="336"/>
      <c r="Q275" s="336"/>
    </row>
    <row r="276" ht="15.75" customHeight="1">
      <c r="A276" s="336"/>
      <c r="B276" s="336"/>
      <c r="C276" s="336"/>
      <c r="D276" s="336"/>
      <c r="E276" s="336"/>
      <c r="F276" s="336"/>
      <c r="G276" s="336"/>
      <c r="H276" s="336"/>
      <c r="I276" s="336"/>
      <c r="J276" s="336"/>
      <c r="K276" s="336"/>
      <c r="L276" s="336"/>
      <c r="M276" s="336"/>
      <c r="N276" s="336"/>
      <c r="O276" s="336"/>
      <c r="P276" s="336"/>
      <c r="Q276" s="336"/>
    </row>
    <row r="277" ht="15.75" customHeight="1">
      <c r="A277" s="336"/>
      <c r="B277" s="336"/>
      <c r="C277" s="336"/>
      <c r="D277" s="336"/>
      <c r="E277" s="336"/>
      <c r="F277" s="336"/>
      <c r="G277" s="336"/>
      <c r="H277" s="336"/>
      <c r="I277" s="336"/>
      <c r="J277" s="336"/>
      <c r="K277" s="336"/>
      <c r="L277" s="336"/>
      <c r="M277" s="336"/>
      <c r="N277" s="336"/>
      <c r="O277" s="336"/>
      <c r="P277" s="336"/>
      <c r="Q277" s="336"/>
    </row>
    <row r="278" ht="15.75" customHeight="1">
      <c r="A278" s="336"/>
      <c r="B278" s="336"/>
      <c r="C278" s="336"/>
      <c r="D278" s="336"/>
      <c r="E278" s="336"/>
      <c r="F278" s="336"/>
      <c r="G278" s="336"/>
      <c r="H278" s="336"/>
      <c r="I278" s="336"/>
      <c r="J278" s="336"/>
      <c r="K278" s="336"/>
      <c r="L278" s="336"/>
      <c r="M278" s="336"/>
      <c r="N278" s="336"/>
      <c r="O278" s="336"/>
      <c r="P278" s="336"/>
      <c r="Q278" s="336"/>
    </row>
    <row r="279" ht="15.75" customHeight="1">
      <c r="A279" s="336"/>
      <c r="B279" s="336"/>
      <c r="C279" s="336"/>
      <c r="D279" s="336"/>
      <c r="E279" s="336"/>
      <c r="F279" s="336"/>
      <c r="G279" s="336"/>
      <c r="H279" s="336"/>
      <c r="I279" s="336"/>
      <c r="J279" s="336"/>
      <c r="K279" s="336"/>
      <c r="L279" s="336"/>
      <c r="M279" s="336"/>
      <c r="N279" s="336"/>
      <c r="O279" s="336"/>
      <c r="P279" s="336"/>
      <c r="Q279" s="336"/>
    </row>
    <row r="280" ht="15.75" customHeight="1">
      <c r="A280" s="336"/>
      <c r="B280" s="336"/>
      <c r="C280" s="336"/>
      <c r="D280" s="336"/>
      <c r="E280" s="336"/>
      <c r="F280" s="336"/>
      <c r="G280" s="336"/>
      <c r="H280" s="336"/>
      <c r="I280" s="336"/>
      <c r="J280" s="336"/>
      <c r="K280" s="336"/>
      <c r="L280" s="336"/>
      <c r="M280" s="336"/>
      <c r="N280" s="336"/>
      <c r="O280" s="336"/>
      <c r="P280" s="336"/>
      <c r="Q280" s="336"/>
    </row>
    <row r="281" ht="15.75" customHeight="1">
      <c r="A281" s="336"/>
      <c r="B281" s="336"/>
      <c r="C281" s="336"/>
      <c r="D281" s="336"/>
      <c r="E281" s="336"/>
      <c r="F281" s="336"/>
      <c r="G281" s="336"/>
      <c r="H281" s="336"/>
      <c r="I281" s="336"/>
      <c r="J281" s="336"/>
      <c r="K281" s="336"/>
      <c r="L281" s="336"/>
      <c r="M281" s="336"/>
      <c r="N281" s="336"/>
      <c r="O281" s="336"/>
      <c r="P281" s="336"/>
      <c r="Q281" s="336"/>
    </row>
    <row r="282" ht="15.75" customHeight="1">
      <c r="A282" s="336"/>
      <c r="B282" s="336"/>
      <c r="C282" s="336"/>
      <c r="D282" s="336"/>
      <c r="E282" s="336"/>
      <c r="F282" s="336"/>
      <c r="G282" s="336"/>
      <c r="H282" s="336"/>
      <c r="I282" s="336"/>
      <c r="J282" s="336"/>
      <c r="K282" s="336"/>
      <c r="L282" s="336"/>
      <c r="M282" s="336"/>
      <c r="N282" s="336"/>
      <c r="O282" s="336"/>
      <c r="P282" s="336"/>
      <c r="Q282" s="336"/>
    </row>
    <row r="283" ht="15.75" customHeight="1">
      <c r="A283" s="336"/>
      <c r="B283" s="336"/>
      <c r="C283" s="336"/>
      <c r="D283" s="336"/>
      <c r="E283" s="336"/>
      <c r="F283" s="336"/>
      <c r="G283" s="336"/>
      <c r="H283" s="336"/>
      <c r="I283" s="336"/>
      <c r="J283" s="336"/>
      <c r="K283" s="336"/>
      <c r="L283" s="336"/>
      <c r="M283" s="336"/>
      <c r="N283" s="336"/>
      <c r="O283" s="336"/>
      <c r="P283" s="336"/>
      <c r="Q283" s="336"/>
    </row>
    <row r="284" ht="15.75" customHeight="1">
      <c r="A284" s="336"/>
      <c r="B284" s="336"/>
      <c r="C284" s="336"/>
      <c r="D284" s="336"/>
      <c r="E284" s="336"/>
      <c r="F284" s="336"/>
      <c r="G284" s="336"/>
      <c r="H284" s="336"/>
      <c r="I284" s="336"/>
      <c r="J284" s="336"/>
      <c r="K284" s="336"/>
      <c r="L284" s="336"/>
      <c r="M284" s="336"/>
      <c r="N284" s="336"/>
      <c r="O284" s="336"/>
      <c r="P284" s="336"/>
      <c r="Q284" s="336"/>
    </row>
    <row r="285" ht="15.75" customHeight="1">
      <c r="A285" s="336"/>
      <c r="B285" s="336"/>
      <c r="C285" s="336"/>
      <c r="D285" s="336"/>
      <c r="E285" s="336"/>
      <c r="F285" s="336"/>
      <c r="G285" s="336"/>
      <c r="H285" s="336"/>
      <c r="I285" s="336"/>
      <c r="J285" s="336"/>
      <c r="K285" s="336"/>
      <c r="L285" s="336"/>
      <c r="M285" s="336"/>
      <c r="N285" s="336"/>
      <c r="O285" s="336"/>
      <c r="P285" s="336"/>
      <c r="Q285" s="336"/>
    </row>
    <row r="286" ht="15.75" customHeight="1">
      <c r="A286" s="336"/>
      <c r="B286" s="336"/>
      <c r="C286" s="336"/>
      <c r="D286" s="336"/>
      <c r="E286" s="336"/>
      <c r="F286" s="336"/>
      <c r="G286" s="336"/>
      <c r="H286" s="336"/>
      <c r="I286" s="336"/>
      <c r="J286" s="336"/>
      <c r="K286" s="336"/>
      <c r="L286" s="336"/>
      <c r="M286" s="336"/>
      <c r="N286" s="336"/>
      <c r="O286" s="336"/>
      <c r="P286" s="336"/>
      <c r="Q286" s="336"/>
    </row>
    <row r="287" ht="15.75" customHeight="1">
      <c r="A287" s="336"/>
      <c r="B287" s="336"/>
      <c r="C287" s="336"/>
      <c r="D287" s="336"/>
      <c r="E287" s="336"/>
      <c r="F287" s="336"/>
      <c r="G287" s="336"/>
      <c r="H287" s="336"/>
      <c r="I287" s="336"/>
      <c r="J287" s="336"/>
      <c r="K287" s="336"/>
      <c r="L287" s="336"/>
      <c r="M287" s="336"/>
      <c r="N287" s="336"/>
      <c r="O287" s="336"/>
      <c r="P287" s="336"/>
      <c r="Q287" s="336"/>
    </row>
    <row r="288" ht="15.75" customHeight="1">
      <c r="A288" s="336"/>
      <c r="B288" s="336"/>
      <c r="C288" s="336"/>
      <c r="D288" s="336"/>
      <c r="E288" s="336"/>
      <c r="F288" s="336"/>
      <c r="G288" s="336"/>
      <c r="H288" s="336"/>
      <c r="I288" s="336"/>
      <c r="J288" s="336"/>
      <c r="K288" s="336"/>
      <c r="L288" s="336"/>
      <c r="M288" s="336"/>
      <c r="N288" s="336"/>
      <c r="O288" s="336"/>
      <c r="P288" s="336"/>
      <c r="Q288" s="336"/>
    </row>
    <row r="289" ht="15.75" customHeight="1">
      <c r="A289" s="336"/>
      <c r="B289" s="336"/>
      <c r="C289" s="336"/>
      <c r="D289" s="336"/>
      <c r="E289" s="336"/>
      <c r="F289" s="336"/>
      <c r="G289" s="336"/>
      <c r="H289" s="336"/>
      <c r="I289" s="336"/>
      <c r="J289" s="336"/>
      <c r="K289" s="336"/>
      <c r="L289" s="336"/>
      <c r="M289" s="336"/>
      <c r="N289" s="336"/>
      <c r="O289" s="336"/>
      <c r="P289" s="336"/>
      <c r="Q289" s="336"/>
    </row>
    <row r="290" ht="15.75" customHeight="1">
      <c r="A290" s="336"/>
      <c r="B290" s="336"/>
      <c r="C290" s="336"/>
      <c r="D290" s="336"/>
      <c r="E290" s="336"/>
      <c r="F290" s="336"/>
      <c r="G290" s="336"/>
      <c r="H290" s="336"/>
      <c r="I290" s="336"/>
      <c r="J290" s="336"/>
      <c r="K290" s="336"/>
      <c r="L290" s="336"/>
      <c r="M290" s="336"/>
      <c r="N290" s="336"/>
      <c r="O290" s="336"/>
      <c r="P290" s="336"/>
      <c r="Q290" s="336"/>
    </row>
    <row r="291" ht="15.75" customHeight="1">
      <c r="A291" s="336"/>
      <c r="B291" s="336"/>
      <c r="C291" s="336"/>
      <c r="D291" s="336"/>
      <c r="E291" s="336"/>
      <c r="F291" s="336"/>
      <c r="G291" s="336"/>
      <c r="H291" s="336"/>
      <c r="I291" s="336"/>
      <c r="J291" s="336"/>
      <c r="K291" s="336"/>
      <c r="L291" s="336"/>
      <c r="M291" s="336"/>
      <c r="N291" s="336"/>
      <c r="O291" s="336"/>
      <c r="P291" s="336"/>
      <c r="Q291" s="336"/>
    </row>
    <row r="292" ht="15.75" customHeight="1">
      <c r="A292" s="336"/>
      <c r="B292" s="336"/>
      <c r="C292" s="336"/>
      <c r="D292" s="336"/>
      <c r="E292" s="336"/>
      <c r="F292" s="336"/>
      <c r="G292" s="336"/>
      <c r="H292" s="336"/>
      <c r="I292" s="336"/>
      <c r="J292" s="336"/>
      <c r="K292" s="336"/>
      <c r="L292" s="336"/>
      <c r="M292" s="336"/>
      <c r="N292" s="336"/>
      <c r="O292" s="336"/>
      <c r="P292" s="336"/>
      <c r="Q292" s="336"/>
    </row>
    <row r="293" ht="15.75" customHeight="1">
      <c r="A293" s="336"/>
      <c r="B293" s="336"/>
      <c r="C293" s="336"/>
      <c r="D293" s="336"/>
      <c r="E293" s="336"/>
      <c r="F293" s="336"/>
      <c r="G293" s="336"/>
      <c r="H293" s="336"/>
      <c r="I293" s="336"/>
      <c r="J293" s="336"/>
      <c r="K293" s="336"/>
      <c r="L293" s="336"/>
      <c r="M293" s="336"/>
      <c r="N293" s="336"/>
      <c r="O293" s="336"/>
      <c r="P293" s="336"/>
      <c r="Q293" s="336"/>
    </row>
    <row r="294" ht="15.75" customHeight="1">
      <c r="A294" s="336"/>
      <c r="B294" s="336"/>
      <c r="C294" s="336"/>
      <c r="D294" s="336"/>
      <c r="E294" s="336"/>
      <c r="F294" s="336"/>
      <c r="G294" s="336"/>
      <c r="H294" s="336"/>
      <c r="I294" s="336"/>
      <c r="J294" s="336"/>
      <c r="K294" s="336"/>
      <c r="L294" s="336"/>
      <c r="M294" s="336"/>
      <c r="N294" s="336"/>
      <c r="O294" s="336"/>
      <c r="P294" s="336"/>
      <c r="Q294" s="336"/>
    </row>
    <row r="295" ht="15.75" customHeight="1">
      <c r="A295" s="336"/>
      <c r="B295" s="336"/>
      <c r="C295" s="336"/>
      <c r="D295" s="336"/>
      <c r="E295" s="336"/>
      <c r="F295" s="336"/>
      <c r="G295" s="336"/>
      <c r="H295" s="336"/>
      <c r="I295" s="336"/>
      <c r="J295" s="336"/>
      <c r="K295" s="336"/>
      <c r="L295" s="336"/>
      <c r="M295" s="336"/>
      <c r="N295" s="336"/>
      <c r="O295" s="336"/>
      <c r="P295" s="336"/>
      <c r="Q295" s="336"/>
    </row>
    <row r="296" ht="15.75" customHeight="1">
      <c r="A296" s="336"/>
      <c r="B296" s="336"/>
      <c r="C296" s="336"/>
      <c r="D296" s="336"/>
      <c r="E296" s="336"/>
      <c r="F296" s="336"/>
      <c r="G296" s="336"/>
      <c r="H296" s="336"/>
      <c r="I296" s="336"/>
      <c r="J296" s="336"/>
      <c r="K296" s="336"/>
      <c r="L296" s="336"/>
      <c r="M296" s="336"/>
      <c r="N296" s="336"/>
      <c r="O296" s="336"/>
      <c r="P296" s="336"/>
      <c r="Q296" s="336"/>
    </row>
    <row r="297" ht="15.75" customHeight="1">
      <c r="A297" s="336"/>
      <c r="B297" s="336"/>
      <c r="C297" s="336"/>
      <c r="D297" s="336"/>
      <c r="E297" s="336"/>
      <c r="F297" s="336"/>
      <c r="G297" s="336"/>
      <c r="H297" s="336"/>
      <c r="I297" s="336"/>
      <c r="J297" s="336"/>
      <c r="K297" s="336"/>
      <c r="L297" s="336"/>
      <c r="M297" s="336"/>
      <c r="N297" s="336"/>
      <c r="O297" s="336"/>
      <c r="P297" s="336"/>
      <c r="Q297" s="336"/>
    </row>
    <row r="298" ht="15.75" customHeight="1">
      <c r="A298" s="336"/>
      <c r="B298" s="336"/>
      <c r="C298" s="336"/>
      <c r="D298" s="336"/>
      <c r="E298" s="336"/>
      <c r="F298" s="336"/>
      <c r="G298" s="336"/>
      <c r="H298" s="336"/>
      <c r="I298" s="336"/>
      <c r="J298" s="336"/>
      <c r="K298" s="336"/>
      <c r="L298" s="336"/>
      <c r="M298" s="336"/>
      <c r="N298" s="336"/>
      <c r="O298" s="336"/>
      <c r="P298" s="336"/>
      <c r="Q298" s="336"/>
    </row>
    <row r="299" ht="15.75" customHeight="1">
      <c r="A299" s="336"/>
      <c r="B299" s="336"/>
      <c r="C299" s="336"/>
      <c r="D299" s="336"/>
      <c r="E299" s="336"/>
      <c r="F299" s="336"/>
      <c r="G299" s="336"/>
      <c r="H299" s="336"/>
      <c r="I299" s="336"/>
      <c r="J299" s="336"/>
      <c r="K299" s="336"/>
      <c r="L299" s="336"/>
      <c r="M299" s="336"/>
      <c r="N299" s="336"/>
      <c r="O299" s="336"/>
      <c r="P299" s="336"/>
      <c r="Q299" s="336"/>
    </row>
    <row r="300" ht="15.75" customHeight="1">
      <c r="A300" s="336"/>
      <c r="B300" s="336"/>
      <c r="C300" s="336"/>
      <c r="D300" s="336"/>
      <c r="E300" s="336"/>
      <c r="F300" s="336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  <c r="Q300" s="336"/>
    </row>
    <row r="301" ht="15.75" customHeight="1">
      <c r="A301" s="336"/>
      <c r="B301" s="336"/>
      <c r="C301" s="336"/>
      <c r="D301" s="336"/>
      <c r="E301" s="336"/>
      <c r="F301" s="336"/>
      <c r="G301" s="336"/>
      <c r="H301" s="336"/>
      <c r="I301" s="336"/>
      <c r="J301" s="336"/>
      <c r="K301" s="336"/>
      <c r="L301" s="336"/>
      <c r="M301" s="336"/>
      <c r="N301" s="336"/>
      <c r="O301" s="336"/>
      <c r="P301" s="336"/>
      <c r="Q301" s="336"/>
    </row>
    <row r="302" ht="15.75" customHeight="1">
      <c r="A302" s="336"/>
      <c r="B302" s="336"/>
      <c r="C302" s="336"/>
      <c r="D302" s="336"/>
      <c r="E302" s="336"/>
      <c r="F302" s="336"/>
      <c r="G302" s="336"/>
      <c r="H302" s="336"/>
      <c r="I302" s="336"/>
      <c r="J302" s="336"/>
      <c r="K302" s="336"/>
      <c r="L302" s="336"/>
      <c r="M302" s="336"/>
      <c r="N302" s="336"/>
      <c r="O302" s="336"/>
      <c r="P302" s="336"/>
      <c r="Q302" s="336"/>
    </row>
    <row r="303" ht="15.75" customHeight="1">
      <c r="A303" s="336"/>
      <c r="B303" s="336"/>
      <c r="C303" s="336"/>
      <c r="D303" s="336"/>
      <c r="E303" s="336"/>
      <c r="F303" s="336"/>
      <c r="G303" s="336"/>
      <c r="H303" s="336"/>
      <c r="I303" s="336"/>
      <c r="J303" s="336"/>
      <c r="K303" s="336"/>
      <c r="L303" s="336"/>
      <c r="M303" s="336"/>
      <c r="N303" s="336"/>
      <c r="O303" s="336"/>
      <c r="P303" s="336"/>
      <c r="Q303" s="336"/>
    </row>
    <row r="304" ht="15.75" customHeight="1">
      <c r="A304" s="336"/>
      <c r="B304" s="336"/>
      <c r="C304" s="336"/>
      <c r="D304" s="336"/>
      <c r="E304" s="336"/>
      <c r="F304" s="336"/>
      <c r="G304" s="336"/>
      <c r="H304" s="336"/>
      <c r="I304" s="336"/>
      <c r="J304" s="336"/>
      <c r="K304" s="336"/>
      <c r="L304" s="336"/>
      <c r="M304" s="336"/>
      <c r="N304" s="336"/>
      <c r="O304" s="336"/>
      <c r="P304" s="336"/>
      <c r="Q304" s="336"/>
    </row>
    <row r="305" ht="15.75" customHeight="1">
      <c r="A305" s="336"/>
      <c r="B305" s="336"/>
      <c r="C305" s="336"/>
      <c r="D305" s="336"/>
      <c r="E305" s="336"/>
      <c r="F305" s="336"/>
      <c r="G305" s="336"/>
      <c r="H305" s="336"/>
      <c r="I305" s="336"/>
      <c r="J305" s="336"/>
      <c r="K305" s="336"/>
      <c r="L305" s="336"/>
      <c r="M305" s="336"/>
      <c r="N305" s="336"/>
      <c r="O305" s="336"/>
      <c r="P305" s="336"/>
      <c r="Q305" s="336"/>
    </row>
    <row r="306" ht="15.75" customHeight="1">
      <c r="A306" s="336"/>
      <c r="B306" s="336"/>
      <c r="C306" s="336"/>
      <c r="D306" s="336"/>
      <c r="E306" s="336"/>
      <c r="F306" s="336"/>
      <c r="G306" s="336"/>
      <c r="H306" s="336"/>
      <c r="I306" s="336"/>
      <c r="J306" s="336"/>
      <c r="K306" s="336"/>
      <c r="L306" s="336"/>
      <c r="M306" s="336"/>
      <c r="N306" s="336"/>
      <c r="O306" s="336"/>
      <c r="P306" s="336"/>
      <c r="Q306" s="336"/>
    </row>
    <row r="307" ht="15.75" customHeight="1">
      <c r="A307" s="336"/>
      <c r="B307" s="336"/>
      <c r="C307" s="336"/>
      <c r="D307" s="336"/>
      <c r="E307" s="336"/>
      <c r="F307" s="336"/>
      <c r="G307" s="336"/>
      <c r="H307" s="336"/>
      <c r="I307" s="336"/>
      <c r="J307" s="336"/>
      <c r="K307" s="336"/>
      <c r="L307" s="336"/>
      <c r="M307" s="336"/>
      <c r="N307" s="336"/>
      <c r="O307" s="336"/>
      <c r="P307" s="336"/>
      <c r="Q307" s="336"/>
    </row>
    <row r="308" ht="15.75" customHeight="1">
      <c r="A308" s="336"/>
      <c r="B308" s="336"/>
      <c r="C308" s="336"/>
      <c r="D308" s="336"/>
      <c r="E308" s="336"/>
      <c r="F308" s="336"/>
      <c r="G308" s="336"/>
      <c r="H308" s="336"/>
      <c r="I308" s="336"/>
      <c r="J308" s="336"/>
      <c r="K308" s="336"/>
      <c r="L308" s="336"/>
      <c r="M308" s="336"/>
      <c r="N308" s="336"/>
      <c r="O308" s="336"/>
      <c r="P308" s="336"/>
      <c r="Q308" s="336"/>
    </row>
    <row r="309" ht="15.75" customHeight="1">
      <c r="A309" s="336"/>
      <c r="B309" s="336"/>
      <c r="C309" s="336"/>
      <c r="D309" s="336"/>
      <c r="E309" s="336"/>
      <c r="F309" s="336"/>
      <c r="G309" s="336"/>
      <c r="H309" s="336"/>
      <c r="I309" s="336"/>
      <c r="J309" s="336"/>
      <c r="K309" s="336"/>
      <c r="L309" s="336"/>
      <c r="M309" s="336"/>
      <c r="N309" s="336"/>
      <c r="O309" s="336"/>
      <c r="P309" s="336"/>
      <c r="Q309" s="336"/>
    </row>
    <row r="310" ht="15.75" customHeight="1">
      <c r="A310" s="336"/>
      <c r="B310" s="336"/>
      <c r="C310" s="336"/>
      <c r="D310" s="336"/>
      <c r="E310" s="336"/>
      <c r="F310" s="336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  <c r="Q310" s="336"/>
    </row>
    <row r="311" ht="15.75" customHeight="1">
      <c r="A311" s="336"/>
      <c r="B311" s="336"/>
      <c r="C311" s="336"/>
      <c r="D311" s="336"/>
      <c r="E311" s="336"/>
      <c r="F311" s="336"/>
      <c r="G311" s="336"/>
      <c r="H311" s="336"/>
      <c r="I311" s="336"/>
      <c r="J311" s="336"/>
      <c r="K311" s="336"/>
      <c r="L311" s="336"/>
      <c r="M311" s="336"/>
      <c r="N311" s="336"/>
      <c r="O311" s="336"/>
      <c r="P311" s="336"/>
      <c r="Q311" s="336"/>
    </row>
    <row r="312" ht="15.75" customHeight="1">
      <c r="A312" s="336"/>
      <c r="B312" s="336"/>
      <c r="C312" s="336"/>
      <c r="D312" s="336"/>
      <c r="E312" s="336"/>
      <c r="F312" s="336"/>
      <c r="G312" s="336"/>
      <c r="H312" s="336"/>
      <c r="I312" s="336"/>
      <c r="J312" s="336"/>
      <c r="K312" s="336"/>
      <c r="L312" s="336"/>
      <c r="M312" s="336"/>
      <c r="N312" s="336"/>
      <c r="O312" s="336"/>
      <c r="P312" s="336"/>
      <c r="Q312" s="336"/>
    </row>
    <row r="313" ht="15.75" customHeight="1">
      <c r="A313" s="336"/>
      <c r="B313" s="336"/>
      <c r="C313" s="336"/>
      <c r="D313" s="336"/>
      <c r="E313" s="336"/>
      <c r="F313" s="336"/>
      <c r="G313" s="336"/>
      <c r="H313" s="336"/>
      <c r="I313" s="336"/>
      <c r="J313" s="336"/>
      <c r="K313" s="336"/>
      <c r="L313" s="336"/>
      <c r="M313" s="336"/>
      <c r="N313" s="336"/>
      <c r="O313" s="336"/>
      <c r="P313" s="336"/>
      <c r="Q313" s="336"/>
    </row>
    <row r="314" ht="15.75" customHeight="1">
      <c r="A314" s="336"/>
      <c r="B314" s="336"/>
      <c r="C314" s="336"/>
      <c r="D314" s="336"/>
      <c r="E314" s="336"/>
      <c r="F314" s="336"/>
      <c r="G314" s="336"/>
      <c r="H314" s="336"/>
      <c r="I314" s="336"/>
      <c r="J314" s="336"/>
      <c r="K314" s="336"/>
      <c r="L314" s="336"/>
      <c r="M314" s="336"/>
      <c r="N314" s="336"/>
      <c r="O314" s="336"/>
      <c r="P314" s="336"/>
      <c r="Q314" s="336"/>
    </row>
    <row r="315" ht="15.75" customHeight="1">
      <c r="A315" s="336"/>
      <c r="B315" s="336"/>
      <c r="C315" s="336"/>
      <c r="D315" s="336"/>
      <c r="E315" s="336"/>
      <c r="F315" s="336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</row>
    <row r="316" ht="15.75" customHeight="1">
      <c r="A316" s="336"/>
      <c r="B316" s="336"/>
      <c r="C316" s="336"/>
      <c r="D316" s="336"/>
      <c r="E316" s="336"/>
      <c r="F316" s="336"/>
      <c r="G316" s="336"/>
      <c r="H316" s="336"/>
      <c r="I316" s="336"/>
      <c r="J316" s="336"/>
      <c r="K316" s="336"/>
      <c r="L316" s="336"/>
      <c r="M316" s="336"/>
      <c r="N316" s="336"/>
      <c r="O316" s="336"/>
      <c r="P316" s="336"/>
      <c r="Q316" s="336"/>
    </row>
    <row r="317" ht="15.75" customHeight="1">
      <c r="A317" s="336"/>
      <c r="B317" s="336"/>
      <c r="C317" s="336"/>
      <c r="D317" s="336"/>
      <c r="E317" s="336"/>
      <c r="F317" s="336"/>
      <c r="G317" s="336"/>
      <c r="H317" s="336"/>
      <c r="I317" s="336"/>
      <c r="J317" s="336"/>
      <c r="K317" s="336"/>
      <c r="L317" s="336"/>
      <c r="M317" s="336"/>
      <c r="N317" s="336"/>
      <c r="O317" s="336"/>
      <c r="P317" s="336"/>
      <c r="Q317" s="336"/>
    </row>
    <row r="318" ht="15.75" customHeight="1">
      <c r="A318" s="336"/>
      <c r="B318" s="336"/>
      <c r="C318" s="336"/>
      <c r="D318" s="336"/>
      <c r="E318" s="336"/>
      <c r="F318" s="336"/>
      <c r="G318" s="336"/>
      <c r="H318" s="336"/>
      <c r="I318" s="336"/>
      <c r="J318" s="336"/>
      <c r="K318" s="336"/>
      <c r="L318" s="336"/>
      <c r="M318" s="336"/>
      <c r="N318" s="336"/>
      <c r="O318" s="336"/>
      <c r="P318" s="336"/>
      <c r="Q318" s="336"/>
    </row>
    <row r="319" ht="15.75" customHeight="1">
      <c r="A319" s="336"/>
      <c r="B319" s="336"/>
      <c r="C319" s="336"/>
      <c r="D319" s="336"/>
      <c r="E319" s="336"/>
      <c r="F319" s="336"/>
      <c r="G319" s="336"/>
      <c r="H319" s="336"/>
      <c r="I319" s="336"/>
      <c r="J319" s="336"/>
      <c r="K319" s="336"/>
      <c r="L319" s="336"/>
      <c r="M319" s="336"/>
      <c r="N319" s="336"/>
      <c r="O319" s="336"/>
      <c r="P319" s="336"/>
      <c r="Q319" s="336"/>
    </row>
    <row r="320" ht="15.75" customHeight="1">
      <c r="A320" s="336"/>
      <c r="B320" s="336"/>
      <c r="C320" s="336"/>
      <c r="D320" s="336"/>
      <c r="E320" s="336"/>
      <c r="F320" s="336"/>
      <c r="G320" s="336"/>
      <c r="H320" s="336"/>
      <c r="I320" s="336"/>
      <c r="J320" s="336"/>
      <c r="K320" s="336"/>
      <c r="L320" s="336"/>
      <c r="M320" s="336"/>
      <c r="N320" s="336"/>
      <c r="O320" s="336"/>
      <c r="P320" s="336"/>
      <c r="Q320" s="336"/>
    </row>
    <row r="321" ht="15.75" customHeight="1">
      <c r="A321" s="336"/>
      <c r="B321" s="336"/>
      <c r="C321" s="336"/>
      <c r="D321" s="336"/>
      <c r="E321" s="336"/>
      <c r="F321" s="336"/>
      <c r="G321" s="336"/>
      <c r="H321" s="336"/>
      <c r="I321" s="336"/>
      <c r="J321" s="336"/>
      <c r="K321" s="336"/>
      <c r="L321" s="336"/>
      <c r="M321" s="336"/>
      <c r="N321" s="336"/>
      <c r="O321" s="336"/>
      <c r="P321" s="336"/>
      <c r="Q321" s="336"/>
    </row>
    <row r="322" ht="15.75" customHeight="1">
      <c r="A322" s="336"/>
      <c r="B322" s="336"/>
      <c r="C322" s="336"/>
      <c r="D322" s="336"/>
      <c r="E322" s="336"/>
      <c r="F322" s="336"/>
      <c r="G322" s="336"/>
      <c r="H322" s="336"/>
      <c r="I322" s="336"/>
      <c r="J322" s="336"/>
      <c r="K322" s="336"/>
      <c r="L322" s="336"/>
      <c r="M322" s="336"/>
      <c r="N322" s="336"/>
      <c r="O322" s="336"/>
      <c r="P322" s="336"/>
      <c r="Q322" s="336"/>
    </row>
    <row r="323" ht="15.75" customHeight="1">
      <c r="A323" s="336"/>
      <c r="B323" s="336"/>
      <c r="C323" s="336"/>
      <c r="D323" s="336"/>
      <c r="E323" s="336"/>
      <c r="F323" s="336"/>
      <c r="G323" s="336"/>
      <c r="H323" s="336"/>
      <c r="I323" s="336"/>
      <c r="J323" s="336"/>
      <c r="K323" s="336"/>
      <c r="L323" s="336"/>
      <c r="M323" s="336"/>
      <c r="N323" s="336"/>
      <c r="O323" s="336"/>
      <c r="P323" s="336"/>
      <c r="Q323" s="336"/>
    </row>
    <row r="324" ht="15.75" customHeight="1">
      <c r="A324" s="336"/>
      <c r="B324" s="336"/>
      <c r="C324" s="336"/>
      <c r="D324" s="336"/>
      <c r="E324" s="336"/>
      <c r="F324" s="336"/>
      <c r="G324" s="336"/>
      <c r="H324" s="336"/>
      <c r="I324" s="336"/>
      <c r="J324" s="336"/>
      <c r="K324" s="336"/>
      <c r="L324" s="336"/>
      <c r="M324" s="336"/>
      <c r="N324" s="336"/>
      <c r="O324" s="336"/>
      <c r="P324" s="336"/>
      <c r="Q324" s="336"/>
    </row>
    <row r="325" ht="15.75" customHeight="1">
      <c r="A325" s="336"/>
      <c r="B325" s="336"/>
      <c r="C325" s="336"/>
      <c r="D325" s="336"/>
      <c r="E325" s="336"/>
      <c r="F325" s="336"/>
      <c r="G325" s="336"/>
      <c r="H325" s="336"/>
      <c r="I325" s="336"/>
      <c r="J325" s="336"/>
      <c r="K325" s="336"/>
      <c r="L325" s="336"/>
      <c r="M325" s="336"/>
      <c r="N325" s="336"/>
      <c r="O325" s="336"/>
      <c r="P325" s="336"/>
      <c r="Q325" s="336"/>
    </row>
    <row r="326" ht="15.75" customHeight="1">
      <c r="A326" s="336"/>
      <c r="B326" s="336"/>
      <c r="C326" s="336"/>
      <c r="D326" s="336"/>
      <c r="E326" s="336"/>
      <c r="F326" s="336"/>
      <c r="G326" s="336"/>
      <c r="H326" s="336"/>
      <c r="I326" s="336"/>
      <c r="J326" s="336"/>
      <c r="K326" s="336"/>
      <c r="L326" s="336"/>
      <c r="M326" s="336"/>
      <c r="N326" s="336"/>
      <c r="O326" s="336"/>
      <c r="P326" s="336"/>
      <c r="Q326" s="336"/>
    </row>
    <row r="327" ht="15.75" customHeight="1">
      <c r="A327" s="336"/>
      <c r="B327" s="336"/>
      <c r="C327" s="336"/>
      <c r="D327" s="336"/>
      <c r="E327" s="336"/>
      <c r="F327" s="336"/>
      <c r="G327" s="336"/>
      <c r="H327" s="336"/>
      <c r="I327" s="336"/>
      <c r="J327" s="336"/>
      <c r="K327" s="336"/>
      <c r="L327" s="336"/>
      <c r="M327" s="336"/>
      <c r="N327" s="336"/>
      <c r="O327" s="336"/>
      <c r="P327" s="336"/>
      <c r="Q327" s="336"/>
    </row>
    <row r="328" ht="15.75" customHeight="1">
      <c r="A328" s="336"/>
      <c r="B328" s="336"/>
      <c r="C328" s="336"/>
      <c r="D328" s="336"/>
      <c r="E328" s="336"/>
      <c r="F328" s="336"/>
      <c r="G328" s="336"/>
      <c r="H328" s="336"/>
      <c r="I328" s="336"/>
      <c r="J328" s="336"/>
      <c r="K328" s="336"/>
      <c r="L328" s="336"/>
      <c r="M328" s="336"/>
      <c r="N328" s="336"/>
      <c r="O328" s="336"/>
      <c r="P328" s="336"/>
      <c r="Q328" s="336"/>
    </row>
    <row r="329" ht="15.75" customHeight="1">
      <c r="A329" s="336"/>
      <c r="B329" s="336"/>
      <c r="C329" s="336"/>
      <c r="D329" s="336"/>
      <c r="E329" s="336"/>
      <c r="F329" s="336"/>
      <c r="G329" s="336"/>
      <c r="H329" s="336"/>
      <c r="I329" s="336"/>
      <c r="J329" s="336"/>
      <c r="K329" s="336"/>
      <c r="L329" s="336"/>
      <c r="M329" s="336"/>
      <c r="N329" s="336"/>
      <c r="O329" s="336"/>
      <c r="P329" s="336"/>
      <c r="Q329" s="336"/>
    </row>
    <row r="330" ht="15.75" customHeight="1">
      <c r="A330" s="336"/>
      <c r="B330" s="336"/>
      <c r="C330" s="336"/>
      <c r="D330" s="336"/>
      <c r="E330" s="336"/>
      <c r="F330" s="336"/>
      <c r="G330" s="336"/>
      <c r="H330" s="336"/>
      <c r="I330" s="336"/>
      <c r="J330" s="336"/>
      <c r="K330" s="336"/>
      <c r="L330" s="336"/>
      <c r="M330" s="336"/>
      <c r="N330" s="336"/>
      <c r="O330" s="336"/>
      <c r="P330" s="336"/>
      <c r="Q330" s="336"/>
    </row>
    <row r="331" ht="15.75" customHeight="1">
      <c r="A331" s="336"/>
      <c r="B331" s="336"/>
      <c r="C331" s="336"/>
      <c r="D331" s="336"/>
      <c r="E331" s="336"/>
      <c r="F331" s="336"/>
      <c r="G331" s="336"/>
      <c r="H331" s="336"/>
      <c r="I331" s="336"/>
      <c r="J331" s="336"/>
      <c r="K331" s="336"/>
      <c r="L331" s="336"/>
      <c r="M331" s="336"/>
      <c r="N331" s="336"/>
      <c r="O331" s="336"/>
      <c r="P331" s="336"/>
      <c r="Q331" s="336"/>
    </row>
    <row r="332" ht="15.75" customHeight="1">
      <c r="A332" s="336"/>
      <c r="B332" s="336"/>
      <c r="C332" s="336"/>
      <c r="D332" s="336"/>
      <c r="E332" s="336"/>
      <c r="F332" s="336"/>
      <c r="G332" s="336"/>
      <c r="H332" s="336"/>
      <c r="I332" s="336"/>
      <c r="J332" s="336"/>
      <c r="K332" s="336"/>
      <c r="L332" s="336"/>
      <c r="M332" s="336"/>
      <c r="N332" s="336"/>
      <c r="O332" s="336"/>
      <c r="P332" s="336"/>
      <c r="Q332" s="336"/>
    </row>
    <row r="333" ht="15.75" customHeight="1">
      <c r="A333" s="336"/>
      <c r="B333" s="336"/>
      <c r="C333" s="336"/>
      <c r="D333" s="336"/>
      <c r="E333" s="336"/>
      <c r="F333" s="336"/>
      <c r="G333" s="336"/>
      <c r="H333" s="336"/>
      <c r="I333" s="336"/>
      <c r="J333" s="336"/>
      <c r="K333" s="336"/>
      <c r="L333" s="336"/>
      <c r="M333" s="336"/>
      <c r="N333" s="336"/>
      <c r="O333" s="336"/>
      <c r="P333" s="336"/>
      <c r="Q333" s="336"/>
    </row>
    <row r="334" ht="15.75" customHeight="1">
      <c r="A334" s="336"/>
      <c r="B334" s="336"/>
      <c r="C334" s="336"/>
      <c r="D334" s="336"/>
      <c r="E334" s="336"/>
      <c r="F334" s="336"/>
      <c r="G334" s="336"/>
      <c r="H334" s="336"/>
      <c r="I334" s="336"/>
      <c r="J334" s="336"/>
      <c r="K334" s="336"/>
      <c r="L334" s="336"/>
      <c r="M334" s="336"/>
      <c r="N334" s="336"/>
      <c r="O334" s="336"/>
      <c r="P334" s="336"/>
      <c r="Q334" s="336"/>
    </row>
    <row r="335" ht="15.75" customHeight="1">
      <c r="A335" s="336"/>
      <c r="B335" s="336"/>
      <c r="C335" s="336"/>
      <c r="D335" s="336"/>
      <c r="E335" s="336"/>
      <c r="F335" s="336"/>
      <c r="G335" s="336"/>
      <c r="H335" s="336"/>
      <c r="I335" s="336"/>
      <c r="J335" s="336"/>
      <c r="K335" s="336"/>
      <c r="L335" s="336"/>
      <c r="M335" s="336"/>
      <c r="N335" s="336"/>
      <c r="O335" s="336"/>
      <c r="P335" s="336"/>
      <c r="Q335" s="336"/>
    </row>
    <row r="336" ht="15.75" customHeight="1">
      <c r="A336" s="336"/>
      <c r="B336" s="336"/>
      <c r="C336" s="336"/>
      <c r="D336" s="336"/>
      <c r="E336" s="336"/>
      <c r="F336" s="336"/>
      <c r="G336" s="336"/>
      <c r="H336" s="336"/>
      <c r="I336" s="336"/>
      <c r="J336" s="336"/>
      <c r="K336" s="336"/>
      <c r="L336" s="336"/>
      <c r="M336" s="336"/>
      <c r="N336" s="336"/>
      <c r="O336" s="336"/>
      <c r="P336" s="336"/>
      <c r="Q336" s="336"/>
    </row>
    <row r="337" ht="15.75" customHeight="1">
      <c r="A337" s="336"/>
      <c r="B337" s="336"/>
      <c r="C337" s="336"/>
      <c r="D337" s="336"/>
      <c r="E337" s="336"/>
      <c r="F337" s="336"/>
      <c r="G337" s="336"/>
      <c r="H337" s="336"/>
      <c r="I337" s="336"/>
      <c r="J337" s="336"/>
      <c r="K337" s="336"/>
      <c r="L337" s="336"/>
      <c r="M337" s="336"/>
      <c r="N337" s="336"/>
      <c r="O337" s="336"/>
      <c r="P337" s="336"/>
      <c r="Q337" s="336"/>
    </row>
    <row r="338" ht="15.75" customHeight="1">
      <c r="A338" s="336"/>
      <c r="B338" s="336"/>
      <c r="C338" s="336"/>
      <c r="D338" s="336"/>
      <c r="E338" s="336"/>
      <c r="F338" s="336"/>
      <c r="G338" s="336"/>
      <c r="H338" s="336"/>
      <c r="I338" s="336"/>
      <c r="J338" s="336"/>
      <c r="K338" s="336"/>
      <c r="L338" s="336"/>
      <c r="M338" s="336"/>
      <c r="N338" s="336"/>
      <c r="O338" s="336"/>
      <c r="P338" s="336"/>
      <c r="Q338" s="336"/>
    </row>
    <row r="339" ht="15.75" customHeight="1">
      <c r="A339" s="336"/>
      <c r="B339" s="336"/>
      <c r="C339" s="336"/>
      <c r="D339" s="336"/>
      <c r="E339" s="336"/>
      <c r="F339" s="336"/>
      <c r="G339" s="336"/>
      <c r="H339" s="336"/>
      <c r="I339" s="336"/>
      <c r="J339" s="336"/>
      <c r="K339" s="336"/>
      <c r="L339" s="336"/>
      <c r="M339" s="336"/>
      <c r="N339" s="336"/>
      <c r="O339" s="336"/>
      <c r="P339" s="336"/>
      <c r="Q339" s="336"/>
    </row>
    <row r="340" ht="15.75" customHeight="1">
      <c r="A340" s="336"/>
      <c r="B340" s="336"/>
      <c r="C340" s="336"/>
      <c r="D340" s="336"/>
      <c r="E340" s="336"/>
      <c r="F340" s="336"/>
      <c r="G340" s="336"/>
      <c r="H340" s="336"/>
      <c r="I340" s="336"/>
      <c r="J340" s="336"/>
      <c r="K340" s="336"/>
      <c r="L340" s="336"/>
      <c r="M340" s="336"/>
      <c r="N340" s="336"/>
      <c r="O340" s="336"/>
      <c r="P340" s="336"/>
      <c r="Q340" s="336"/>
    </row>
    <row r="341" ht="15.75" customHeight="1">
      <c r="A341" s="336"/>
      <c r="B341" s="336"/>
      <c r="C341" s="336"/>
      <c r="D341" s="336"/>
      <c r="E341" s="336"/>
      <c r="F341" s="336"/>
      <c r="G341" s="336"/>
      <c r="H341" s="336"/>
      <c r="I341" s="336"/>
      <c r="J341" s="336"/>
      <c r="K341" s="336"/>
      <c r="L341" s="336"/>
      <c r="M341" s="336"/>
      <c r="N341" s="336"/>
      <c r="O341" s="336"/>
      <c r="P341" s="336"/>
      <c r="Q341" s="336"/>
    </row>
    <row r="342" ht="15.75" customHeight="1">
      <c r="A342" s="336"/>
      <c r="B342" s="336"/>
      <c r="C342" s="336"/>
      <c r="D342" s="336"/>
      <c r="E342" s="336"/>
      <c r="F342" s="336"/>
      <c r="G342" s="336"/>
      <c r="H342" s="336"/>
      <c r="I342" s="336"/>
      <c r="J342" s="336"/>
      <c r="K342" s="336"/>
      <c r="L342" s="336"/>
      <c r="M342" s="336"/>
      <c r="N342" s="336"/>
      <c r="O342" s="336"/>
      <c r="P342" s="336"/>
      <c r="Q342" s="336"/>
    </row>
    <row r="343" ht="15.75" customHeight="1">
      <c r="A343" s="336"/>
      <c r="B343" s="336"/>
      <c r="C343" s="336"/>
      <c r="D343" s="336"/>
      <c r="E343" s="336"/>
      <c r="F343" s="336"/>
      <c r="G343" s="336"/>
      <c r="H343" s="336"/>
      <c r="I343" s="336"/>
      <c r="J343" s="336"/>
      <c r="K343" s="336"/>
      <c r="L343" s="336"/>
      <c r="M343" s="336"/>
      <c r="N343" s="336"/>
      <c r="O343" s="336"/>
      <c r="P343" s="336"/>
      <c r="Q343" s="336"/>
    </row>
    <row r="344" ht="15.75" customHeight="1">
      <c r="A344" s="336"/>
      <c r="B344" s="336"/>
      <c r="C344" s="336"/>
      <c r="D344" s="336"/>
      <c r="E344" s="336"/>
      <c r="F344" s="336"/>
      <c r="G344" s="336"/>
      <c r="H344" s="336"/>
      <c r="I344" s="336"/>
      <c r="J344" s="336"/>
      <c r="K344" s="336"/>
      <c r="L344" s="336"/>
      <c r="M344" s="336"/>
      <c r="N344" s="336"/>
      <c r="O344" s="336"/>
      <c r="P344" s="336"/>
      <c r="Q344" s="336"/>
    </row>
    <row r="345" ht="15.75" customHeight="1">
      <c r="A345" s="336"/>
      <c r="B345" s="336"/>
      <c r="C345" s="336"/>
      <c r="D345" s="336"/>
      <c r="E345" s="336"/>
      <c r="F345" s="336"/>
      <c r="G345" s="336"/>
      <c r="H345" s="336"/>
      <c r="I345" s="336"/>
      <c r="J345" s="336"/>
      <c r="K345" s="336"/>
      <c r="L345" s="336"/>
      <c r="M345" s="336"/>
      <c r="N345" s="336"/>
      <c r="O345" s="336"/>
      <c r="P345" s="336"/>
      <c r="Q345" s="336"/>
    </row>
    <row r="346" ht="15.75" customHeight="1">
      <c r="A346" s="336"/>
      <c r="B346" s="336"/>
      <c r="C346" s="336"/>
      <c r="D346" s="336"/>
      <c r="E346" s="336"/>
      <c r="F346" s="336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  <c r="Q346" s="336"/>
    </row>
    <row r="347" ht="15.75" customHeight="1">
      <c r="A347" s="336"/>
      <c r="B347" s="336"/>
      <c r="C347" s="336"/>
      <c r="D347" s="336"/>
      <c r="E347" s="336"/>
      <c r="F347" s="336"/>
      <c r="G347" s="336"/>
      <c r="H347" s="336"/>
      <c r="I347" s="336"/>
      <c r="J347" s="336"/>
      <c r="K347" s="336"/>
      <c r="L347" s="336"/>
      <c r="M347" s="336"/>
      <c r="N347" s="336"/>
      <c r="O347" s="336"/>
      <c r="P347" s="336"/>
      <c r="Q347" s="336"/>
    </row>
    <row r="348" ht="15.75" customHeight="1">
      <c r="A348" s="336"/>
      <c r="B348" s="336"/>
      <c r="C348" s="336"/>
      <c r="D348" s="336"/>
      <c r="E348" s="336"/>
      <c r="F348" s="336"/>
      <c r="G348" s="336"/>
      <c r="H348" s="336"/>
      <c r="I348" s="336"/>
      <c r="J348" s="336"/>
      <c r="K348" s="336"/>
      <c r="L348" s="336"/>
      <c r="M348" s="336"/>
      <c r="N348" s="336"/>
      <c r="O348" s="336"/>
      <c r="P348" s="336"/>
      <c r="Q348" s="336"/>
    </row>
    <row r="349" ht="15.75" customHeight="1">
      <c r="A349" s="336"/>
      <c r="B349" s="336"/>
      <c r="C349" s="336"/>
      <c r="D349" s="336"/>
      <c r="E349" s="336"/>
      <c r="F349" s="336"/>
      <c r="G349" s="336"/>
      <c r="H349" s="336"/>
      <c r="I349" s="336"/>
      <c r="J349" s="336"/>
      <c r="K349" s="336"/>
      <c r="L349" s="336"/>
      <c r="M349" s="336"/>
      <c r="N349" s="336"/>
      <c r="O349" s="336"/>
      <c r="P349" s="336"/>
      <c r="Q349" s="336"/>
    </row>
    <row r="350" ht="15.75" customHeight="1">
      <c r="A350" s="336"/>
      <c r="B350" s="336"/>
      <c r="C350" s="336"/>
      <c r="D350" s="336"/>
      <c r="E350" s="336"/>
      <c r="F350" s="336"/>
      <c r="G350" s="336"/>
      <c r="H350" s="336"/>
      <c r="I350" s="336"/>
      <c r="J350" s="336"/>
      <c r="K350" s="336"/>
      <c r="L350" s="336"/>
      <c r="M350" s="336"/>
      <c r="N350" s="336"/>
      <c r="O350" s="336"/>
      <c r="P350" s="336"/>
      <c r="Q350" s="336"/>
    </row>
    <row r="351" ht="15.75" customHeight="1">
      <c r="A351" s="336"/>
      <c r="B351" s="336"/>
      <c r="C351" s="336"/>
      <c r="D351" s="336"/>
      <c r="E351" s="336"/>
      <c r="F351" s="336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  <c r="Q351" s="336"/>
    </row>
    <row r="352" ht="15.75" customHeight="1">
      <c r="A352" s="336"/>
      <c r="B352" s="336"/>
      <c r="C352" s="336"/>
      <c r="D352" s="336"/>
      <c r="E352" s="336"/>
      <c r="F352" s="336"/>
      <c r="G352" s="336"/>
      <c r="H352" s="336"/>
      <c r="I352" s="336"/>
      <c r="J352" s="336"/>
      <c r="K352" s="336"/>
      <c r="L352" s="336"/>
      <c r="M352" s="336"/>
      <c r="N352" s="336"/>
      <c r="O352" s="336"/>
      <c r="P352" s="336"/>
      <c r="Q352" s="336"/>
    </row>
    <row r="353" ht="15.75" customHeight="1">
      <c r="A353" s="336"/>
      <c r="B353" s="336"/>
      <c r="C353" s="336"/>
      <c r="D353" s="336"/>
      <c r="E353" s="336"/>
      <c r="F353" s="336"/>
      <c r="G353" s="336"/>
      <c r="H353" s="336"/>
      <c r="I353" s="336"/>
      <c r="J353" s="336"/>
      <c r="K353" s="336"/>
      <c r="L353" s="336"/>
      <c r="M353" s="336"/>
      <c r="N353" s="336"/>
      <c r="O353" s="336"/>
      <c r="P353" s="336"/>
      <c r="Q353" s="336"/>
    </row>
    <row r="354" ht="15.75" customHeight="1">
      <c r="A354" s="336"/>
      <c r="B354" s="336"/>
      <c r="C354" s="336"/>
      <c r="D354" s="336"/>
      <c r="E354" s="336"/>
      <c r="F354" s="336"/>
      <c r="G354" s="336"/>
      <c r="H354" s="336"/>
      <c r="I354" s="336"/>
      <c r="J354" s="336"/>
      <c r="K354" s="336"/>
      <c r="L354" s="336"/>
      <c r="M354" s="336"/>
      <c r="N354" s="336"/>
      <c r="O354" s="336"/>
      <c r="P354" s="336"/>
      <c r="Q354" s="336"/>
    </row>
    <row r="355" ht="15.75" customHeight="1">
      <c r="A355" s="336"/>
      <c r="B355" s="336"/>
      <c r="C355" s="336"/>
      <c r="D355" s="336"/>
      <c r="E355" s="336"/>
      <c r="F355" s="336"/>
      <c r="G355" s="336"/>
      <c r="H355" s="336"/>
      <c r="I355" s="336"/>
      <c r="J355" s="336"/>
      <c r="K355" s="336"/>
      <c r="L355" s="336"/>
      <c r="M355" s="336"/>
      <c r="N355" s="336"/>
      <c r="O355" s="336"/>
      <c r="P355" s="336"/>
      <c r="Q355" s="336"/>
    </row>
    <row r="356" ht="15.75" customHeight="1">
      <c r="A356" s="336"/>
      <c r="B356" s="336"/>
      <c r="C356" s="336"/>
      <c r="D356" s="336"/>
      <c r="E356" s="336"/>
      <c r="F356" s="336"/>
      <c r="G356" s="336"/>
      <c r="H356" s="336"/>
      <c r="I356" s="336"/>
      <c r="J356" s="336"/>
      <c r="K356" s="336"/>
      <c r="L356" s="336"/>
      <c r="M356" s="336"/>
      <c r="N356" s="336"/>
      <c r="O356" s="336"/>
      <c r="P356" s="336"/>
      <c r="Q356" s="336"/>
    </row>
    <row r="357" ht="15.75" customHeight="1">
      <c r="A357" s="336"/>
      <c r="B357" s="336"/>
      <c r="C357" s="336"/>
      <c r="D357" s="336"/>
      <c r="E357" s="336"/>
      <c r="F357" s="336"/>
      <c r="G357" s="336"/>
      <c r="H357" s="336"/>
      <c r="I357" s="336"/>
      <c r="J357" s="336"/>
      <c r="K357" s="336"/>
      <c r="L357" s="336"/>
      <c r="M357" s="336"/>
      <c r="N357" s="336"/>
      <c r="O357" s="336"/>
      <c r="P357" s="336"/>
      <c r="Q357" s="336"/>
    </row>
    <row r="358" ht="15.75" customHeight="1">
      <c r="A358" s="336"/>
      <c r="B358" s="336"/>
      <c r="C358" s="336"/>
      <c r="D358" s="336"/>
      <c r="E358" s="336"/>
      <c r="F358" s="336"/>
      <c r="G358" s="336"/>
      <c r="H358" s="336"/>
      <c r="I358" s="336"/>
      <c r="J358" s="336"/>
      <c r="K358" s="336"/>
      <c r="L358" s="336"/>
      <c r="M358" s="336"/>
      <c r="N358" s="336"/>
      <c r="O358" s="336"/>
      <c r="P358" s="336"/>
      <c r="Q358" s="336"/>
    </row>
    <row r="359" ht="15.75" customHeight="1">
      <c r="A359" s="336"/>
      <c r="B359" s="336"/>
      <c r="C359" s="336"/>
      <c r="D359" s="336"/>
      <c r="E359" s="336"/>
      <c r="F359" s="336"/>
      <c r="G359" s="336"/>
      <c r="H359" s="336"/>
      <c r="I359" s="336"/>
      <c r="J359" s="336"/>
      <c r="K359" s="336"/>
      <c r="L359" s="336"/>
      <c r="M359" s="336"/>
      <c r="N359" s="336"/>
      <c r="O359" s="336"/>
      <c r="P359" s="336"/>
      <c r="Q359" s="336"/>
    </row>
    <row r="360" ht="15.75" customHeight="1">
      <c r="A360" s="336"/>
      <c r="B360" s="336"/>
      <c r="C360" s="336"/>
      <c r="D360" s="336"/>
      <c r="E360" s="336"/>
      <c r="F360" s="336"/>
      <c r="G360" s="336"/>
      <c r="H360" s="336"/>
      <c r="I360" s="336"/>
      <c r="J360" s="336"/>
      <c r="K360" s="336"/>
      <c r="L360" s="336"/>
      <c r="M360" s="336"/>
      <c r="N360" s="336"/>
      <c r="O360" s="336"/>
      <c r="P360" s="336"/>
      <c r="Q360" s="336"/>
    </row>
    <row r="361" ht="15.75" customHeight="1">
      <c r="A361" s="336"/>
      <c r="B361" s="336"/>
      <c r="C361" s="336"/>
      <c r="D361" s="336"/>
      <c r="E361" s="336"/>
      <c r="F361" s="336"/>
      <c r="G361" s="336"/>
      <c r="H361" s="336"/>
      <c r="I361" s="336"/>
      <c r="J361" s="336"/>
      <c r="K361" s="336"/>
      <c r="L361" s="336"/>
      <c r="M361" s="336"/>
      <c r="N361" s="336"/>
      <c r="O361" s="336"/>
      <c r="P361" s="336"/>
      <c r="Q361" s="336"/>
    </row>
    <row r="362" ht="15.75" customHeight="1">
      <c r="A362" s="336"/>
      <c r="B362" s="336"/>
      <c r="C362" s="336"/>
      <c r="D362" s="336"/>
      <c r="E362" s="336"/>
      <c r="F362" s="336"/>
      <c r="G362" s="336"/>
      <c r="H362" s="336"/>
      <c r="I362" s="336"/>
      <c r="J362" s="336"/>
      <c r="K362" s="336"/>
      <c r="L362" s="336"/>
      <c r="M362" s="336"/>
      <c r="N362" s="336"/>
      <c r="O362" s="336"/>
      <c r="P362" s="336"/>
      <c r="Q362" s="336"/>
    </row>
    <row r="363" ht="15.75" customHeight="1">
      <c r="A363" s="336"/>
      <c r="B363" s="336"/>
      <c r="C363" s="336"/>
      <c r="D363" s="336"/>
      <c r="E363" s="336"/>
      <c r="F363" s="336"/>
      <c r="G363" s="336"/>
      <c r="H363" s="336"/>
      <c r="I363" s="336"/>
      <c r="J363" s="336"/>
      <c r="K363" s="336"/>
      <c r="L363" s="336"/>
      <c r="M363" s="336"/>
      <c r="N363" s="336"/>
      <c r="O363" s="336"/>
      <c r="P363" s="336"/>
      <c r="Q363" s="336"/>
    </row>
    <row r="364" ht="15.75" customHeight="1">
      <c r="A364" s="336"/>
      <c r="B364" s="336"/>
      <c r="C364" s="336"/>
      <c r="D364" s="336"/>
      <c r="E364" s="336"/>
      <c r="F364" s="336"/>
      <c r="G364" s="336"/>
      <c r="H364" s="336"/>
      <c r="I364" s="336"/>
      <c r="J364" s="336"/>
      <c r="K364" s="336"/>
      <c r="L364" s="336"/>
      <c r="M364" s="336"/>
      <c r="N364" s="336"/>
      <c r="O364" s="336"/>
      <c r="P364" s="336"/>
      <c r="Q364" s="336"/>
    </row>
    <row r="365" ht="15.75" customHeight="1">
      <c r="A365" s="336"/>
      <c r="B365" s="336"/>
      <c r="C365" s="336"/>
      <c r="D365" s="336"/>
      <c r="E365" s="336"/>
      <c r="F365" s="336"/>
      <c r="G365" s="336"/>
      <c r="H365" s="336"/>
      <c r="I365" s="336"/>
      <c r="J365" s="336"/>
      <c r="K365" s="336"/>
      <c r="L365" s="336"/>
      <c r="M365" s="336"/>
      <c r="N365" s="336"/>
      <c r="O365" s="336"/>
      <c r="P365" s="336"/>
      <c r="Q365" s="336"/>
    </row>
    <row r="366" ht="15.75" customHeight="1">
      <c r="A366" s="336"/>
      <c r="B366" s="336"/>
      <c r="C366" s="336"/>
      <c r="D366" s="336"/>
      <c r="E366" s="336"/>
      <c r="F366" s="336"/>
      <c r="G366" s="336"/>
      <c r="H366" s="336"/>
      <c r="I366" s="336"/>
      <c r="J366" s="336"/>
      <c r="K366" s="336"/>
      <c r="L366" s="336"/>
      <c r="M366" s="336"/>
      <c r="N366" s="336"/>
      <c r="O366" s="336"/>
      <c r="P366" s="336"/>
      <c r="Q366" s="336"/>
    </row>
    <row r="367" ht="15.75" customHeight="1">
      <c r="A367" s="336"/>
      <c r="B367" s="336"/>
      <c r="C367" s="336"/>
      <c r="D367" s="336"/>
      <c r="E367" s="336"/>
      <c r="F367" s="336"/>
      <c r="G367" s="336"/>
      <c r="H367" s="336"/>
      <c r="I367" s="336"/>
      <c r="J367" s="336"/>
      <c r="K367" s="336"/>
      <c r="L367" s="336"/>
      <c r="M367" s="336"/>
      <c r="N367" s="336"/>
      <c r="O367" s="336"/>
      <c r="P367" s="336"/>
      <c r="Q367" s="336"/>
    </row>
    <row r="368" ht="15.75" customHeight="1">
      <c r="A368" s="336"/>
      <c r="B368" s="336"/>
      <c r="C368" s="336"/>
      <c r="D368" s="336"/>
      <c r="E368" s="336"/>
      <c r="F368" s="336"/>
      <c r="G368" s="336"/>
      <c r="H368" s="336"/>
      <c r="I368" s="336"/>
      <c r="J368" s="336"/>
      <c r="K368" s="336"/>
      <c r="L368" s="336"/>
      <c r="M368" s="336"/>
      <c r="N368" s="336"/>
      <c r="O368" s="336"/>
      <c r="P368" s="336"/>
      <c r="Q368" s="336"/>
    </row>
    <row r="369" ht="15.75" customHeight="1">
      <c r="A369" s="336"/>
      <c r="B369" s="336"/>
      <c r="C369" s="336"/>
      <c r="D369" s="336"/>
      <c r="E369" s="336"/>
      <c r="F369" s="336"/>
      <c r="G369" s="336"/>
      <c r="H369" s="336"/>
      <c r="I369" s="336"/>
      <c r="J369" s="336"/>
      <c r="K369" s="336"/>
      <c r="L369" s="336"/>
      <c r="M369" s="336"/>
      <c r="N369" s="336"/>
      <c r="O369" s="336"/>
      <c r="P369" s="336"/>
      <c r="Q369" s="336"/>
    </row>
    <row r="370" ht="15.75" customHeight="1">
      <c r="A370" s="336"/>
      <c r="B370" s="336"/>
      <c r="C370" s="336"/>
      <c r="D370" s="336"/>
      <c r="E370" s="336"/>
      <c r="F370" s="336"/>
      <c r="G370" s="336"/>
      <c r="H370" s="336"/>
      <c r="I370" s="336"/>
      <c r="J370" s="336"/>
      <c r="K370" s="336"/>
      <c r="L370" s="336"/>
      <c r="M370" s="336"/>
      <c r="N370" s="336"/>
      <c r="O370" s="336"/>
      <c r="P370" s="336"/>
      <c r="Q370" s="336"/>
    </row>
    <row r="371" ht="15.75" customHeight="1">
      <c r="A371" s="336"/>
      <c r="B371" s="336"/>
      <c r="C371" s="336"/>
      <c r="D371" s="336"/>
      <c r="E371" s="336"/>
      <c r="F371" s="336"/>
      <c r="G371" s="336"/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</row>
    <row r="372" ht="15.75" customHeight="1">
      <c r="A372" s="336"/>
      <c r="B372" s="336"/>
      <c r="C372" s="336"/>
      <c r="D372" s="336"/>
      <c r="E372" s="336"/>
      <c r="F372" s="336"/>
      <c r="G372" s="336"/>
      <c r="H372" s="336"/>
      <c r="I372" s="336"/>
      <c r="J372" s="336"/>
      <c r="K372" s="336"/>
      <c r="L372" s="336"/>
      <c r="M372" s="336"/>
      <c r="N372" s="336"/>
      <c r="O372" s="336"/>
      <c r="P372" s="336"/>
      <c r="Q372" s="336"/>
    </row>
    <row r="373" ht="15.75" customHeight="1">
      <c r="A373" s="336"/>
      <c r="B373" s="336"/>
      <c r="C373" s="336"/>
      <c r="D373" s="336"/>
      <c r="E373" s="336"/>
      <c r="F373" s="336"/>
      <c r="G373" s="336"/>
      <c r="H373" s="336"/>
      <c r="I373" s="336"/>
      <c r="J373" s="336"/>
      <c r="K373" s="336"/>
      <c r="L373" s="336"/>
      <c r="M373" s="336"/>
      <c r="N373" s="336"/>
      <c r="O373" s="336"/>
      <c r="P373" s="336"/>
      <c r="Q373" s="336"/>
    </row>
    <row r="374" ht="15.75" customHeight="1">
      <c r="A374" s="336"/>
      <c r="B374" s="336"/>
      <c r="C374" s="336"/>
      <c r="D374" s="336"/>
      <c r="E374" s="336"/>
      <c r="F374" s="336"/>
      <c r="G374" s="336"/>
      <c r="H374" s="336"/>
      <c r="I374" s="336"/>
      <c r="J374" s="336"/>
      <c r="K374" s="336"/>
      <c r="L374" s="336"/>
      <c r="M374" s="336"/>
      <c r="N374" s="336"/>
      <c r="O374" s="336"/>
      <c r="P374" s="336"/>
      <c r="Q374" s="336"/>
    </row>
    <row r="375" ht="15.75" customHeight="1">
      <c r="A375" s="336"/>
      <c r="B375" s="336"/>
      <c r="C375" s="336"/>
      <c r="D375" s="336"/>
      <c r="E375" s="336"/>
      <c r="F375" s="336"/>
      <c r="G375" s="336"/>
      <c r="H375" s="336"/>
      <c r="I375" s="336"/>
      <c r="J375" s="336"/>
      <c r="K375" s="336"/>
      <c r="L375" s="336"/>
      <c r="M375" s="336"/>
      <c r="N375" s="336"/>
      <c r="O375" s="336"/>
      <c r="P375" s="336"/>
      <c r="Q375" s="336"/>
    </row>
    <row r="376" ht="15.75" customHeight="1">
      <c r="A376" s="336"/>
      <c r="B376" s="336"/>
      <c r="C376" s="336"/>
      <c r="D376" s="336"/>
      <c r="E376" s="336"/>
      <c r="F376" s="336"/>
      <c r="G376" s="336"/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</row>
    <row r="377" ht="15.75" customHeight="1">
      <c r="A377" s="336"/>
      <c r="B377" s="336"/>
      <c r="C377" s="336"/>
      <c r="D377" s="336"/>
      <c r="E377" s="336"/>
      <c r="F377" s="336"/>
      <c r="G377" s="336"/>
      <c r="H377" s="336"/>
      <c r="I377" s="336"/>
      <c r="J377" s="336"/>
      <c r="K377" s="336"/>
      <c r="L377" s="336"/>
      <c r="M377" s="336"/>
      <c r="N377" s="336"/>
      <c r="O377" s="336"/>
      <c r="P377" s="336"/>
      <c r="Q377" s="336"/>
    </row>
    <row r="378" ht="15.75" customHeight="1">
      <c r="A378" s="336"/>
      <c r="B378" s="336"/>
      <c r="C378" s="336"/>
      <c r="D378" s="336"/>
      <c r="E378" s="336"/>
      <c r="F378" s="336"/>
      <c r="G378" s="336"/>
      <c r="H378" s="336"/>
      <c r="I378" s="336"/>
      <c r="J378" s="336"/>
      <c r="K378" s="336"/>
      <c r="L378" s="336"/>
      <c r="M378" s="336"/>
      <c r="N378" s="336"/>
      <c r="O378" s="336"/>
      <c r="P378" s="336"/>
      <c r="Q378" s="336"/>
    </row>
    <row r="379" ht="15.75" customHeight="1">
      <c r="A379" s="336"/>
      <c r="B379" s="336"/>
      <c r="C379" s="336"/>
      <c r="D379" s="336"/>
      <c r="E379" s="336"/>
      <c r="F379" s="336"/>
      <c r="G379" s="336"/>
      <c r="H379" s="336"/>
      <c r="I379" s="336"/>
      <c r="J379" s="336"/>
      <c r="K379" s="336"/>
      <c r="L379" s="336"/>
      <c r="M379" s="336"/>
      <c r="N379" s="336"/>
      <c r="O379" s="336"/>
      <c r="P379" s="336"/>
      <c r="Q379" s="336"/>
    </row>
    <row r="380" ht="15.75" customHeight="1">
      <c r="A380" s="336"/>
      <c r="B380" s="336"/>
      <c r="C380" s="336"/>
      <c r="D380" s="336"/>
      <c r="E380" s="336"/>
      <c r="F380" s="336"/>
      <c r="G380" s="336"/>
      <c r="H380" s="336"/>
      <c r="I380" s="336"/>
      <c r="J380" s="336"/>
      <c r="K380" s="336"/>
      <c r="L380" s="336"/>
      <c r="M380" s="336"/>
      <c r="N380" s="336"/>
      <c r="O380" s="336"/>
      <c r="P380" s="336"/>
      <c r="Q380" s="336"/>
    </row>
    <row r="381" ht="15.75" customHeight="1">
      <c r="A381" s="336"/>
      <c r="B381" s="336"/>
      <c r="C381" s="336"/>
      <c r="D381" s="336"/>
      <c r="E381" s="336"/>
      <c r="F381" s="336"/>
      <c r="G381" s="336"/>
      <c r="H381" s="336"/>
      <c r="I381" s="336"/>
      <c r="J381" s="336"/>
      <c r="K381" s="336"/>
      <c r="L381" s="336"/>
      <c r="M381" s="336"/>
      <c r="N381" s="336"/>
      <c r="O381" s="336"/>
      <c r="P381" s="336"/>
      <c r="Q381" s="336"/>
    </row>
    <row r="382" ht="15.75" customHeight="1">
      <c r="A382" s="336"/>
      <c r="B382" s="336"/>
      <c r="C382" s="336"/>
      <c r="D382" s="336"/>
      <c r="E382" s="336"/>
      <c r="F382" s="336"/>
      <c r="G382" s="336"/>
      <c r="H382" s="336"/>
      <c r="I382" s="336"/>
      <c r="J382" s="336"/>
      <c r="K382" s="336"/>
      <c r="L382" s="336"/>
      <c r="M382" s="336"/>
      <c r="N382" s="336"/>
      <c r="O382" s="336"/>
      <c r="P382" s="336"/>
      <c r="Q382" s="336"/>
    </row>
    <row r="383" ht="15.75" customHeight="1">
      <c r="A383" s="336"/>
      <c r="B383" s="336"/>
      <c r="C383" s="336"/>
      <c r="D383" s="336"/>
      <c r="E383" s="336"/>
      <c r="F383" s="336"/>
      <c r="G383" s="336"/>
      <c r="H383" s="336"/>
      <c r="I383" s="336"/>
      <c r="J383" s="336"/>
      <c r="K383" s="336"/>
      <c r="L383" s="336"/>
      <c r="M383" s="336"/>
      <c r="N383" s="336"/>
      <c r="O383" s="336"/>
      <c r="P383" s="336"/>
      <c r="Q383" s="336"/>
    </row>
    <row r="384" ht="15.75" customHeight="1">
      <c r="A384" s="336"/>
      <c r="B384" s="336"/>
      <c r="C384" s="336"/>
      <c r="D384" s="336"/>
      <c r="E384" s="336"/>
      <c r="F384" s="336"/>
      <c r="G384" s="336"/>
      <c r="H384" s="336"/>
      <c r="I384" s="336"/>
      <c r="J384" s="336"/>
      <c r="K384" s="336"/>
      <c r="L384" s="336"/>
      <c r="M384" s="336"/>
      <c r="N384" s="336"/>
      <c r="O384" s="336"/>
      <c r="P384" s="336"/>
      <c r="Q384" s="336"/>
    </row>
    <row r="385" ht="15.75" customHeight="1">
      <c r="A385" s="336"/>
      <c r="B385" s="336"/>
      <c r="C385" s="336"/>
      <c r="D385" s="336"/>
      <c r="E385" s="336"/>
      <c r="F385" s="336"/>
      <c r="G385" s="336"/>
      <c r="H385" s="336"/>
      <c r="I385" s="336"/>
      <c r="J385" s="336"/>
      <c r="K385" s="336"/>
      <c r="L385" s="336"/>
      <c r="M385" s="336"/>
      <c r="N385" s="336"/>
      <c r="O385" s="336"/>
      <c r="P385" s="336"/>
      <c r="Q385" s="336"/>
    </row>
    <row r="386" ht="15.75" customHeight="1">
      <c r="A386" s="336"/>
      <c r="B386" s="336"/>
      <c r="C386" s="336"/>
      <c r="D386" s="336"/>
      <c r="E386" s="336"/>
      <c r="F386" s="336"/>
      <c r="G386" s="336"/>
      <c r="H386" s="336"/>
      <c r="I386" s="336"/>
      <c r="J386" s="336"/>
      <c r="K386" s="336"/>
      <c r="L386" s="336"/>
      <c r="M386" s="336"/>
      <c r="N386" s="336"/>
      <c r="O386" s="336"/>
      <c r="P386" s="336"/>
      <c r="Q386" s="336"/>
    </row>
    <row r="387" ht="15.75" customHeight="1">
      <c r="A387" s="336"/>
      <c r="B387" s="336"/>
      <c r="C387" s="336"/>
      <c r="D387" s="336"/>
      <c r="E387" s="336"/>
      <c r="F387" s="336"/>
      <c r="G387" s="336"/>
      <c r="H387" s="336"/>
      <c r="I387" s="336"/>
      <c r="J387" s="336"/>
      <c r="K387" s="336"/>
      <c r="L387" s="336"/>
      <c r="M387" s="336"/>
      <c r="N387" s="336"/>
      <c r="O387" s="336"/>
      <c r="P387" s="336"/>
      <c r="Q387" s="336"/>
    </row>
    <row r="388" ht="15.75" customHeight="1">
      <c r="A388" s="336"/>
      <c r="B388" s="336"/>
      <c r="C388" s="336"/>
      <c r="D388" s="336"/>
      <c r="E388" s="336"/>
      <c r="F388" s="336"/>
      <c r="G388" s="336"/>
      <c r="H388" s="336"/>
      <c r="I388" s="336"/>
      <c r="J388" s="336"/>
      <c r="K388" s="336"/>
      <c r="L388" s="336"/>
      <c r="M388" s="336"/>
      <c r="N388" s="336"/>
      <c r="O388" s="336"/>
      <c r="P388" s="336"/>
      <c r="Q388" s="336"/>
    </row>
    <row r="389" ht="15.75" customHeight="1">
      <c r="A389" s="336"/>
      <c r="B389" s="336"/>
      <c r="C389" s="336"/>
      <c r="D389" s="336"/>
      <c r="E389" s="336"/>
      <c r="F389" s="336"/>
      <c r="G389" s="336"/>
      <c r="H389" s="336"/>
      <c r="I389" s="336"/>
      <c r="J389" s="336"/>
      <c r="K389" s="336"/>
      <c r="L389" s="336"/>
      <c r="M389" s="336"/>
      <c r="N389" s="336"/>
      <c r="O389" s="336"/>
      <c r="P389" s="336"/>
      <c r="Q389" s="336"/>
    </row>
    <row r="390" ht="15.75" customHeight="1">
      <c r="A390" s="336"/>
      <c r="B390" s="336"/>
      <c r="C390" s="336"/>
      <c r="D390" s="336"/>
      <c r="E390" s="336"/>
      <c r="F390" s="336"/>
      <c r="G390" s="336"/>
      <c r="H390" s="336"/>
      <c r="I390" s="336"/>
      <c r="J390" s="336"/>
      <c r="K390" s="336"/>
      <c r="L390" s="336"/>
      <c r="M390" s="336"/>
      <c r="N390" s="336"/>
      <c r="O390" s="336"/>
      <c r="P390" s="336"/>
      <c r="Q390" s="336"/>
    </row>
    <row r="391" ht="15.75" customHeight="1">
      <c r="A391" s="336"/>
      <c r="B391" s="336"/>
      <c r="C391" s="336"/>
      <c r="D391" s="336"/>
      <c r="E391" s="336"/>
      <c r="F391" s="336"/>
      <c r="G391" s="336"/>
      <c r="H391" s="336"/>
      <c r="I391" s="336"/>
      <c r="J391" s="336"/>
      <c r="K391" s="336"/>
      <c r="L391" s="336"/>
      <c r="M391" s="336"/>
      <c r="N391" s="336"/>
      <c r="O391" s="336"/>
      <c r="P391" s="336"/>
      <c r="Q391" s="336"/>
    </row>
    <row r="392" ht="15.75" customHeight="1">
      <c r="A392" s="336"/>
      <c r="B392" s="336"/>
      <c r="C392" s="336"/>
      <c r="D392" s="336"/>
      <c r="E392" s="336"/>
      <c r="F392" s="336"/>
      <c r="G392" s="336"/>
      <c r="H392" s="336"/>
      <c r="I392" s="336"/>
      <c r="J392" s="336"/>
      <c r="K392" s="336"/>
      <c r="L392" s="336"/>
      <c r="M392" s="336"/>
      <c r="N392" s="336"/>
      <c r="O392" s="336"/>
      <c r="P392" s="336"/>
      <c r="Q392" s="336"/>
    </row>
    <row r="393" ht="15.75" customHeight="1">
      <c r="A393" s="336"/>
      <c r="B393" s="336"/>
      <c r="C393" s="336"/>
      <c r="D393" s="336"/>
      <c r="E393" s="336"/>
      <c r="F393" s="336"/>
      <c r="G393" s="336"/>
      <c r="H393" s="336"/>
      <c r="I393" s="336"/>
      <c r="J393" s="336"/>
      <c r="K393" s="336"/>
      <c r="L393" s="336"/>
      <c r="M393" s="336"/>
      <c r="N393" s="336"/>
      <c r="O393" s="336"/>
      <c r="P393" s="336"/>
      <c r="Q393" s="336"/>
    </row>
    <row r="394" ht="15.75" customHeight="1">
      <c r="A394" s="336"/>
      <c r="B394" s="336"/>
      <c r="C394" s="336"/>
      <c r="D394" s="336"/>
      <c r="E394" s="336"/>
      <c r="F394" s="336"/>
      <c r="G394" s="336"/>
      <c r="H394" s="336"/>
      <c r="I394" s="336"/>
      <c r="J394" s="336"/>
      <c r="K394" s="336"/>
      <c r="L394" s="336"/>
      <c r="M394" s="336"/>
      <c r="N394" s="336"/>
      <c r="O394" s="336"/>
      <c r="P394" s="336"/>
      <c r="Q394" s="336"/>
    </row>
    <row r="395" ht="15.75" customHeight="1">
      <c r="A395" s="336"/>
      <c r="B395" s="336"/>
      <c r="C395" s="336"/>
      <c r="D395" s="336"/>
      <c r="E395" s="336"/>
      <c r="F395" s="336"/>
      <c r="G395" s="336"/>
      <c r="H395" s="336"/>
      <c r="I395" s="336"/>
      <c r="J395" s="336"/>
      <c r="K395" s="336"/>
      <c r="L395" s="336"/>
      <c r="M395" s="336"/>
      <c r="N395" s="336"/>
      <c r="O395" s="336"/>
      <c r="P395" s="336"/>
      <c r="Q395" s="336"/>
    </row>
    <row r="396" ht="15.75" customHeight="1">
      <c r="A396" s="336"/>
      <c r="B396" s="336"/>
      <c r="C396" s="336"/>
      <c r="D396" s="336"/>
      <c r="E396" s="336"/>
      <c r="F396" s="336"/>
      <c r="G396" s="336"/>
      <c r="H396" s="336"/>
      <c r="I396" s="336"/>
      <c r="J396" s="336"/>
      <c r="K396" s="336"/>
      <c r="L396" s="336"/>
      <c r="M396" s="336"/>
      <c r="N396" s="336"/>
      <c r="O396" s="336"/>
      <c r="P396" s="336"/>
      <c r="Q396" s="336"/>
    </row>
    <row r="397" ht="15.75" customHeight="1">
      <c r="A397" s="336"/>
      <c r="B397" s="336"/>
      <c r="C397" s="336"/>
      <c r="D397" s="336"/>
      <c r="E397" s="336"/>
      <c r="F397" s="336"/>
      <c r="G397" s="336"/>
      <c r="H397" s="336"/>
      <c r="I397" s="336"/>
      <c r="J397" s="336"/>
      <c r="K397" s="336"/>
      <c r="L397" s="336"/>
      <c r="M397" s="336"/>
      <c r="N397" s="336"/>
      <c r="O397" s="336"/>
      <c r="P397" s="336"/>
      <c r="Q397" s="336"/>
    </row>
    <row r="398" ht="15.75" customHeight="1">
      <c r="A398" s="336"/>
      <c r="B398" s="336"/>
      <c r="C398" s="336"/>
      <c r="D398" s="336"/>
      <c r="E398" s="336"/>
      <c r="F398" s="336"/>
      <c r="G398" s="336"/>
      <c r="H398" s="336"/>
      <c r="I398" s="336"/>
      <c r="J398" s="336"/>
      <c r="K398" s="336"/>
      <c r="L398" s="336"/>
      <c r="M398" s="336"/>
      <c r="N398" s="336"/>
      <c r="O398" s="336"/>
      <c r="P398" s="336"/>
      <c r="Q398" s="336"/>
    </row>
    <row r="399" ht="15.75" customHeight="1">
      <c r="A399" s="336"/>
      <c r="B399" s="336"/>
      <c r="C399" s="336"/>
      <c r="D399" s="336"/>
      <c r="E399" s="336"/>
      <c r="F399" s="336"/>
      <c r="G399" s="336"/>
      <c r="H399" s="336"/>
      <c r="I399" s="336"/>
      <c r="J399" s="336"/>
      <c r="K399" s="336"/>
      <c r="L399" s="336"/>
      <c r="M399" s="336"/>
      <c r="N399" s="336"/>
      <c r="O399" s="336"/>
      <c r="P399" s="336"/>
      <c r="Q399" s="336"/>
    </row>
    <row r="400" ht="15.75" customHeight="1">
      <c r="A400" s="336"/>
      <c r="B400" s="336"/>
      <c r="C400" s="336"/>
      <c r="D400" s="336"/>
      <c r="E400" s="336"/>
      <c r="F400" s="336"/>
      <c r="G400" s="336"/>
      <c r="H400" s="336"/>
      <c r="I400" s="336"/>
      <c r="J400" s="336"/>
      <c r="K400" s="336"/>
      <c r="L400" s="336"/>
      <c r="M400" s="336"/>
      <c r="N400" s="336"/>
      <c r="O400" s="336"/>
      <c r="P400" s="336"/>
      <c r="Q400" s="336"/>
    </row>
    <row r="401" ht="15.75" customHeight="1">
      <c r="A401" s="336"/>
      <c r="B401" s="336"/>
      <c r="C401" s="336"/>
      <c r="D401" s="336"/>
      <c r="E401" s="336"/>
      <c r="F401" s="336"/>
      <c r="G401" s="336"/>
      <c r="H401" s="336"/>
      <c r="I401" s="336"/>
      <c r="J401" s="336"/>
      <c r="K401" s="336"/>
      <c r="L401" s="336"/>
      <c r="M401" s="336"/>
      <c r="N401" s="336"/>
      <c r="O401" s="336"/>
      <c r="P401" s="336"/>
      <c r="Q401" s="336"/>
    </row>
    <row r="402" ht="15.75" customHeight="1">
      <c r="A402" s="336"/>
      <c r="B402" s="336"/>
      <c r="C402" s="336"/>
      <c r="D402" s="336"/>
      <c r="E402" s="336"/>
      <c r="F402" s="336"/>
      <c r="G402" s="336"/>
      <c r="H402" s="336"/>
      <c r="I402" s="336"/>
      <c r="J402" s="336"/>
      <c r="K402" s="336"/>
      <c r="L402" s="336"/>
      <c r="M402" s="336"/>
      <c r="N402" s="336"/>
      <c r="O402" s="336"/>
      <c r="P402" s="336"/>
      <c r="Q402" s="336"/>
    </row>
    <row r="403" ht="15.75" customHeight="1">
      <c r="A403" s="336"/>
      <c r="B403" s="336"/>
      <c r="C403" s="336"/>
      <c r="D403" s="336"/>
      <c r="E403" s="336"/>
      <c r="F403" s="336"/>
      <c r="G403" s="336"/>
      <c r="H403" s="336"/>
      <c r="I403" s="336"/>
      <c r="J403" s="336"/>
      <c r="K403" s="336"/>
      <c r="L403" s="336"/>
      <c r="M403" s="336"/>
      <c r="N403" s="336"/>
      <c r="O403" s="336"/>
      <c r="P403" s="336"/>
      <c r="Q403" s="336"/>
    </row>
    <row r="404" ht="15.75" customHeight="1">
      <c r="A404" s="336"/>
      <c r="B404" s="336"/>
      <c r="C404" s="336"/>
      <c r="D404" s="336"/>
      <c r="E404" s="336"/>
      <c r="F404" s="336"/>
      <c r="G404" s="336"/>
      <c r="H404" s="336"/>
      <c r="I404" s="336"/>
      <c r="J404" s="336"/>
      <c r="K404" s="336"/>
      <c r="L404" s="336"/>
      <c r="M404" s="336"/>
      <c r="N404" s="336"/>
      <c r="O404" s="336"/>
      <c r="P404" s="336"/>
      <c r="Q404" s="336"/>
    </row>
    <row r="405" ht="15.75" customHeight="1">
      <c r="A405" s="336"/>
      <c r="B405" s="336"/>
      <c r="C405" s="336"/>
      <c r="D405" s="336"/>
      <c r="E405" s="336"/>
      <c r="F405" s="336"/>
      <c r="G405" s="336"/>
      <c r="H405" s="336"/>
      <c r="I405" s="336"/>
      <c r="J405" s="336"/>
      <c r="K405" s="336"/>
      <c r="L405" s="336"/>
      <c r="M405" s="336"/>
      <c r="N405" s="336"/>
      <c r="O405" s="336"/>
      <c r="P405" s="336"/>
      <c r="Q405" s="336"/>
    </row>
    <row r="406" ht="15.75" customHeight="1">
      <c r="A406" s="336"/>
      <c r="B406" s="336"/>
      <c r="C406" s="336"/>
      <c r="D406" s="336"/>
      <c r="E406" s="336"/>
      <c r="F406" s="336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  <c r="Q406" s="336"/>
    </row>
    <row r="407" ht="15.75" customHeight="1">
      <c r="A407" s="336"/>
      <c r="B407" s="336"/>
      <c r="C407" s="336"/>
      <c r="D407" s="336"/>
      <c r="E407" s="336"/>
      <c r="F407" s="336"/>
      <c r="G407" s="336"/>
      <c r="H407" s="336"/>
      <c r="I407" s="336"/>
      <c r="J407" s="336"/>
      <c r="K407" s="336"/>
      <c r="L407" s="336"/>
      <c r="M407" s="336"/>
      <c r="N407" s="336"/>
      <c r="O407" s="336"/>
      <c r="P407" s="336"/>
      <c r="Q407" s="336"/>
    </row>
    <row r="408" ht="15.75" customHeight="1">
      <c r="A408" s="336"/>
      <c r="B408" s="336"/>
      <c r="C408" s="336"/>
      <c r="D408" s="336"/>
      <c r="E408" s="336"/>
      <c r="F408" s="336"/>
      <c r="G408" s="336"/>
      <c r="H408" s="336"/>
      <c r="I408" s="336"/>
      <c r="J408" s="336"/>
      <c r="K408" s="336"/>
      <c r="L408" s="336"/>
      <c r="M408" s="336"/>
      <c r="N408" s="336"/>
      <c r="O408" s="336"/>
      <c r="P408" s="336"/>
      <c r="Q408" s="336"/>
    </row>
    <row r="409" ht="15.75" customHeight="1">
      <c r="A409" s="336"/>
      <c r="B409" s="336"/>
      <c r="C409" s="336"/>
      <c r="D409" s="336"/>
      <c r="E409" s="336"/>
      <c r="F409" s="336"/>
      <c r="G409" s="336"/>
      <c r="H409" s="336"/>
      <c r="I409" s="336"/>
      <c r="J409" s="336"/>
      <c r="K409" s="336"/>
      <c r="L409" s="336"/>
      <c r="M409" s="336"/>
      <c r="N409" s="336"/>
      <c r="O409" s="336"/>
      <c r="P409" s="336"/>
      <c r="Q409" s="336"/>
    </row>
    <row r="410" ht="15.75" customHeight="1">
      <c r="A410" s="336"/>
      <c r="B410" s="336"/>
      <c r="C410" s="336"/>
      <c r="D410" s="336"/>
      <c r="E410" s="336"/>
      <c r="F410" s="336"/>
      <c r="G410" s="336"/>
      <c r="H410" s="336"/>
      <c r="I410" s="336"/>
      <c r="J410" s="336"/>
      <c r="K410" s="336"/>
      <c r="L410" s="336"/>
      <c r="M410" s="336"/>
      <c r="N410" s="336"/>
      <c r="O410" s="336"/>
      <c r="P410" s="336"/>
      <c r="Q410" s="336"/>
    </row>
    <row r="411" ht="15.75" customHeight="1">
      <c r="A411" s="336"/>
      <c r="B411" s="336"/>
      <c r="C411" s="336"/>
      <c r="D411" s="336"/>
      <c r="E411" s="336"/>
      <c r="F411" s="336"/>
      <c r="G411" s="336"/>
      <c r="H411" s="336"/>
      <c r="I411" s="336"/>
      <c r="J411" s="336"/>
      <c r="K411" s="336"/>
      <c r="L411" s="336"/>
      <c r="M411" s="336"/>
      <c r="N411" s="336"/>
      <c r="O411" s="336"/>
      <c r="P411" s="336"/>
      <c r="Q411" s="336"/>
    </row>
    <row r="412" ht="15.75" customHeight="1">
      <c r="A412" s="336"/>
      <c r="B412" s="336"/>
      <c r="C412" s="336"/>
      <c r="D412" s="336"/>
      <c r="E412" s="336"/>
      <c r="F412" s="336"/>
      <c r="G412" s="336"/>
      <c r="H412" s="336"/>
      <c r="I412" s="336"/>
      <c r="J412" s="336"/>
      <c r="K412" s="336"/>
      <c r="L412" s="336"/>
      <c r="M412" s="336"/>
      <c r="N412" s="336"/>
      <c r="O412" s="336"/>
      <c r="P412" s="336"/>
      <c r="Q412" s="336"/>
    </row>
    <row r="413" ht="15.75" customHeight="1">
      <c r="A413" s="336"/>
      <c r="B413" s="336"/>
      <c r="C413" s="336"/>
      <c r="D413" s="336"/>
      <c r="E413" s="336"/>
      <c r="F413" s="336"/>
      <c r="G413" s="336"/>
      <c r="H413" s="336"/>
      <c r="I413" s="336"/>
      <c r="J413" s="336"/>
      <c r="K413" s="336"/>
      <c r="L413" s="336"/>
      <c r="M413" s="336"/>
      <c r="N413" s="336"/>
      <c r="O413" s="336"/>
      <c r="P413" s="336"/>
      <c r="Q413" s="336"/>
    </row>
    <row r="414" ht="15.75" customHeight="1">
      <c r="A414" s="336"/>
      <c r="B414" s="336"/>
      <c r="C414" s="336"/>
      <c r="D414" s="336"/>
      <c r="E414" s="336"/>
      <c r="F414" s="336"/>
      <c r="G414" s="336"/>
      <c r="H414" s="336"/>
      <c r="I414" s="336"/>
      <c r="J414" s="336"/>
      <c r="K414" s="336"/>
      <c r="L414" s="336"/>
      <c r="M414" s="336"/>
      <c r="N414" s="336"/>
      <c r="O414" s="336"/>
      <c r="P414" s="336"/>
      <c r="Q414" s="336"/>
    </row>
    <row r="415" ht="15.75" customHeight="1">
      <c r="A415" s="336"/>
      <c r="B415" s="336"/>
      <c r="C415" s="336"/>
      <c r="D415" s="336"/>
      <c r="E415" s="336"/>
      <c r="F415" s="336"/>
      <c r="G415" s="336"/>
      <c r="H415" s="336"/>
      <c r="I415" s="336"/>
      <c r="J415" s="336"/>
      <c r="K415" s="336"/>
      <c r="L415" s="336"/>
      <c r="M415" s="336"/>
      <c r="N415" s="336"/>
      <c r="O415" s="336"/>
      <c r="P415" s="336"/>
      <c r="Q415" s="336"/>
    </row>
    <row r="416" ht="15.75" customHeight="1">
      <c r="A416" s="336"/>
      <c r="B416" s="336"/>
      <c r="C416" s="336"/>
      <c r="D416" s="336"/>
      <c r="E416" s="336"/>
      <c r="F416" s="336"/>
      <c r="G416" s="336"/>
      <c r="H416" s="336"/>
      <c r="I416" s="336"/>
      <c r="J416" s="336"/>
      <c r="K416" s="336"/>
      <c r="L416" s="336"/>
      <c r="M416" s="336"/>
      <c r="N416" s="336"/>
      <c r="O416" s="336"/>
      <c r="P416" s="336"/>
      <c r="Q416" s="336"/>
    </row>
    <row r="417" ht="15.75" customHeight="1">
      <c r="A417" s="336"/>
      <c r="B417" s="336"/>
      <c r="C417" s="336"/>
      <c r="D417" s="336"/>
      <c r="E417" s="336"/>
      <c r="F417" s="336"/>
      <c r="G417" s="336"/>
      <c r="H417" s="336"/>
      <c r="I417" s="336"/>
      <c r="J417" s="336"/>
      <c r="K417" s="336"/>
      <c r="L417" s="336"/>
      <c r="M417" s="336"/>
      <c r="N417" s="336"/>
      <c r="O417" s="336"/>
      <c r="P417" s="336"/>
      <c r="Q417" s="336"/>
    </row>
    <row r="418" ht="15.75" customHeight="1">
      <c r="A418" s="336"/>
      <c r="B418" s="336"/>
      <c r="C418" s="336"/>
      <c r="D418" s="336"/>
      <c r="E418" s="336"/>
      <c r="F418" s="336"/>
      <c r="G418" s="336"/>
      <c r="H418" s="336"/>
      <c r="I418" s="336"/>
      <c r="J418" s="336"/>
      <c r="K418" s="336"/>
      <c r="L418" s="336"/>
      <c r="M418" s="336"/>
      <c r="N418" s="336"/>
      <c r="O418" s="336"/>
      <c r="P418" s="336"/>
      <c r="Q418" s="336"/>
    </row>
    <row r="419" ht="15.75" customHeight="1">
      <c r="A419" s="336"/>
      <c r="B419" s="336"/>
      <c r="C419" s="336"/>
      <c r="D419" s="336"/>
      <c r="E419" s="336"/>
      <c r="F419" s="336"/>
      <c r="G419" s="336"/>
      <c r="H419" s="336"/>
      <c r="I419" s="336"/>
      <c r="J419" s="336"/>
      <c r="K419" s="336"/>
      <c r="L419" s="336"/>
      <c r="M419" s="336"/>
      <c r="N419" s="336"/>
      <c r="O419" s="336"/>
      <c r="P419" s="336"/>
      <c r="Q419" s="336"/>
    </row>
    <row r="420" ht="15.75" customHeight="1">
      <c r="A420" s="336"/>
      <c r="B420" s="336"/>
      <c r="C420" s="336"/>
      <c r="D420" s="336"/>
      <c r="E420" s="336"/>
      <c r="F420" s="336"/>
      <c r="G420" s="336"/>
      <c r="H420" s="336"/>
      <c r="I420" s="336"/>
      <c r="J420" s="336"/>
      <c r="K420" s="336"/>
      <c r="L420" s="336"/>
      <c r="M420" s="336"/>
      <c r="N420" s="336"/>
      <c r="O420" s="336"/>
      <c r="P420" s="336"/>
      <c r="Q420" s="336"/>
    </row>
    <row r="421" ht="15.75" customHeight="1">
      <c r="A421" s="336"/>
      <c r="B421" s="336"/>
      <c r="C421" s="336"/>
      <c r="D421" s="336"/>
      <c r="E421" s="336"/>
      <c r="F421" s="336"/>
      <c r="G421" s="336"/>
      <c r="H421" s="336"/>
      <c r="I421" s="336"/>
      <c r="J421" s="336"/>
      <c r="K421" s="336"/>
      <c r="L421" s="336"/>
      <c r="M421" s="336"/>
      <c r="N421" s="336"/>
      <c r="O421" s="336"/>
      <c r="P421" s="336"/>
      <c r="Q421" s="336"/>
    </row>
    <row r="422" ht="15.75" customHeight="1">
      <c r="A422" s="336"/>
      <c r="B422" s="336"/>
      <c r="C422" s="336"/>
      <c r="D422" s="336"/>
      <c r="E422" s="336"/>
      <c r="F422" s="336"/>
      <c r="G422" s="336"/>
      <c r="H422" s="336"/>
      <c r="I422" s="336"/>
      <c r="J422" s="336"/>
      <c r="K422" s="336"/>
      <c r="L422" s="336"/>
      <c r="M422" s="336"/>
      <c r="N422" s="336"/>
      <c r="O422" s="336"/>
      <c r="P422" s="336"/>
      <c r="Q422" s="336"/>
    </row>
    <row r="423" ht="15.75" customHeight="1">
      <c r="A423" s="336"/>
      <c r="B423" s="336"/>
      <c r="C423" s="336"/>
      <c r="D423" s="336"/>
      <c r="E423" s="336"/>
      <c r="F423" s="336"/>
      <c r="G423" s="336"/>
      <c r="H423" s="336"/>
      <c r="I423" s="336"/>
      <c r="J423" s="336"/>
      <c r="K423" s="336"/>
      <c r="L423" s="336"/>
      <c r="M423" s="336"/>
      <c r="N423" s="336"/>
      <c r="O423" s="336"/>
      <c r="P423" s="336"/>
      <c r="Q423" s="336"/>
    </row>
    <row r="424" ht="15.75" customHeight="1">
      <c r="A424" s="336"/>
      <c r="B424" s="336"/>
      <c r="C424" s="336"/>
      <c r="D424" s="336"/>
      <c r="E424" s="336"/>
      <c r="F424" s="336"/>
      <c r="G424" s="336"/>
      <c r="H424" s="336"/>
      <c r="I424" s="336"/>
      <c r="J424" s="336"/>
      <c r="K424" s="336"/>
      <c r="L424" s="336"/>
      <c r="M424" s="336"/>
      <c r="N424" s="336"/>
      <c r="O424" s="336"/>
      <c r="P424" s="336"/>
      <c r="Q424" s="336"/>
    </row>
    <row r="425" ht="15.75" customHeight="1">
      <c r="A425" s="336"/>
      <c r="B425" s="336"/>
      <c r="C425" s="336"/>
      <c r="D425" s="336"/>
      <c r="E425" s="336"/>
      <c r="F425" s="336"/>
      <c r="G425" s="336"/>
      <c r="H425" s="336"/>
      <c r="I425" s="336"/>
      <c r="J425" s="336"/>
      <c r="K425" s="336"/>
      <c r="L425" s="336"/>
      <c r="M425" s="336"/>
      <c r="N425" s="336"/>
      <c r="O425" s="336"/>
      <c r="P425" s="336"/>
      <c r="Q425" s="336"/>
    </row>
    <row r="426" ht="15.75" customHeight="1">
      <c r="A426" s="336"/>
      <c r="B426" s="336"/>
      <c r="C426" s="336"/>
      <c r="D426" s="336"/>
      <c r="E426" s="336"/>
      <c r="F426" s="336"/>
      <c r="G426" s="336"/>
      <c r="H426" s="336"/>
      <c r="I426" s="336"/>
      <c r="J426" s="336"/>
      <c r="K426" s="336"/>
      <c r="L426" s="336"/>
      <c r="M426" s="336"/>
      <c r="N426" s="336"/>
      <c r="O426" s="336"/>
      <c r="P426" s="336"/>
      <c r="Q426" s="336"/>
    </row>
    <row r="427" ht="15.75" customHeight="1">
      <c r="A427" s="336"/>
      <c r="B427" s="336"/>
      <c r="C427" s="336"/>
      <c r="D427" s="336"/>
      <c r="E427" s="336"/>
      <c r="F427" s="336"/>
      <c r="G427" s="336"/>
      <c r="H427" s="336"/>
      <c r="I427" s="336"/>
      <c r="J427" s="336"/>
      <c r="K427" s="336"/>
      <c r="L427" s="336"/>
      <c r="M427" s="336"/>
      <c r="N427" s="336"/>
      <c r="O427" s="336"/>
      <c r="P427" s="336"/>
      <c r="Q427" s="336"/>
    </row>
    <row r="428" ht="15.75" customHeight="1">
      <c r="A428" s="336"/>
      <c r="B428" s="336"/>
      <c r="C428" s="336"/>
      <c r="D428" s="336"/>
      <c r="E428" s="336"/>
      <c r="F428" s="336"/>
      <c r="G428" s="336"/>
      <c r="H428" s="336"/>
      <c r="I428" s="336"/>
      <c r="J428" s="336"/>
      <c r="K428" s="336"/>
      <c r="L428" s="336"/>
      <c r="M428" s="336"/>
      <c r="N428" s="336"/>
      <c r="O428" s="336"/>
      <c r="P428" s="336"/>
      <c r="Q428" s="336"/>
    </row>
    <row r="429" ht="15.75" customHeight="1">
      <c r="A429" s="336"/>
      <c r="B429" s="336"/>
      <c r="C429" s="336"/>
      <c r="D429" s="336"/>
      <c r="E429" s="336"/>
      <c r="F429" s="336"/>
      <c r="G429" s="336"/>
      <c r="H429" s="336"/>
      <c r="I429" s="336"/>
      <c r="J429" s="336"/>
      <c r="K429" s="336"/>
      <c r="L429" s="336"/>
      <c r="M429" s="336"/>
      <c r="N429" s="336"/>
      <c r="O429" s="336"/>
      <c r="P429" s="336"/>
      <c r="Q429" s="336"/>
    </row>
    <row r="430" ht="15.75" customHeight="1">
      <c r="A430" s="336"/>
      <c r="B430" s="336"/>
      <c r="C430" s="336"/>
      <c r="D430" s="336"/>
      <c r="E430" s="336"/>
      <c r="F430" s="336"/>
      <c r="G430" s="336"/>
      <c r="H430" s="336"/>
      <c r="I430" s="336"/>
      <c r="J430" s="336"/>
      <c r="K430" s="336"/>
      <c r="L430" s="336"/>
      <c r="M430" s="336"/>
      <c r="N430" s="336"/>
      <c r="O430" s="336"/>
      <c r="P430" s="336"/>
      <c r="Q430" s="336"/>
    </row>
    <row r="431" ht="15.75" customHeight="1">
      <c r="A431" s="336"/>
      <c r="B431" s="336"/>
      <c r="C431" s="336"/>
      <c r="D431" s="336"/>
      <c r="E431" s="336"/>
      <c r="F431" s="336"/>
      <c r="G431" s="336"/>
      <c r="H431" s="336"/>
      <c r="I431" s="336"/>
      <c r="J431" s="336"/>
      <c r="K431" s="336"/>
      <c r="L431" s="336"/>
      <c r="M431" s="336"/>
      <c r="N431" s="336"/>
      <c r="O431" s="336"/>
      <c r="P431" s="336"/>
      <c r="Q431" s="336"/>
    </row>
    <row r="432" ht="15.75" customHeight="1">
      <c r="A432" s="336"/>
      <c r="B432" s="336"/>
      <c r="C432" s="336"/>
      <c r="D432" s="336"/>
      <c r="E432" s="336"/>
      <c r="F432" s="336"/>
      <c r="G432" s="336"/>
      <c r="H432" s="336"/>
      <c r="I432" s="336"/>
      <c r="J432" s="336"/>
      <c r="K432" s="336"/>
      <c r="L432" s="336"/>
      <c r="M432" s="336"/>
      <c r="N432" s="336"/>
      <c r="O432" s="336"/>
      <c r="P432" s="336"/>
      <c r="Q432" s="336"/>
    </row>
    <row r="433" ht="15.75" customHeight="1">
      <c r="A433" s="336"/>
      <c r="B433" s="336"/>
      <c r="C433" s="336"/>
      <c r="D433" s="336"/>
      <c r="E433" s="336"/>
      <c r="F433" s="336"/>
      <c r="G433" s="336"/>
      <c r="H433" s="336"/>
      <c r="I433" s="336"/>
      <c r="J433" s="336"/>
      <c r="K433" s="336"/>
      <c r="L433" s="336"/>
      <c r="M433" s="336"/>
      <c r="N433" s="336"/>
      <c r="O433" s="336"/>
      <c r="P433" s="336"/>
      <c r="Q433" s="336"/>
    </row>
    <row r="434" ht="15.75" customHeight="1">
      <c r="A434" s="336"/>
      <c r="B434" s="336"/>
      <c r="C434" s="336"/>
      <c r="D434" s="336"/>
      <c r="E434" s="336"/>
      <c r="F434" s="336"/>
      <c r="G434" s="336"/>
      <c r="H434" s="336"/>
      <c r="I434" s="336"/>
      <c r="J434" s="336"/>
      <c r="K434" s="336"/>
      <c r="L434" s="336"/>
      <c r="M434" s="336"/>
      <c r="N434" s="336"/>
      <c r="O434" s="336"/>
      <c r="P434" s="336"/>
      <c r="Q434" s="336"/>
    </row>
    <row r="435" ht="15.75" customHeight="1">
      <c r="A435" s="336"/>
      <c r="B435" s="336"/>
      <c r="C435" s="336"/>
      <c r="D435" s="336"/>
      <c r="E435" s="336"/>
      <c r="F435" s="336"/>
      <c r="G435" s="336"/>
      <c r="H435" s="336"/>
      <c r="I435" s="336"/>
      <c r="J435" s="336"/>
      <c r="K435" s="336"/>
      <c r="L435" s="336"/>
      <c r="M435" s="336"/>
      <c r="N435" s="336"/>
      <c r="O435" s="336"/>
      <c r="P435" s="336"/>
      <c r="Q435" s="336"/>
    </row>
    <row r="436" ht="15.75" customHeight="1">
      <c r="A436" s="336"/>
      <c r="B436" s="336"/>
      <c r="C436" s="336"/>
      <c r="D436" s="336"/>
      <c r="E436" s="336"/>
      <c r="F436" s="336"/>
      <c r="G436" s="336"/>
      <c r="H436" s="336"/>
      <c r="I436" s="336"/>
      <c r="J436" s="336"/>
      <c r="K436" s="336"/>
      <c r="L436" s="336"/>
      <c r="M436" s="336"/>
      <c r="N436" s="336"/>
      <c r="O436" s="336"/>
      <c r="P436" s="336"/>
      <c r="Q436" s="336"/>
    </row>
    <row r="437" ht="15.75" customHeight="1">
      <c r="A437" s="336"/>
      <c r="B437" s="336"/>
      <c r="C437" s="336"/>
      <c r="D437" s="336"/>
      <c r="E437" s="336"/>
      <c r="F437" s="336"/>
      <c r="G437" s="336"/>
      <c r="H437" s="336"/>
      <c r="I437" s="336"/>
      <c r="J437" s="336"/>
      <c r="K437" s="336"/>
      <c r="L437" s="336"/>
      <c r="M437" s="336"/>
      <c r="N437" s="336"/>
      <c r="O437" s="336"/>
      <c r="P437" s="336"/>
      <c r="Q437" s="336"/>
    </row>
    <row r="438" ht="15.75" customHeight="1">
      <c r="A438" s="336"/>
      <c r="B438" s="336"/>
      <c r="C438" s="336"/>
      <c r="D438" s="336"/>
      <c r="E438" s="336"/>
      <c r="F438" s="336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  <c r="Q438" s="336"/>
    </row>
    <row r="439" ht="15.75" customHeight="1">
      <c r="A439" s="336"/>
      <c r="B439" s="336"/>
      <c r="C439" s="336"/>
      <c r="D439" s="336"/>
      <c r="E439" s="336"/>
      <c r="F439" s="336"/>
      <c r="G439" s="336"/>
      <c r="H439" s="336"/>
      <c r="I439" s="336"/>
      <c r="J439" s="336"/>
      <c r="K439" s="336"/>
      <c r="L439" s="336"/>
      <c r="M439" s="336"/>
      <c r="N439" s="336"/>
      <c r="O439" s="336"/>
      <c r="P439" s="336"/>
      <c r="Q439" s="336"/>
    </row>
    <row r="440" ht="15.75" customHeight="1">
      <c r="A440" s="336"/>
      <c r="B440" s="336"/>
      <c r="C440" s="336"/>
      <c r="D440" s="336"/>
      <c r="E440" s="336"/>
      <c r="F440" s="336"/>
      <c r="G440" s="336"/>
      <c r="H440" s="336"/>
      <c r="I440" s="336"/>
      <c r="J440" s="336"/>
      <c r="K440" s="336"/>
      <c r="L440" s="336"/>
      <c r="M440" s="336"/>
      <c r="N440" s="336"/>
      <c r="O440" s="336"/>
      <c r="P440" s="336"/>
      <c r="Q440" s="336"/>
    </row>
    <row r="441" ht="15.75" customHeight="1">
      <c r="A441" s="336"/>
      <c r="B441" s="336"/>
      <c r="C441" s="336"/>
      <c r="D441" s="336"/>
      <c r="E441" s="336"/>
      <c r="F441" s="336"/>
      <c r="G441" s="336"/>
      <c r="H441" s="336"/>
      <c r="I441" s="336"/>
      <c r="J441" s="336"/>
      <c r="K441" s="336"/>
      <c r="L441" s="336"/>
      <c r="M441" s="336"/>
      <c r="N441" s="336"/>
      <c r="O441" s="336"/>
      <c r="P441" s="336"/>
      <c r="Q441" s="336"/>
    </row>
    <row r="442" ht="15.75" customHeight="1">
      <c r="A442" s="336"/>
      <c r="B442" s="336"/>
      <c r="C442" s="336"/>
      <c r="D442" s="336"/>
      <c r="E442" s="336"/>
      <c r="F442" s="336"/>
      <c r="G442" s="336"/>
      <c r="H442" s="336"/>
      <c r="I442" s="336"/>
      <c r="J442" s="336"/>
      <c r="K442" s="336"/>
      <c r="L442" s="336"/>
      <c r="M442" s="336"/>
      <c r="N442" s="336"/>
      <c r="O442" s="336"/>
      <c r="P442" s="336"/>
      <c r="Q442" s="336"/>
    </row>
    <row r="443" ht="15.75" customHeight="1">
      <c r="A443" s="336"/>
      <c r="B443" s="336"/>
      <c r="C443" s="336"/>
      <c r="D443" s="336"/>
      <c r="E443" s="336"/>
      <c r="F443" s="336"/>
      <c r="G443" s="336"/>
      <c r="H443" s="336"/>
      <c r="I443" s="336"/>
      <c r="J443" s="336"/>
      <c r="K443" s="336"/>
      <c r="L443" s="336"/>
      <c r="M443" s="336"/>
      <c r="N443" s="336"/>
      <c r="O443" s="336"/>
      <c r="P443" s="336"/>
      <c r="Q443" s="336"/>
    </row>
    <row r="444" ht="15.75" customHeight="1">
      <c r="A444" s="336"/>
      <c r="B444" s="336"/>
      <c r="C444" s="336"/>
      <c r="D444" s="336"/>
      <c r="E444" s="336"/>
      <c r="F444" s="336"/>
      <c r="G444" s="336"/>
      <c r="H444" s="336"/>
      <c r="I444" s="336"/>
      <c r="J444" s="336"/>
      <c r="K444" s="336"/>
      <c r="L444" s="336"/>
      <c r="M444" s="336"/>
      <c r="N444" s="336"/>
      <c r="O444" s="336"/>
      <c r="P444" s="336"/>
      <c r="Q444" s="336"/>
    </row>
    <row r="445" ht="15.75" customHeight="1">
      <c r="A445" s="336"/>
      <c r="B445" s="336"/>
      <c r="C445" s="336"/>
      <c r="D445" s="336"/>
      <c r="E445" s="336"/>
      <c r="F445" s="336"/>
      <c r="G445" s="336"/>
      <c r="H445" s="336"/>
      <c r="I445" s="336"/>
      <c r="J445" s="336"/>
      <c r="K445" s="336"/>
      <c r="L445" s="336"/>
      <c r="M445" s="336"/>
      <c r="N445" s="336"/>
      <c r="O445" s="336"/>
      <c r="P445" s="336"/>
      <c r="Q445" s="336"/>
    </row>
    <row r="446" ht="15.75" customHeight="1">
      <c r="A446" s="336"/>
      <c r="B446" s="336"/>
      <c r="C446" s="336"/>
      <c r="D446" s="336"/>
      <c r="E446" s="336"/>
      <c r="F446" s="336"/>
      <c r="G446" s="336"/>
      <c r="H446" s="336"/>
      <c r="I446" s="336"/>
      <c r="J446" s="336"/>
      <c r="K446" s="336"/>
      <c r="L446" s="336"/>
      <c r="M446" s="336"/>
      <c r="N446" s="336"/>
      <c r="O446" s="336"/>
      <c r="P446" s="336"/>
      <c r="Q446" s="336"/>
    </row>
    <row r="447" ht="15.75" customHeight="1">
      <c r="A447" s="336"/>
      <c r="B447" s="336"/>
      <c r="C447" s="336"/>
      <c r="D447" s="336"/>
      <c r="E447" s="336"/>
      <c r="F447" s="336"/>
      <c r="G447" s="336"/>
      <c r="H447" s="336"/>
      <c r="I447" s="336"/>
      <c r="J447" s="336"/>
      <c r="K447" s="336"/>
      <c r="L447" s="336"/>
      <c r="M447" s="336"/>
      <c r="N447" s="336"/>
      <c r="O447" s="336"/>
      <c r="P447" s="336"/>
      <c r="Q447" s="336"/>
    </row>
    <row r="448" ht="15.75" customHeight="1">
      <c r="A448" s="336"/>
      <c r="B448" s="336"/>
      <c r="C448" s="336"/>
      <c r="D448" s="336"/>
      <c r="E448" s="336"/>
      <c r="F448" s="336"/>
      <c r="G448" s="336"/>
      <c r="H448" s="336"/>
      <c r="I448" s="336"/>
      <c r="J448" s="336"/>
      <c r="K448" s="336"/>
      <c r="L448" s="336"/>
      <c r="M448" s="336"/>
      <c r="N448" s="336"/>
      <c r="O448" s="336"/>
      <c r="P448" s="336"/>
      <c r="Q448" s="336"/>
    </row>
    <row r="449" ht="15.75" customHeight="1">
      <c r="A449" s="336"/>
      <c r="B449" s="336"/>
      <c r="C449" s="336"/>
      <c r="D449" s="336"/>
      <c r="E449" s="336"/>
      <c r="F449" s="336"/>
      <c r="G449" s="336"/>
      <c r="H449" s="336"/>
      <c r="I449" s="336"/>
      <c r="J449" s="336"/>
      <c r="K449" s="336"/>
      <c r="L449" s="336"/>
      <c r="M449" s="336"/>
      <c r="N449" s="336"/>
      <c r="O449" s="336"/>
      <c r="P449" s="336"/>
      <c r="Q449" s="336"/>
    </row>
    <row r="450" ht="15.75" customHeight="1">
      <c r="A450" s="336"/>
      <c r="B450" s="336"/>
      <c r="C450" s="336"/>
      <c r="D450" s="336"/>
      <c r="E450" s="336"/>
      <c r="F450" s="336"/>
      <c r="G450" s="336"/>
      <c r="H450" s="336"/>
      <c r="I450" s="336"/>
      <c r="J450" s="336"/>
      <c r="K450" s="336"/>
      <c r="L450" s="336"/>
      <c r="M450" s="336"/>
      <c r="N450" s="336"/>
      <c r="O450" s="336"/>
      <c r="P450" s="336"/>
      <c r="Q450" s="336"/>
    </row>
    <row r="451" ht="15.75" customHeight="1">
      <c r="A451" s="336"/>
      <c r="B451" s="336"/>
      <c r="C451" s="336"/>
      <c r="D451" s="336"/>
      <c r="E451" s="336"/>
      <c r="F451" s="336"/>
      <c r="G451" s="336"/>
      <c r="H451" s="336"/>
      <c r="I451" s="336"/>
      <c r="J451" s="336"/>
      <c r="K451" s="336"/>
      <c r="L451" s="336"/>
      <c r="M451" s="336"/>
      <c r="N451" s="336"/>
      <c r="O451" s="336"/>
      <c r="P451" s="336"/>
      <c r="Q451" s="336"/>
    </row>
    <row r="452" ht="15.75" customHeight="1">
      <c r="A452" s="336"/>
      <c r="B452" s="336"/>
      <c r="C452" s="336"/>
      <c r="D452" s="336"/>
      <c r="E452" s="336"/>
      <c r="F452" s="336"/>
      <c r="G452" s="336"/>
      <c r="H452" s="336"/>
      <c r="I452" s="336"/>
      <c r="J452" s="336"/>
      <c r="K452" s="336"/>
      <c r="L452" s="336"/>
      <c r="M452" s="336"/>
      <c r="N452" s="336"/>
      <c r="O452" s="336"/>
      <c r="P452" s="336"/>
      <c r="Q452" s="336"/>
    </row>
    <row r="453" ht="15.75" customHeight="1">
      <c r="A453" s="336"/>
      <c r="B453" s="336"/>
      <c r="C453" s="336"/>
      <c r="D453" s="336"/>
      <c r="E453" s="336"/>
      <c r="F453" s="336"/>
      <c r="G453" s="336"/>
      <c r="H453" s="336"/>
      <c r="I453" s="336"/>
      <c r="J453" s="336"/>
      <c r="K453" s="336"/>
      <c r="L453" s="336"/>
      <c r="M453" s="336"/>
      <c r="N453" s="336"/>
      <c r="O453" s="336"/>
      <c r="P453" s="336"/>
      <c r="Q453" s="336"/>
    </row>
    <row r="454" ht="15.75" customHeight="1">
      <c r="A454" s="336"/>
      <c r="B454" s="336"/>
      <c r="C454" s="336"/>
      <c r="D454" s="336"/>
      <c r="E454" s="336"/>
      <c r="F454" s="336"/>
      <c r="G454" s="336"/>
      <c r="H454" s="336"/>
      <c r="I454" s="336"/>
      <c r="J454" s="336"/>
      <c r="K454" s="336"/>
      <c r="L454" s="336"/>
      <c r="M454" s="336"/>
      <c r="N454" s="336"/>
      <c r="O454" s="336"/>
      <c r="P454" s="336"/>
      <c r="Q454" s="336"/>
    </row>
    <row r="455" ht="15.75" customHeight="1">
      <c r="A455" s="336"/>
      <c r="B455" s="336"/>
      <c r="C455" s="336"/>
      <c r="D455" s="336"/>
      <c r="E455" s="336"/>
      <c r="F455" s="336"/>
      <c r="G455" s="336"/>
      <c r="H455" s="336"/>
      <c r="I455" s="336"/>
      <c r="J455" s="336"/>
      <c r="K455" s="336"/>
      <c r="L455" s="336"/>
      <c r="M455" s="336"/>
      <c r="N455" s="336"/>
      <c r="O455" s="336"/>
      <c r="P455" s="336"/>
      <c r="Q455" s="336"/>
    </row>
    <row r="456" ht="15.75" customHeight="1">
      <c r="A456" s="336"/>
      <c r="B456" s="336"/>
      <c r="C456" s="336"/>
      <c r="D456" s="336"/>
      <c r="E456" s="336"/>
      <c r="F456" s="336"/>
      <c r="G456" s="336"/>
      <c r="H456" s="336"/>
      <c r="I456" s="336"/>
      <c r="J456" s="336"/>
      <c r="K456" s="336"/>
      <c r="L456" s="336"/>
      <c r="M456" s="336"/>
      <c r="N456" s="336"/>
      <c r="O456" s="336"/>
      <c r="P456" s="336"/>
      <c r="Q456" s="336"/>
    </row>
    <row r="457" ht="15.75" customHeight="1">
      <c r="A457" s="336"/>
      <c r="B457" s="336"/>
      <c r="C457" s="336"/>
      <c r="D457" s="336"/>
      <c r="E457" s="336"/>
      <c r="F457" s="336"/>
      <c r="G457" s="336"/>
      <c r="H457" s="336"/>
      <c r="I457" s="336"/>
      <c r="J457" s="336"/>
      <c r="K457" s="336"/>
      <c r="L457" s="336"/>
      <c r="M457" s="336"/>
      <c r="N457" s="336"/>
      <c r="O457" s="336"/>
      <c r="P457" s="336"/>
      <c r="Q457" s="336"/>
    </row>
    <row r="458" ht="15.75" customHeight="1">
      <c r="A458" s="336"/>
      <c r="B458" s="336"/>
      <c r="C458" s="336"/>
      <c r="D458" s="336"/>
      <c r="E458" s="336"/>
      <c r="F458" s="336"/>
      <c r="G458" s="336"/>
      <c r="H458" s="336"/>
      <c r="I458" s="336"/>
      <c r="J458" s="336"/>
      <c r="K458" s="336"/>
      <c r="L458" s="336"/>
      <c r="M458" s="336"/>
      <c r="N458" s="336"/>
      <c r="O458" s="336"/>
      <c r="P458" s="336"/>
      <c r="Q458" s="336"/>
    </row>
    <row r="459" ht="15.75" customHeight="1">
      <c r="A459" s="336"/>
      <c r="B459" s="336"/>
      <c r="C459" s="336"/>
      <c r="D459" s="336"/>
      <c r="E459" s="336"/>
      <c r="F459" s="336"/>
      <c r="G459" s="336"/>
      <c r="H459" s="336"/>
      <c r="I459" s="336"/>
      <c r="J459" s="336"/>
      <c r="K459" s="336"/>
      <c r="L459" s="336"/>
      <c r="M459" s="336"/>
      <c r="N459" s="336"/>
      <c r="O459" s="336"/>
      <c r="P459" s="336"/>
      <c r="Q459" s="336"/>
    </row>
    <row r="460" ht="15.75" customHeight="1">
      <c r="A460" s="336"/>
      <c r="B460" s="336"/>
      <c r="C460" s="336"/>
      <c r="D460" s="336"/>
      <c r="E460" s="336"/>
      <c r="F460" s="336"/>
      <c r="G460" s="336"/>
      <c r="H460" s="336"/>
      <c r="I460" s="336"/>
      <c r="J460" s="336"/>
      <c r="K460" s="336"/>
      <c r="L460" s="336"/>
      <c r="M460" s="336"/>
      <c r="N460" s="336"/>
      <c r="O460" s="336"/>
      <c r="P460" s="336"/>
      <c r="Q460" s="336"/>
    </row>
    <row r="461" ht="15.75" customHeight="1">
      <c r="A461" s="336"/>
      <c r="B461" s="336"/>
      <c r="C461" s="336"/>
      <c r="D461" s="336"/>
      <c r="E461" s="336"/>
      <c r="F461" s="336"/>
      <c r="G461" s="336"/>
      <c r="H461" s="336"/>
      <c r="I461" s="336"/>
      <c r="J461" s="336"/>
      <c r="K461" s="336"/>
      <c r="L461" s="336"/>
      <c r="M461" s="336"/>
      <c r="N461" s="336"/>
      <c r="O461" s="336"/>
      <c r="P461" s="336"/>
      <c r="Q461" s="336"/>
    </row>
    <row r="462" ht="15.75" customHeight="1">
      <c r="A462" s="336"/>
      <c r="B462" s="336"/>
      <c r="C462" s="336"/>
      <c r="D462" s="336"/>
      <c r="E462" s="336"/>
      <c r="F462" s="336"/>
      <c r="G462" s="336"/>
      <c r="H462" s="336"/>
      <c r="I462" s="336"/>
      <c r="J462" s="336"/>
      <c r="K462" s="336"/>
      <c r="L462" s="336"/>
      <c r="M462" s="336"/>
      <c r="N462" s="336"/>
      <c r="O462" s="336"/>
      <c r="P462" s="336"/>
      <c r="Q462" s="336"/>
    </row>
    <row r="463" ht="15.75" customHeight="1">
      <c r="A463" s="336"/>
      <c r="B463" s="336"/>
      <c r="C463" s="336"/>
      <c r="D463" s="336"/>
      <c r="E463" s="336"/>
      <c r="F463" s="336"/>
      <c r="G463" s="336"/>
      <c r="H463" s="336"/>
      <c r="I463" s="336"/>
      <c r="J463" s="336"/>
      <c r="K463" s="336"/>
      <c r="L463" s="336"/>
      <c r="M463" s="336"/>
      <c r="N463" s="336"/>
      <c r="O463" s="336"/>
      <c r="P463" s="336"/>
      <c r="Q463" s="336"/>
    </row>
    <row r="464" ht="15.75" customHeight="1">
      <c r="A464" s="336"/>
      <c r="B464" s="336"/>
      <c r="C464" s="336"/>
      <c r="D464" s="336"/>
      <c r="E464" s="336"/>
      <c r="F464" s="336"/>
      <c r="G464" s="336"/>
      <c r="H464" s="336"/>
      <c r="I464" s="336"/>
      <c r="J464" s="336"/>
      <c r="K464" s="336"/>
      <c r="L464" s="336"/>
      <c r="M464" s="336"/>
      <c r="N464" s="336"/>
      <c r="O464" s="336"/>
      <c r="P464" s="336"/>
      <c r="Q464" s="336"/>
    </row>
    <row r="465" ht="15.75" customHeight="1">
      <c r="A465" s="336"/>
      <c r="B465" s="336"/>
      <c r="C465" s="336"/>
      <c r="D465" s="336"/>
      <c r="E465" s="336"/>
      <c r="F465" s="336"/>
      <c r="G465" s="336"/>
      <c r="H465" s="336"/>
      <c r="I465" s="336"/>
      <c r="J465" s="336"/>
      <c r="K465" s="336"/>
      <c r="L465" s="336"/>
      <c r="M465" s="336"/>
      <c r="N465" s="336"/>
      <c r="O465" s="336"/>
      <c r="P465" s="336"/>
      <c r="Q465" s="336"/>
    </row>
    <row r="466" ht="15.75" customHeight="1">
      <c r="A466" s="336"/>
      <c r="B466" s="336"/>
      <c r="C466" s="336"/>
      <c r="D466" s="336"/>
      <c r="E466" s="336"/>
      <c r="F466" s="336"/>
      <c r="G466" s="336"/>
      <c r="H466" s="336"/>
      <c r="I466" s="336"/>
      <c r="J466" s="336"/>
      <c r="K466" s="336"/>
      <c r="L466" s="336"/>
      <c r="M466" s="336"/>
      <c r="N466" s="336"/>
      <c r="O466" s="336"/>
      <c r="P466" s="336"/>
      <c r="Q466" s="336"/>
    </row>
    <row r="467" ht="15.75" customHeight="1">
      <c r="A467" s="336"/>
      <c r="B467" s="336"/>
      <c r="C467" s="336"/>
      <c r="D467" s="336"/>
      <c r="E467" s="336"/>
      <c r="F467" s="336"/>
      <c r="G467" s="336"/>
      <c r="H467" s="336"/>
      <c r="I467" s="336"/>
      <c r="J467" s="336"/>
      <c r="K467" s="336"/>
      <c r="L467" s="336"/>
      <c r="M467" s="336"/>
      <c r="N467" s="336"/>
      <c r="O467" s="336"/>
      <c r="P467" s="336"/>
      <c r="Q467" s="336"/>
    </row>
    <row r="468" ht="15.75" customHeight="1">
      <c r="A468" s="336"/>
      <c r="B468" s="336"/>
      <c r="C468" s="336"/>
      <c r="D468" s="336"/>
      <c r="E468" s="336"/>
      <c r="F468" s="336"/>
      <c r="G468" s="336"/>
      <c r="H468" s="336"/>
      <c r="I468" s="336"/>
      <c r="J468" s="336"/>
      <c r="K468" s="336"/>
      <c r="L468" s="336"/>
      <c r="M468" s="336"/>
      <c r="N468" s="336"/>
      <c r="O468" s="336"/>
      <c r="P468" s="336"/>
      <c r="Q468" s="336"/>
    </row>
    <row r="469" ht="15.75" customHeight="1">
      <c r="A469" s="336"/>
      <c r="B469" s="336"/>
      <c r="C469" s="336"/>
      <c r="D469" s="336"/>
      <c r="E469" s="336"/>
      <c r="F469" s="336"/>
      <c r="G469" s="336"/>
      <c r="H469" s="336"/>
      <c r="I469" s="336"/>
      <c r="J469" s="336"/>
      <c r="K469" s="336"/>
      <c r="L469" s="336"/>
      <c r="M469" s="336"/>
      <c r="N469" s="336"/>
      <c r="O469" s="336"/>
      <c r="P469" s="336"/>
      <c r="Q469" s="336"/>
    </row>
    <row r="470" ht="15.75" customHeight="1">
      <c r="A470" s="336"/>
      <c r="B470" s="336"/>
      <c r="C470" s="336"/>
      <c r="D470" s="336"/>
      <c r="E470" s="336"/>
      <c r="F470" s="336"/>
      <c r="G470" s="336"/>
      <c r="H470" s="336"/>
      <c r="I470" s="336"/>
      <c r="J470" s="336"/>
      <c r="K470" s="336"/>
      <c r="L470" s="336"/>
      <c r="M470" s="336"/>
      <c r="N470" s="336"/>
      <c r="O470" s="336"/>
      <c r="P470" s="336"/>
      <c r="Q470" s="336"/>
    </row>
    <row r="471" ht="15.75" customHeight="1">
      <c r="A471" s="336"/>
      <c r="B471" s="336"/>
      <c r="C471" s="336"/>
      <c r="D471" s="336"/>
      <c r="E471" s="336"/>
      <c r="F471" s="336"/>
      <c r="G471" s="336"/>
      <c r="H471" s="336"/>
      <c r="I471" s="336"/>
      <c r="J471" s="336"/>
      <c r="K471" s="336"/>
      <c r="L471" s="336"/>
      <c r="M471" s="336"/>
      <c r="N471" s="336"/>
      <c r="O471" s="336"/>
      <c r="P471" s="336"/>
      <c r="Q471" s="336"/>
    </row>
    <row r="472" ht="15.75" customHeight="1">
      <c r="A472" s="336"/>
      <c r="B472" s="336"/>
      <c r="C472" s="336"/>
      <c r="D472" s="336"/>
      <c r="E472" s="336"/>
      <c r="F472" s="336"/>
      <c r="G472" s="336"/>
      <c r="H472" s="336"/>
      <c r="I472" s="336"/>
      <c r="J472" s="336"/>
      <c r="K472" s="336"/>
      <c r="L472" s="336"/>
      <c r="M472" s="336"/>
      <c r="N472" s="336"/>
      <c r="O472" s="336"/>
      <c r="P472" s="336"/>
      <c r="Q472" s="336"/>
    </row>
    <row r="473" ht="15.75" customHeight="1">
      <c r="A473" s="336"/>
      <c r="B473" s="336"/>
      <c r="C473" s="336"/>
      <c r="D473" s="336"/>
      <c r="E473" s="336"/>
      <c r="F473" s="336"/>
      <c r="G473" s="336"/>
      <c r="H473" s="336"/>
      <c r="I473" s="336"/>
      <c r="J473" s="336"/>
      <c r="K473" s="336"/>
      <c r="L473" s="336"/>
      <c r="M473" s="336"/>
      <c r="N473" s="336"/>
      <c r="O473" s="336"/>
      <c r="P473" s="336"/>
      <c r="Q473" s="336"/>
    </row>
    <row r="474" ht="15.75" customHeight="1">
      <c r="A474" s="336"/>
      <c r="B474" s="336"/>
      <c r="C474" s="336"/>
      <c r="D474" s="336"/>
      <c r="E474" s="336"/>
      <c r="F474" s="336"/>
      <c r="G474" s="336"/>
      <c r="H474" s="336"/>
      <c r="I474" s="336"/>
      <c r="J474" s="336"/>
      <c r="K474" s="336"/>
      <c r="L474" s="336"/>
      <c r="M474" s="336"/>
      <c r="N474" s="336"/>
      <c r="O474" s="336"/>
      <c r="P474" s="336"/>
      <c r="Q474" s="336"/>
    </row>
    <row r="475" ht="15.75" customHeight="1">
      <c r="A475" s="336"/>
      <c r="B475" s="336"/>
      <c r="C475" s="336"/>
      <c r="D475" s="336"/>
      <c r="E475" s="336"/>
      <c r="F475" s="336"/>
      <c r="G475" s="336"/>
      <c r="H475" s="336"/>
      <c r="I475" s="336"/>
      <c r="J475" s="336"/>
      <c r="K475" s="336"/>
      <c r="L475" s="336"/>
      <c r="M475" s="336"/>
      <c r="N475" s="336"/>
      <c r="O475" s="336"/>
      <c r="P475" s="336"/>
      <c r="Q475" s="336"/>
    </row>
    <row r="476" ht="15.75" customHeight="1">
      <c r="A476" s="336"/>
      <c r="B476" s="336"/>
      <c r="C476" s="336"/>
      <c r="D476" s="336"/>
      <c r="E476" s="336"/>
      <c r="F476" s="336"/>
      <c r="G476" s="336"/>
      <c r="H476" s="336"/>
      <c r="I476" s="336"/>
      <c r="J476" s="336"/>
      <c r="K476" s="336"/>
      <c r="L476" s="336"/>
      <c r="M476" s="336"/>
      <c r="N476" s="336"/>
      <c r="O476" s="336"/>
      <c r="P476" s="336"/>
      <c r="Q476" s="336"/>
    </row>
    <row r="477" ht="15.75" customHeight="1">
      <c r="A477" s="336"/>
      <c r="B477" s="336"/>
      <c r="C477" s="336"/>
      <c r="D477" s="336"/>
      <c r="E477" s="336"/>
      <c r="F477" s="336"/>
      <c r="G477" s="336"/>
      <c r="H477" s="336"/>
      <c r="I477" s="336"/>
      <c r="J477" s="336"/>
      <c r="K477" s="336"/>
      <c r="L477" s="336"/>
      <c r="M477" s="336"/>
      <c r="N477" s="336"/>
      <c r="O477" s="336"/>
      <c r="P477" s="336"/>
      <c r="Q477" s="336"/>
    </row>
    <row r="478" ht="15.75" customHeight="1">
      <c r="A478" s="336"/>
      <c r="B478" s="336"/>
      <c r="C478" s="336"/>
      <c r="D478" s="336"/>
      <c r="E478" s="336"/>
      <c r="F478" s="336"/>
      <c r="G478" s="336"/>
      <c r="H478" s="336"/>
      <c r="I478" s="336"/>
      <c r="J478" s="336"/>
      <c r="K478" s="336"/>
      <c r="L478" s="336"/>
      <c r="M478" s="336"/>
      <c r="N478" s="336"/>
      <c r="O478" s="336"/>
      <c r="P478" s="336"/>
      <c r="Q478" s="336"/>
    </row>
    <row r="479" ht="15.75" customHeight="1">
      <c r="A479" s="336"/>
      <c r="B479" s="336"/>
      <c r="C479" s="336"/>
      <c r="D479" s="336"/>
      <c r="E479" s="336"/>
      <c r="F479" s="336"/>
      <c r="G479" s="336"/>
      <c r="H479" s="336"/>
      <c r="I479" s="336"/>
      <c r="J479" s="336"/>
      <c r="K479" s="336"/>
      <c r="L479" s="336"/>
      <c r="M479" s="336"/>
      <c r="N479" s="336"/>
      <c r="O479" s="336"/>
      <c r="P479" s="336"/>
      <c r="Q479" s="336"/>
    </row>
    <row r="480" ht="15.75" customHeight="1">
      <c r="A480" s="336"/>
      <c r="B480" s="336"/>
      <c r="C480" s="336"/>
      <c r="D480" s="336"/>
      <c r="E480" s="336"/>
      <c r="F480" s="336"/>
      <c r="G480" s="336"/>
      <c r="H480" s="336"/>
      <c r="I480" s="336"/>
      <c r="J480" s="336"/>
      <c r="K480" s="336"/>
      <c r="L480" s="336"/>
      <c r="M480" s="336"/>
      <c r="N480" s="336"/>
      <c r="O480" s="336"/>
      <c r="P480" s="336"/>
      <c r="Q480" s="336"/>
    </row>
    <row r="481" ht="15.75" customHeight="1">
      <c r="A481" s="336"/>
      <c r="B481" s="336"/>
      <c r="C481" s="336"/>
      <c r="D481" s="336"/>
      <c r="E481" s="336"/>
      <c r="F481" s="336"/>
      <c r="G481" s="336"/>
      <c r="H481" s="336"/>
      <c r="I481" s="336"/>
      <c r="J481" s="336"/>
      <c r="K481" s="336"/>
      <c r="L481" s="336"/>
      <c r="M481" s="336"/>
      <c r="N481" s="336"/>
      <c r="O481" s="336"/>
      <c r="P481" s="336"/>
      <c r="Q481" s="336"/>
    </row>
    <row r="482" ht="15.75" customHeight="1">
      <c r="A482" s="336"/>
      <c r="B482" s="336"/>
      <c r="C482" s="336"/>
      <c r="D482" s="336"/>
      <c r="E482" s="336"/>
      <c r="F482" s="336"/>
      <c r="G482" s="336"/>
      <c r="H482" s="336"/>
      <c r="I482" s="336"/>
      <c r="J482" s="336"/>
      <c r="K482" s="336"/>
      <c r="L482" s="336"/>
      <c r="M482" s="336"/>
      <c r="N482" s="336"/>
      <c r="O482" s="336"/>
      <c r="P482" s="336"/>
      <c r="Q482" s="336"/>
    </row>
    <row r="483" ht="15.75" customHeight="1">
      <c r="A483" s="336"/>
      <c r="B483" s="336"/>
      <c r="C483" s="336"/>
      <c r="D483" s="336"/>
      <c r="E483" s="336"/>
      <c r="F483" s="336"/>
      <c r="G483" s="336"/>
      <c r="H483" s="336"/>
      <c r="I483" s="336"/>
      <c r="J483" s="336"/>
      <c r="K483" s="336"/>
      <c r="L483" s="336"/>
      <c r="M483" s="336"/>
      <c r="N483" s="336"/>
      <c r="O483" s="336"/>
      <c r="P483" s="336"/>
      <c r="Q483" s="336"/>
    </row>
    <row r="484" ht="15.75" customHeight="1">
      <c r="A484" s="336"/>
      <c r="B484" s="336"/>
      <c r="C484" s="336"/>
      <c r="D484" s="336"/>
      <c r="E484" s="336"/>
      <c r="F484" s="336"/>
      <c r="G484" s="336"/>
      <c r="H484" s="336"/>
      <c r="I484" s="336"/>
      <c r="J484" s="336"/>
      <c r="K484" s="336"/>
      <c r="L484" s="336"/>
      <c r="M484" s="336"/>
      <c r="N484" s="336"/>
      <c r="O484" s="336"/>
      <c r="P484" s="336"/>
      <c r="Q484" s="336"/>
    </row>
    <row r="485" ht="15.75" customHeight="1">
      <c r="A485" s="336"/>
      <c r="B485" s="336"/>
      <c r="C485" s="336"/>
      <c r="D485" s="336"/>
      <c r="E485" s="336"/>
      <c r="F485" s="336"/>
      <c r="G485" s="336"/>
      <c r="H485" s="336"/>
      <c r="I485" s="336"/>
      <c r="J485" s="336"/>
      <c r="K485" s="336"/>
      <c r="L485" s="336"/>
      <c r="M485" s="336"/>
      <c r="N485" s="336"/>
      <c r="O485" s="336"/>
      <c r="P485" s="336"/>
      <c r="Q485" s="336"/>
    </row>
    <row r="486" ht="15.75" customHeight="1">
      <c r="A486" s="336"/>
      <c r="B486" s="336"/>
      <c r="C486" s="336"/>
      <c r="D486" s="336"/>
      <c r="E486" s="336"/>
      <c r="F486" s="336"/>
      <c r="G486" s="336"/>
      <c r="H486" s="336"/>
      <c r="I486" s="336"/>
      <c r="J486" s="336"/>
      <c r="K486" s="336"/>
      <c r="L486" s="336"/>
      <c r="M486" s="336"/>
      <c r="N486" s="336"/>
      <c r="O486" s="336"/>
      <c r="P486" s="336"/>
      <c r="Q486" s="336"/>
    </row>
    <row r="487" ht="15.75" customHeight="1">
      <c r="A487" s="336"/>
      <c r="B487" s="336"/>
      <c r="C487" s="336"/>
      <c r="D487" s="336"/>
      <c r="E487" s="336"/>
      <c r="F487" s="336"/>
      <c r="G487" s="336"/>
      <c r="H487" s="336"/>
      <c r="I487" s="336"/>
      <c r="J487" s="336"/>
      <c r="K487" s="336"/>
      <c r="L487" s="336"/>
      <c r="M487" s="336"/>
      <c r="N487" s="336"/>
      <c r="O487" s="336"/>
      <c r="P487" s="336"/>
      <c r="Q487" s="336"/>
    </row>
    <row r="488" ht="15.75" customHeight="1">
      <c r="A488" s="336"/>
      <c r="B488" s="336"/>
      <c r="C488" s="336"/>
      <c r="D488" s="336"/>
      <c r="E488" s="336"/>
      <c r="F488" s="336"/>
      <c r="G488" s="336"/>
      <c r="H488" s="336"/>
      <c r="I488" s="336"/>
      <c r="J488" s="336"/>
      <c r="K488" s="336"/>
      <c r="L488" s="336"/>
      <c r="M488" s="336"/>
      <c r="N488" s="336"/>
      <c r="O488" s="336"/>
      <c r="P488" s="336"/>
      <c r="Q488" s="336"/>
    </row>
    <row r="489" ht="15.75" customHeight="1">
      <c r="A489" s="336"/>
      <c r="B489" s="336"/>
      <c r="C489" s="336"/>
      <c r="D489" s="336"/>
      <c r="E489" s="336"/>
      <c r="F489" s="336"/>
      <c r="G489" s="336"/>
      <c r="H489" s="336"/>
      <c r="I489" s="336"/>
      <c r="J489" s="336"/>
      <c r="K489" s="336"/>
      <c r="L489" s="336"/>
      <c r="M489" s="336"/>
      <c r="N489" s="336"/>
      <c r="O489" s="336"/>
      <c r="P489" s="336"/>
      <c r="Q489" s="336"/>
    </row>
    <row r="490" ht="15.75" customHeight="1">
      <c r="A490" s="336"/>
      <c r="B490" s="336"/>
      <c r="C490" s="336"/>
      <c r="D490" s="336"/>
      <c r="E490" s="336"/>
      <c r="F490" s="336"/>
      <c r="G490" s="336"/>
      <c r="H490" s="336"/>
      <c r="I490" s="336"/>
      <c r="J490" s="336"/>
      <c r="K490" s="336"/>
      <c r="L490" s="336"/>
      <c r="M490" s="336"/>
      <c r="N490" s="336"/>
      <c r="O490" s="336"/>
      <c r="P490" s="336"/>
      <c r="Q490" s="336"/>
    </row>
    <row r="491" ht="15.75" customHeight="1">
      <c r="A491" s="336"/>
      <c r="B491" s="336"/>
      <c r="C491" s="336"/>
      <c r="D491" s="336"/>
      <c r="E491" s="336"/>
      <c r="F491" s="336"/>
      <c r="G491" s="336"/>
      <c r="H491" s="336"/>
      <c r="I491" s="336"/>
      <c r="J491" s="336"/>
      <c r="K491" s="336"/>
      <c r="L491" s="336"/>
      <c r="M491" s="336"/>
      <c r="N491" s="336"/>
      <c r="O491" s="336"/>
      <c r="P491" s="336"/>
      <c r="Q491" s="336"/>
    </row>
    <row r="492" ht="15.75" customHeight="1">
      <c r="A492" s="336"/>
      <c r="B492" s="336"/>
      <c r="C492" s="336"/>
      <c r="D492" s="336"/>
      <c r="E492" s="336"/>
      <c r="F492" s="336"/>
      <c r="G492" s="336"/>
      <c r="H492" s="336"/>
      <c r="I492" s="336"/>
      <c r="J492" s="336"/>
      <c r="K492" s="336"/>
      <c r="L492" s="336"/>
      <c r="M492" s="336"/>
      <c r="N492" s="336"/>
      <c r="O492" s="336"/>
      <c r="P492" s="336"/>
      <c r="Q492" s="336"/>
    </row>
    <row r="493" ht="15.75" customHeight="1">
      <c r="A493" s="336"/>
      <c r="B493" s="336"/>
      <c r="C493" s="336"/>
      <c r="D493" s="336"/>
      <c r="E493" s="336"/>
      <c r="F493" s="336"/>
      <c r="G493" s="336"/>
      <c r="H493" s="336"/>
      <c r="I493" s="336"/>
      <c r="J493" s="336"/>
      <c r="K493" s="336"/>
      <c r="L493" s="336"/>
      <c r="M493" s="336"/>
      <c r="N493" s="336"/>
      <c r="O493" s="336"/>
      <c r="P493" s="336"/>
      <c r="Q493" s="336"/>
    </row>
    <row r="494" ht="15.75" customHeight="1">
      <c r="A494" s="336"/>
      <c r="B494" s="336"/>
      <c r="C494" s="336"/>
      <c r="D494" s="336"/>
      <c r="E494" s="336"/>
      <c r="F494" s="336"/>
      <c r="G494" s="336"/>
      <c r="H494" s="336"/>
      <c r="I494" s="336"/>
      <c r="J494" s="336"/>
      <c r="K494" s="336"/>
      <c r="L494" s="336"/>
      <c r="M494" s="336"/>
      <c r="N494" s="336"/>
      <c r="O494" s="336"/>
      <c r="P494" s="336"/>
      <c r="Q494" s="336"/>
    </row>
    <row r="495" ht="15.75" customHeight="1">
      <c r="A495" s="336"/>
      <c r="B495" s="336"/>
      <c r="C495" s="336"/>
      <c r="D495" s="336"/>
      <c r="E495" s="336"/>
      <c r="F495" s="336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  <c r="Q495" s="336"/>
    </row>
    <row r="496" ht="15.75" customHeight="1">
      <c r="A496" s="336"/>
      <c r="B496" s="336"/>
      <c r="C496" s="336"/>
      <c r="D496" s="336"/>
      <c r="E496" s="336"/>
      <c r="F496" s="336"/>
      <c r="G496" s="336"/>
      <c r="H496" s="336"/>
      <c r="I496" s="336"/>
      <c r="J496" s="336"/>
      <c r="K496" s="336"/>
      <c r="L496" s="336"/>
      <c r="M496" s="336"/>
      <c r="N496" s="336"/>
      <c r="O496" s="336"/>
      <c r="P496" s="336"/>
      <c r="Q496" s="336"/>
    </row>
    <row r="497" ht="15.75" customHeight="1">
      <c r="A497" s="336"/>
      <c r="B497" s="336"/>
      <c r="C497" s="336"/>
      <c r="D497" s="336"/>
      <c r="E497" s="336"/>
      <c r="F497" s="336"/>
      <c r="G497" s="336"/>
      <c r="H497" s="336"/>
      <c r="I497" s="336"/>
      <c r="J497" s="336"/>
      <c r="K497" s="336"/>
      <c r="L497" s="336"/>
      <c r="M497" s="336"/>
      <c r="N497" s="336"/>
      <c r="O497" s="336"/>
      <c r="P497" s="336"/>
      <c r="Q497" s="336"/>
    </row>
    <row r="498" ht="15.75" customHeight="1">
      <c r="A498" s="336"/>
      <c r="B498" s="336"/>
      <c r="C498" s="336"/>
      <c r="D498" s="336"/>
      <c r="E498" s="336"/>
      <c r="F498" s="336"/>
      <c r="G498" s="336"/>
      <c r="H498" s="336"/>
      <c r="I498" s="336"/>
      <c r="J498" s="336"/>
      <c r="K498" s="336"/>
      <c r="L498" s="336"/>
      <c r="M498" s="336"/>
      <c r="N498" s="336"/>
      <c r="O498" s="336"/>
      <c r="P498" s="336"/>
      <c r="Q498" s="336"/>
    </row>
    <row r="499" ht="15.75" customHeight="1">
      <c r="A499" s="336"/>
      <c r="B499" s="336"/>
      <c r="C499" s="336"/>
      <c r="D499" s="336"/>
      <c r="E499" s="336"/>
      <c r="F499" s="336"/>
      <c r="G499" s="336"/>
      <c r="H499" s="336"/>
      <c r="I499" s="336"/>
      <c r="J499" s="336"/>
      <c r="K499" s="336"/>
      <c r="L499" s="336"/>
      <c r="M499" s="336"/>
      <c r="N499" s="336"/>
      <c r="O499" s="336"/>
      <c r="P499" s="336"/>
      <c r="Q499" s="336"/>
    </row>
    <row r="500" ht="15.75" customHeight="1">
      <c r="A500" s="336"/>
      <c r="B500" s="336"/>
      <c r="C500" s="336"/>
      <c r="D500" s="336"/>
      <c r="E500" s="336"/>
      <c r="F500" s="336"/>
      <c r="G500" s="336"/>
      <c r="H500" s="336"/>
      <c r="I500" s="336"/>
      <c r="J500" s="336"/>
      <c r="K500" s="336"/>
      <c r="L500" s="336"/>
      <c r="M500" s="336"/>
      <c r="N500" s="336"/>
      <c r="O500" s="336"/>
      <c r="P500" s="336"/>
      <c r="Q500" s="336"/>
    </row>
    <row r="501" ht="15.75" customHeight="1">
      <c r="A501" s="336"/>
      <c r="B501" s="336"/>
      <c r="C501" s="336"/>
      <c r="D501" s="336"/>
      <c r="E501" s="336"/>
      <c r="F501" s="336"/>
      <c r="G501" s="336"/>
      <c r="H501" s="336"/>
      <c r="I501" s="336"/>
      <c r="J501" s="336"/>
      <c r="K501" s="336"/>
      <c r="L501" s="336"/>
      <c r="M501" s="336"/>
      <c r="N501" s="336"/>
      <c r="O501" s="336"/>
      <c r="P501" s="336"/>
      <c r="Q501" s="336"/>
    </row>
    <row r="502" ht="15.75" customHeight="1">
      <c r="A502" s="336"/>
      <c r="B502" s="336"/>
      <c r="C502" s="336"/>
      <c r="D502" s="336"/>
      <c r="E502" s="336"/>
      <c r="F502" s="336"/>
      <c r="G502" s="336"/>
      <c r="H502" s="336"/>
      <c r="I502" s="336"/>
      <c r="J502" s="336"/>
      <c r="K502" s="336"/>
      <c r="L502" s="336"/>
      <c r="M502" s="336"/>
      <c r="N502" s="336"/>
      <c r="O502" s="336"/>
      <c r="P502" s="336"/>
      <c r="Q502" s="336"/>
    </row>
    <row r="503" ht="15.75" customHeight="1">
      <c r="A503" s="336"/>
      <c r="B503" s="336"/>
      <c r="C503" s="336"/>
      <c r="D503" s="336"/>
      <c r="E503" s="336"/>
      <c r="F503" s="336"/>
      <c r="G503" s="336"/>
      <c r="H503" s="336"/>
      <c r="I503" s="336"/>
      <c r="J503" s="336"/>
      <c r="K503" s="336"/>
      <c r="L503" s="336"/>
      <c r="M503" s="336"/>
      <c r="N503" s="336"/>
      <c r="O503" s="336"/>
      <c r="P503" s="336"/>
      <c r="Q503" s="336"/>
    </row>
    <row r="504" ht="15.75" customHeight="1">
      <c r="A504" s="336"/>
      <c r="B504" s="336"/>
      <c r="C504" s="336"/>
      <c r="D504" s="336"/>
      <c r="E504" s="336"/>
      <c r="F504" s="336"/>
      <c r="G504" s="336"/>
      <c r="H504" s="336"/>
      <c r="I504" s="336"/>
      <c r="J504" s="336"/>
      <c r="K504" s="336"/>
      <c r="L504" s="336"/>
      <c r="M504" s="336"/>
      <c r="N504" s="336"/>
      <c r="O504" s="336"/>
      <c r="P504" s="336"/>
      <c r="Q504" s="336"/>
    </row>
    <row r="505" ht="15.75" customHeight="1">
      <c r="A505" s="336"/>
      <c r="B505" s="336"/>
      <c r="C505" s="336"/>
      <c r="D505" s="336"/>
      <c r="E505" s="336"/>
      <c r="F505" s="336"/>
      <c r="G505" s="336"/>
      <c r="H505" s="336"/>
      <c r="I505" s="336"/>
      <c r="J505" s="336"/>
      <c r="K505" s="336"/>
      <c r="L505" s="336"/>
      <c r="M505" s="336"/>
      <c r="N505" s="336"/>
      <c r="O505" s="336"/>
      <c r="P505" s="336"/>
      <c r="Q505" s="336"/>
    </row>
    <row r="506" ht="15.75" customHeight="1">
      <c r="A506" s="336"/>
      <c r="B506" s="336"/>
      <c r="C506" s="336"/>
      <c r="D506" s="336"/>
      <c r="E506" s="336"/>
      <c r="F506" s="336"/>
      <c r="G506" s="336"/>
      <c r="H506" s="336"/>
      <c r="I506" s="336"/>
      <c r="J506" s="336"/>
      <c r="K506" s="336"/>
      <c r="L506" s="336"/>
      <c r="M506" s="336"/>
      <c r="N506" s="336"/>
      <c r="O506" s="336"/>
      <c r="P506" s="336"/>
      <c r="Q506" s="336"/>
    </row>
    <row r="507" ht="15.75" customHeight="1">
      <c r="A507" s="336"/>
      <c r="B507" s="336"/>
      <c r="C507" s="336"/>
      <c r="D507" s="336"/>
      <c r="E507" s="336"/>
      <c r="F507" s="336"/>
      <c r="G507" s="336"/>
      <c r="H507" s="336"/>
      <c r="I507" s="336"/>
      <c r="J507" s="336"/>
      <c r="K507" s="336"/>
      <c r="L507" s="336"/>
      <c r="M507" s="336"/>
      <c r="N507" s="336"/>
      <c r="O507" s="336"/>
      <c r="P507" s="336"/>
      <c r="Q507" s="336"/>
    </row>
    <row r="508" ht="15.75" customHeight="1">
      <c r="A508" s="336"/>
      <c r="B508" s="336"/>
      <c r="C508" s="336"/>
      <c r="D508" s="336"/>
      <c r="E508" s="336"/>
      <c r="F508" s="336"/>
      <c r="G508" s="336"/>
      <c r="H508" s="336"/>
      <c r="I508" s="336"/>
      <c r="J508" s="336"/>
      <c r="K508" s="336"/>
      <c r="L508" s="336"/>
      <c r="M508" s="336"/>
      <c r="N508" s="336"/>
      <c r="O508" s="336"/>
      <c r="P508" s="336"/>
      <c r="Q508" s="336"/>
    </row>
    <row r="509" ht="15.75" customHeight="1">
      <c r="A509" s="336"/>
      <c r="B509" s="336"/>
      <c r="C509" s="336"/>
      <c r="D509" s="336"/>
      <c r="E509" s="336"/>
      <c r="F509" s="336"/>
      <c r="G509" s="336"/>
      <c r="H509" s="336"/>
      <c r="I509" s="336"/>
      <c r="J509" s="336"/>
      <c r="K509" s="336"/>
      <c r="L509" s="336"/>
      <c r="M509" s="336"/>
      <c r="N509" s="336"/>
      <c r="O509" s="336"/>
      <c r="P509" s="336"/>
      <c r="Q509" s="336"/>
    </row>
    <row r="510" ht="15.75" customHeight="1">
      <c r="A510" s="336"/>
      <c r="B510" s="336"/>
      <c r="C510" s="336"/>
      <c r="D510" s="336"/>
      <c r="E510" s="336"/>
      <c r="F510" s="336"/>
      <c r="G510" s="336"/>
      <c r="H510" s="336"/>
      <c r="I510" s="336"/>
      <c r="J510" s="336"/>
      <c r="K510" s="336"/>
      <c r="L510" s="336"/>
      <c r="M510" s="336"/>
      <c r="N510" s="336"/>
      <c r="O510" s="336"/>
      <c r="P510" s="336"/>
      <c r="Q510" s="336"/>
    </row>
    <row r="511" ht="15.75" customHeight="1">
      <c r="A511" s="336"/>
      <c r="B511" s="336"/>
      <c r="C511" s="336"/>
      <c r="D511" s="336"/>
      <c r="E511" s="336"/>
      <c r="F511" s="336"/>
      <c r="G511" s="336"/>
      <c r="H511" s="336"/>
      <c r="I511" s="336"/>
      <c r="J511" s="336"/>
      <c r="K511" s="336"/>
      <c r="L511" s="336"/>
      <c r="M511" s="336"/>
      <c r="N511" s="336"/>
      <c r="O511" s="336"/>
      <c r="P511" s="336"/>
      <c r="Q511" s="336"/>
    </row>
    <row r="512" ht="15.75" customHeight="1">
      <c r="A512" s="336"/>
      <c r="B512" s="336"/>
      <c r="C512" s="336"/>
      <c r="D512" s="336"/>
      <c r="E512" s="336"/>
      <c r="F512" s="336"/>
      <c r="G512" s="336"/>
      <c r="H512" s="336"/>
      <c r="I512" s="336"/>
      <c r="J512" s="336"/>
      <c r="K512" s="336"/>
      <c r="L512" s="336"/>
      <c r="M512" s="336"/>
      <c r="N512" s="336"/>
      <c r="O512" s="336"/>
      <c r="P512" s="336"/>
      <c r="Q512" s="336"/>
    </row>
    <row r="513" ht="15.75" customHeight="1">
      <c r="A513" s="336"/>
      <c r="B513" s="336"/>
      <c r="C513" s="336"/>
      <c r="D513" s="336"/>
      <c r="E513" s="336"/>
      <c r="F513" s="336"/>
      <c r="G513" s="336"/>
      <c r="H513" s="336"/>
      <c r="I513" s="336"/>
      <c r="J513" s="336"/>
      <c r="K513" s="336"/>
      <c r="L513" s="336"/>
      <c r="M513" s="336"/>
      <c r="N513" s="336"/>
      <c r="O513" s="336"/>
      <c r="P513" s="336"/>
      <c r="Q513" s="336"/>
    </row>
    <row r="514" ht="15.75" customHeight="1">
      <c r="A514" s="336"/>
      <c r="B514" s="336"/>
      <c r="C514" s="336"/>
      <c r="D514" s="336"/>
      <c r="E514" s="336"/>
      <c r="F514" s="336"/>
      <c r="G514" s="336"/>
      <c r="H514" s="336"/>
      <c r="I514" s="336"/>
      <c r="J514" s="336"/>
      <c r="K514" s="336"/>
      <c r="L514" s="336"/>
      <c r="M514" s="336"/>
      <c r="N514" s="336"/>
      <c r="O514" s="336"/>
      <c r="P514" s="336"/>
      <c r="Q514" s="336"/>
    </row>
    <row r="515" ht="15.75" customHeight="1">
      <c r="A515" s="336"/>
      <c r="B515" s="336"/>
      <c r="C515" s="336"/>
      <c r="D515" s="336"/>
      <c r="E515" s="336"/>
      <c r="F515" s="336"/>
      <c r="G515" s="336"/>
      <c r="H515" s="336"/>
      <c r="I515" s="336"/>
      <c r="J515" s="336"/>
      <c r="K515" s="336"/>
      <c r="L515" s="336"/>
      <c r="M515" s="336"/>
      <c r="N515" s="336"/>
      <c r="O515" s="336"/>
      <c r="P515" s="336"/>
      <c r="Q515" s="336"/>
    </row>
    <row r="516" ht="15.75" customHeight="1">
      <c r="A516" s="336"/>
      <c r="B516" s="336"/>
      <c r="C516" s="336"/>
      <c r="D516" s="336"/>
      <c r="E516" s="336"/>
      <c r="F516" s="336"/>
      <c r="G516" s="336"/>
      <c r="H516" s="336"/>
      <c r="I516" s="336"/>
      <c r="J516" s="336"/>
      <c r="K516" s="336"/>
      <c r="L516" s="336"/>
      <c r="M516" s="336"/>
      <c r="N516" s="336"/>
      <c r="O516" s="336"/>
      <c r="P516" s="336"/>
      <c r="Q516" s="336"/>
    </row>
    <row r="517" ht="15.75" customHeight="1">
      <c r="A517" s="336"/>
      <c r="B517" s="336"/>
      <c r="C517" s="336"/>
      <c r="D517" s="336"/>
      <c r="E517" s="336"/>
      <c r="F517" s="336"/>
      <c r="G517" s="336"/>
      <c r="H517" s="336"/>
      <c r="I517" s="336"/>
      <c r="J517" s="336"/>
      <c r="K517" s="336"/>
      <c r="L517" s="336"/>
      <c r="M517" s="336"/>
      <c r="N517" s="336"/>
      <c r="O517" s="336"/>
      <c r="P517" s="336"/>
      <c r="Q517" s="336"/>
    </row>
    <row r="518" ht="15.75" customHeight="1">
      <c r="A518" s="336"/>
      <c r="B518" s="336"/>
      <c r="C518" s="336"/>
      <c r="D518" s="336"/>
      <c r="E518" s="336"/>
      <c r="F518" s="336"/>
      <c r="G518" s="336"/>
      <c r="H518" s="336"/>
      <c r="I518" s="336"/>
      <c r="J518" s="336"/>
      <c r="K518" s="336"/>
      <c r="L518" s="336"/>
      <c r="M518" s="336"/>
      <c r="N518" s="336"/>
      <c r="O518" s="336"/>
      <c r="P518" s="336"/>
      <c r="Q518" s="336"/>
    </row>
    <row r="519" ht="15.75" customHeight="1">
      <c r="A519" s="336"/>
      <c r="B519" s="336"/>
      <c r="C519" s="336"/>
      <c r="D519" s="336"/>
      <c r="E519" s="336"/>
      <c r="F519" s="336"/>
      <c r="G519" s="336"/>
      <c r="H519" s="336"/>
      <c r="I519" s="336"/>
      <c r="J519" s="336"/>
      <c r="K519" s="336"/>
      <c r="L519" s="336"/>
      <c r="M519" s="336"/>
      <c r="N519" s="336"/>
      <c r="O519" s="336"/>
      <c r="P519" s="336"/>
      <c r="Q519" s="336"/>
    </row>
    <row r="520" ht="15.75" customHeight="1">
      <c r="A520" s="336"/>
      <c r="B520" s="336"/>
      <c r="C520" s="336"/>
      <c r="D520" s="336"/>
      <c r="E520" s="336"/>
      <c r="F520" s="336"/>
      <c r="G520" s="336"/>
      <c r="H520" s="336"/>
      <c r="I520" s="336"/>
      <c r="J520" s="336"/>
      <c r="K520" s="336"/>
      <c r="L520" s="336"/>
      <c r="M520" s="336"/>
      <c r="N520" s="336"/>
      <c r="O520" s="336"/>
      <c r="P520" s="336"/>
      <c r="Q520" s="336"/>
    </row>
    <row r="521" ht="15.75" customHeight="1">
      <c r="A521" s="336"/>
      <c r="B521" s="336"/>
      <c r="C521" s="336"/>
      <c r="D521" s="336"/>
      <c r="E521" s="336"/>
      <c r="F521" s="336"/>
      <c r="G521" s="336"/>
      <c r="H521" s="336"/>
      <c r="I521" s="336"/>
      <c r="J521" s="336"/>
      <c r="K521" s="336"/>
      <c r="L521" s="336"/>
      <c r="M521" s="336"/>
      <c r="N521" s="336"/>
      <c r="O521" s="336"/>
      <c r="P521" s="336"/>
      <c r="Q521" s="336"/>
    </row>
    <row r="522" ht="15.75" customHeight="1">
      <c r="A522" s="336"/>
      <c r="B522" s="336"/>
      <c r="C522" s="336"/>
      <c r="D522" s="336"/>
      <c r="E522" s="336"/>
      <c r="F522" s="336"/>
      <c r="G522" s="336"/>
      <c r="H522" s="336"/>
      <c r="I522" s="336"/>
      <c r="J522" s="336"/>
      <c r="K522" s="336"/>
      <c r="L522" s="336"/>
      <c r="M522" s="336"/>
      <c r="N522" s="336"/>
      <c r="O522" s="336"/>
      <c r="P522" s="336"/>
      <c r="Q522" s="336"/>
    </row>
    <row r="523" ht="15.75" customHeight="1">
      <c r="A523" s="336"/>
      <c r="B523" s="336"/>
      <c r="C523" s="336"/>
      <c r="D523" s="336"/>
      <c r="E523" s="336"/>
      <c r="F523" s="336"/>
      <c r="G523" s="336"/>
      <c r="H523" s="336"/>
      <c r="I523" s="336"/>
      <c r="J523" s="336"/>
      <c r="K523" s="336"/>
      <c r="L523" s="336"/>
      <c r="M523" s="336"/>
      <c r="N523" s="336"/>
      <c r="O523" s="336"/>
      <c r="P523" s="336"/>
      <c r="Q523" s="336"/>
    </row>
    <row r="524" ht="15.75" customHeight="1">
      <c r="A524" s="336"/>
      <c r="B524" s="336"/>
      <c r="C524" s="336"/>
      <c r="D524" s="336"/>
      <c r="E524" s="336"/>
      <c r="F524" s="336"/>
      <c r="G524" s="336"/>
      <c r="H524" s="336"/>
      <c r="I524" s="336"/>
      <c r="J524" s="336"/>
      <c r="K524" s="336"/>
      <c r="L524" s="336"/>
      <c r="M524" s="336"/>
      <c r="N524" s="336"/>
      <c r="O524" s="336"/>
      <c r="P524" s="336"/>
      <c r="Q524" s="336"/>
    </row>
    <row r="525" ht="15.75" customHeight="1">
      <c r="A525" s="336"/>
      <c r="B525" s="336"/>
      <c r="C525" s="336"/>
      <c r="D525" s="336"/>
      <c r="E525" s="336"/>
      <c r="F525" s="336"/>
      <c r="G525" s="336"/>
      <c r="H525" s="336"/>
      <c r="I525" s="336"/>
      <c r="J525" s="336"/>
      <c r="K525" s="336"/>
      <c r="L525" s="336"/>
      <c r="M525" s="336"/>
      <c r="N525" s="336"/>
      <c r="O525" s="336"/>
      <c r="P525" s="336"/>
      <c r="Q525" s="336"/>
    </row>
    <row r="526" ht="15.75" customHeight="1">
      <c r="A526" s="336"/>
      <c r="B526" s="336"/>
      <c r="C526" s="336"/>
      <c r="D526" s="336"/>
      <c r="E526" s="336"/>
      <c r="F526" s="336"/>
      <c r="G526" s="336"/>
      <c r="H526" s="336"/>
      <c r="I526" s="336"/>
      <c r="J526" s="336"/>
      <c r="K526" s="336"/>
      <c r="L526" s="336"/>
      <c r="M526" s="336"/>
      <c r="N526" s="336"/>
      <c r="O526" s="336"/>
      <c r="P526" s="336"/>
      <c r="Q526" s="336"/>
    </row>
    <row r="527" ht="15.75" customHeight="1">
      <c r="A527" s="336"/>
      <c r="B527" s="336"/>
      <c r="C527" s="336"/>
      <c r="D527" s="336"/>
      <c r="E527" s="336"/>
      <c r="F527" s="336"/>
      <c r="G527" s="336"/>
      <c r="H527" s="336"/>
      <c r="I527" s="336"/>
      <c r="J527" s="336"/>
      <c r="K527" s="336"/>
      <c r="L527" s="336"/>
      <c r="M527" s="336"/>
      <c r="N527" s="336"/>
      <c r="O527" s="336"/>
      <c r="P527" s="336"/>
      <c r="Q527" s="336"/>
    </row>
    <row r="528" ht="15.75" customHeight="1">
      <c r="A528" s="336"/>
      <c r="B528" s="336"/>
      <c r="C528" s="336"/>
      <c r="D528" s="336"/>
      <c r="E528" s="336"/>
      <c r="F528" s="336"/>
      <c r="G528" s="336"/>
      <c r="H528" s="336"/>
      <c r="I528" s="336"/>
      <c r="J528" s="336"/>
      <c r="K528" s="336"/>
      <c r="L528" s="336"/>
      <c r="M528" s="336"/>
      <c r="N528" s="336"/>
      <c r="O528" s="336"/>
      <c r="P528" s="336"/>
      <c r="Q528" s="336"/>
    </row>
    <row r="529" ht="15.75" customHeight="1">
      <c r="A529" s="336"/>
      <c r="B529" s="336"/>
      <c r="C529" s="336"/>
      <c r="D529" s="336"/>
      <c r="E529" s="336"/>
      <c r="F529" s="336"/>
      <c r="G529" s="336"/>
      <c r="H529" s="336"/>
      <c r="I529" s="336"/>
      <c r="J529" s="336"/>
      <c r="K529" s="336"/>
      <c r="L529" s="336"/>
      <c r="M529" s="336"/>
      <c r="N529" s="336"/>
      <c r="O529" s="336"/>
      <c r="P529" s="336"/>
      <c r="Q529" s="336"/>
    </row>
    <row r="530" ht="15.75" customHeight="1">
      <c r="A530" s="336"/>
      <c r="B530" s="336"/>
      <c r="C530" s="336"/>
      <c r="D530" s="336"/>
      <c r="E530" s="336"/>
      <c r="F530" s="336"/>
      <c r="G530" s="336"/>
      <c r="H530" s="336"/>
      <c r="I530" s="336"/>
      <c r="J530" s="336"/>
      <c r="K530" s="336"/>
      <c r="L530" s="336"/>
      <c r="M530" s="336"/>
      <c r="N530" s="336"/>
      <c r="O530" s="336"/>
      <c r="P530" s="336"/>
      <c r="Q530" s="336"/>
    </row>
    <row r="531" ht="15.75" customHeight="1">
      <c r="A531" s="336"/>
      <c r="B531" s="336"/>
      <c r="C531" s="336"/>
      <c r="D531" s="336"/>
      <c r="E531" s="336"/>
      <c r="F531" s="336"/>
      <c r="G531" s="336"/>
      <c r="H531" s="336"/>
      <c r="I531" s="336"/>
      <c r="J531" s="336"/>
      <c r="K531" s="336"/>
      <c r="L531" s="336"/>
      <c r="M531" s="336"/>
      <c r="N531" s="336"/>
      <c r="O531" s="336"/>
      <c r="P531" s="336"/>
      <c r="Q531" s="336"/>
    </row>
    <row r="532" ht="15.75" customHeight="1">
      <c r="A532" s="336"/>
      <c r="B532" s="336"/>
      <c r="C532" s="336"/>
      <c r="D532" s="336"/>
      <c r="E532" s="336"/>
      <c r="F532" s="336"/>
      <c r="G532" s="336"/>
      <c r="H532" s="336"/>
      <c r="I532" s="336"/>
      <c r="J532" s="336"/>
      <c r="K532" s="336"/>
      <c r="L532" s="336"/>
      <c r="M532" s="336"/>
      <c r="N532" s="336"/>
      <c r="O532" s="336"/>
      <c r="P532" s="336"/>
      <c r="Q532" s="336"/>
    </row>
    <row r="533" ht="15.75" customHeight="1">
      <c r="A533" s="336"/>
      <c r="B533" s="336"/>
      <c r="C533" s="336"/>
      <c r="D533" s="336"/>
      <c r="E533" s="336"/>
      <c r="F533" s="336"/>
      <c r="G533" s="336"/>
      <c r="H533" s="336"/>
      <c r="I533" s="336"/>
      <c r="J533" s="336"/>
      <c r="K533" s="336"/>
      <c r="L533" s="336"/>
      <c r="M533" s="336"/>
      <c r="N533" s="336"/>
      <c r="O533" s="336"/>
      <c r="P533" s="336"/>
      <c r="Q533" s="336"/>
    </row>
    <row r="534" ht="15.75" customHeight="1">
      <c r="A534" s="336"/>
      <c r="B534" s="336"/>
      <c r="C534" s="336"/>
      <c r="D534" s="336"/>
      <c r="E534" s="336"/>
      <c r="F534" s="336"/>
      <c r="G534" s="336"/>
      <c r="H534" s="336"/>
      <c r="I534" s="336"/>
      <c r="J534" s="336"/>
      <c r="K534" s="336"/>
      <c r="L534" s="336"/>
      <c r="M534" s="336"/>
      <c r="N534" s="336"/>
      <c r="O534" s="336"/>
      <c r="P534" s="336"/>
      <c r="Q534" s="336"/>
    </row>
    <row r="535" ht="15.75" customHeight="1">
      <c r="A535" s="336"/>
      <c r="B535" s="336"/>
      <c r="C535" s="336"/>
      <c r="D535" s="336"/>
      <c r="E535" s="336"/>
      <c r="F535" s="336"/>
      <c r="G535" s="336"/>
      <c r="H535" s="336"/>
      <c r="I535" s="336"/>
      <c r="J535" s="336"/>
      <c r="K535" s="336"/>
      <c r="L535" s="336"/>
      <c r="M535" s="336"/>
      <c r="N535" s="336"/>
      <c r="O535" s="336"/>
      <c r="P535" s="336"/>
      <c r="Q535" s="336"/>
    </row>
    <row r="536" ht="15.75" customHeight="1">
      <c r="A536" s="336"/>
      <c r="B536" s="336"/>
      <c r="C536" s="336"/>
      <c r="D536" s="336"/>
      <c r="E536" s="336"/>
      <c r="F536" s="336"/>
      <c r="G536" s="336"/>
      <c r="H536" s="336"/>
      <c r="I536" s="336"/>
      <c r="J536" s="336"/>
      <c r="K536" s="336"/>
      <c r="L536" s="336"/>
      <c r="M536" s="336"/>
      <c r="N536" s="336"/>
      <c r="O536" s="336"/>
      <c r="P536" s="336"/>
      <c r="Q536" s="336"/>
    </row>
    <row r="537" ht="15.75" customHeight="1">
      <c r="A537" s="336"/>
      <c r="B537" s="336"/>
      <c r="C537" s="336"/>
      <c r="D537" s="336"/>
      <c r="E537" s="336"/>
      <c r="F537" s="336"/>
      <c r="G537" s="336"/>
      <c r="H537" s="336"/>
      <c r="I537" s="336"/>
      <c r="J537" s="336"/>
      <c r="K537" s="336"/>
      <c r="L537" s="336"/>
      <c r="M537" s="336"/>
      <c r="N537" s="336"/>
      <c r="O537" s="336"/>
      <c r="P537" s="336"/>
      <c r="Q537" s="336"/>
    </row>
    <row r="538" ht="15.75" customHeight="1">
      <c r="A538" s="336"/>
      <c r="B538" s="336"/>
      <c r="C538" s="336"/>
      <c r="D538" s="336"/>
      <c r="E538" s="336"/>
      <c r="F538" s="336"/>
      <c r="G538" s="336"/>
      <c r="H538" s="336"/>
      <c r="I538" s="336"/>
      <c r="J538" s="336"/>
      <c r="K538" s="336"/>
      <c r="L538" s="336"/>
      <c r="M538" s="336"/>
      <c r="N538" s="336"/>
      <c r="O538" s="336"/>
      <c r="P538" s="336"/>
      <c r="Q538" s="336"/>
    </row>
    <row r="539" ht="15.75" customHeight="1">
      <c r="A539" s="336"/>
      <c r="B539" s="336"/>
      <c r="C539" s="336"/>
      <c r="D539" s="336"/>
      <c r="E539" s="336"/>
      <c r="F539" s="336"/>
      <c r="G539" s="336"/>
      <c r="H539" s="336"/>
      <c r="I539" s="336"/>
      <c r="J539" s="336"/>
      <c r="K539" s="336"/>
      <c r="L539" s="336"/>
      <c r="M539" s="336"/>
      <c r="N539" s="336"/>
      <c r="O539" s="336"/>
      <c r="P539" s="336"/>
      <c r="Q539" s="336"/>
    </row>
    <row r="540" ht="15.75" customHeight="1">
      <c r="A540" s="336"/>
      <c r="B540" s="336"/>
      <c r="C540" s="336"/>
      <c r="D540" s="336"/>
      <c r="E540" s="336"/>
      <c r="F540" s="336"/>
      <c r="G540" s="336"/>
      <c r="H540" s="336"/>
      <c r="I540" s="336"/>
      <c r="J540" s="336"/>
      <c r="K540" s="336"/>
      <c r="L540" s="336"/>
      <c r="M540" s="336"/>
      <c r="N540" s="336"/>
      <c r="O540" s="336"/>
      <c r="P540" s="336"/>
      <c r="Q540" s="336"/>
    </row>
    <row r="541" ht="15.75" customHeight="1">
      <c r="A541" s="336"/>
      <c r="B541" s="336"/>
      <c r="C541" s="336"/>
      <c r="D541" s="336"/>
      <c r="E541" s="336"/>
      <c r="F541" s="336"/>
      <c r="G541" s="336"/>
      <c r="H541" s="336"/>
      <c r="I541" s="336"/>
      <c r="J541" s="336"/>
      <c r="K541" s="336"/>
      <c r="L541" s="336"/>
      <c r="M541" s="336"/>
      <c r="N541" s="336"/>
      <c r="O541" s="336"/>
      <c r="P541" s="336"/>
      <c r="Q541" s="336"/>
    </row>
    <row r="542" ht="15.75" customHeight="1">
      <c r="A542" s="336"/>
      <c r="B542" s="336"/>
      <c r="C542" s="336"/>
      <c r="D542" s="336"/>
      <c r="E542" s="336"/>
      <c r="F542" s="336"/>
      <c r="G542" s="336"/>
      <c r="H542" s="336"/>
      <c r="I542" s="336"/>
      <c r="J542" s="336"/>
      <c r="K542" s="336"/>
      <c r="L542" s="336"/>
      <c r="M542" s="336"/>
      <c r="N542" s="336"/>
      <c r="O542" s="336"/>
      <c r="P542" s="336"/>
      <c r="Q542" s="336"/>
    </row>
    <row r="543" ht="15.75" customHeight="1">
      <c r="A543" s="336"/>
      <c r="B543" s="336"/>
      <c r="C543" s="336"/>
      <c r="D543" s="336"/>
      <c r="E543" s="336"/>
      <c r="F543" s="336"/>
      <c r="G543" s="336"/>
      <c r="H543" s="336"/>
      <c r="I543" s="336"/>
      <c r="J543" s="336"/>
      <c r="K543" s="336"/>
      <c r="L543" s="336"/>
      <c r="M543" s="336"/>
      <c r="N543" s="336"/>
      <c r="O543" s="336"/>
      <c r="P543" s="336"/>
      <c r="Q543" s="336"/>
    </row>
    <row r="544" ht="15.75" customHeight="1">
      <c r="A544" s="336"/>
      <c r="B544" s="336"/>
      <c r="C544" s="336"/>
      <c r="D544" s="336"/>
      <c r="E544" s="336"/>
      <c r="F544" s="336"/>
      <c r="G544" s="336"/>
      <c r="H544" s="336"/>
      <c r="I544" s="336"/>
      <c r="J544" s="336"/>
      <c r="K544" s="336"/>
      <c r="L544" s="336"/>
      <c r="M544" s="336"/>
      <c r="N544" s="336"/>
      <c r="O544" s="336"/>
      <c r="P544" s="336"/>
      <c r="Q544" s="336"/>
    </row>
    <row r="545" ht="15.75" customHeight="1">
      <c r="A545" s="336"/>
      <c r="B545" s="336"/>
      <c r="C545" s="336"/>
      <c r="D545" s="336"/>
      <c r="E545" s="336"/>
      <c r="F545" s="336"/>
      <c r="G545" s="336"/>
      <c r="H545" s="336"/>
      <c r="I545" s="336"/>
      <c r="J545" s="336"/>
      <c r="K545" s="336"/>
      <c r="L545" s="336"/>
      <c r="M545" s="336"/>
      <c r="N545" s="336"/>
      <c r="O545" s="336"/>
      <c r="P545" s="336"/>
      <c r="Q545" s="336"/>
    </row>
    <row r="546" ht="15.75" customHeight="1">
      <c r="A546" s="336"/>
      <c r="B546" s="336"/>
      <c r="C546" s="336"/>
      <c r="D546" s="336"/>
      <c r="E546" s="336"/>
      <c r="F546" s="336"/>
      <c r="G546" s="336"/>
      <c r="H546" s="336"/>
      <c r="I546" s="336"/>
      <c r="J546" s="336"/>
      <c r="K546" s="336"/>
      <c r="L546" s="336"/>
      <c r="M546" s="336"/>
      <c r="N546" s="336"/>
      <c r="O546" s="336"/>
      <c r="P546" s="336"/>
      <c r="Q546" s="336"/>
    </row>
    <row r="547" ht="15.75" customHeight="1">
      <c r="A547" s="336"/>
      <c r="B547" s="336"/>
      <c r="C547" s="336"/>
      <c r="D547" s="336"/>
      <c r="E547" s="336"/>
      <c r="F547" s="336"/>
      <c r="G547" s="336"/>
      <c r="H547" s="336"/>
      <c r="I547" s="336"/>
      <c r="J547" s="336"/>
      <c r="K547" s="336"/>
      <c r="L547" s="336"/>
      <c r="M547" s="336"/>
      <c r="N547" s="336"/>
      <c r="O547" s="336"/>
      <c r="P547" s="336"/>
      <c r="Q547" s="336"/>
    </row>
    <row r="548" ht="15.75" customHeight="1">
      <c r="A548" s="336"/>
      <c r="B548" s="336"/>
      <c r="C548" s="336"/>
      <c r="D548" s="336"/>
      <c r="E548" s="336"/>
      <c r="F548" s="336"/>
      <c r="G548" s="336"/>
      <c r="H548" s="336"/>
      <c r="I548" s="336"/>
      <c r="J548" s="336"/>
      <c r="K548" s="336"/>
      <c r="L548" s="336"/>
      <c r="M548" s="336"/>
      <c r="N548" s="336"/>
      <c r="O548" s="336"/>
      <c r="P548" s="336"/>
      <c r="Q548" s="336"/>
    </row>
    <row r="549" ht="15.75" customHeight="1">
      <c r="A549" s="336"/>
      <c r="B549" s="336"/>
      <c r="C549" s="336"/>
      <c r="D549" s="336"/>
      <c r="E549" s="336"/>
      <c r="F549" s="336"/>
      <c r="G549" s="336"/>
      <c r="H549" s="336"/>
      <c r="I549" s="336"/>
      <c r="J549" s="336"/>
      <c r="K549" s="336"/>
      <c r="L549" s="336"/>
      <c r="M549" s="336"/>
      <c r="N549" s="336"/>
      <c r="O549" s="336"/>
      <c r="P549" s="336"/>
      <c r="Q549" s="336"/>
    </row>
    <row r="550" ht="15.75" customHeight="1">
      <c r="A550" s="336"/>
      <c r="B550" s="336"/>
      <c r="C550" s="336"/>
      <c r="D550" s="336"/>
      <c r="E550" s="336"/>
      <c r="F550" s="336"/>
      <c r="G550" s="336"/>
      <c r="H550" s="336"/>
      <c r="I550" s="336"/>
      <c r="J550" s="336"/>
      <c r="K550" s="336"/>
      <c r="L550" s="336"/>
      <c r="M550" s="336"/>
      <c r="N550" s="336"/>
      <c r="O550" s="336"/>
      <c r="P550" s="336"/>
      <c r="Q550" s="336"/>
    </row>
    <row r="551" ht="15.75" customHeight="1">
      <c r="A551" s="336"/>
      <c r="B551" s="336"/>
      <c r="C551" s="336"/>
      <c r="D551" s="336"/>
      <c r="E551" s="336"/>
      <c r="F551" s="336"/>
      <c r="G551" s="336"/>
      <c r="H551" s="336"/>
      <c r="I551" s="336"/>
      <c r="J551" s="336"/>
      <c r="K551" s="336"/>
      <c r="L551" s="336"/>
      <c r="M551" s="336"/>
      <c r="N551" s="336"/>
      <c r="O551" s="336"/>
      <c r="P551" s="336"/>
      <c r="Q551" s="336"/>
    </row>
    <row r="552" ht="15.75" customHeight="1">
      <c r="A552" s="336"/>
      <c r="B552" s="336"/>
      <c r="C552" s="336"/>
      <c r="D552" s="336"/>
      <c r="E552" s="336"/>
      <c r="F552" s="336"/>
      <c r="G552" s="336"/>
      <c r="H552" s="336"/>
      <c r="I552" s="336"/>
      <c r="J552" s="336"/>
      <c r="K552" s="336"/>
      <c r="L552" s="336"/>
      <c r="M552" s="336"/>
      <c r="N552" s="336"/>
      <c r="O552" s="336"/>
      <c r="P552" s="336"/>
      <c r="Q552" s="336"/>
    </row>
    <row r="553" ht="15.75" customHeight="1">
      <c r="A553" s="336"/>
      <c r="B553" s="336"/>
      <c r="C553" s="336"/>
      <c r="D553" s="336"/>
      <c r="E553" s="336"/>
      <c r="F553" s="336"/>
      <c r="G553" s="336"/>
      <c r="H553" s="336"/>
      <c r="I553" s="336"/>
      <c r="J553" s="336"/>
      <c r="K553" s="336"/>
      <c r="L553" s="336"/>
      <c r="M553" s="336"/>
      <c r="N553" s="336"/>
      <c r="O553" s="336"/>
      <c r="P553" s="336"/>
      <c r="Q553" s="336"/>
    </row>
    <row r="554" ht="15.75" customHeight="1">
      <c r="A554" s="336"/>
      <c r="B554" s="336"/>
      <c r="C554" s="336"/>
      <c r="D554" s="336"/>
      <c r="E554" s="336"/>
      <c r="F554" s="336"/>
      <c r="G554" s="336"/>
      <c r="H554" s="336"/>
      <c r="I554" s="336"/>
      <c r="J554" s="336"/>
      <c r="K554" s="336"/>
      <c r="L554" s="336"/>
      <c r="M554" s="336"/>
      <c r="N554" s="336"/>
      <c r="O554" s="336"/>
      <c r="P554" s="336"/>
      <c r="Q554" s="336"/>
    </row>
    <row r="555" ht="15.75" customHeight="1">
      <c r="A555" s="336"/>
      <c r="B555" s="336"/>
      <c r="C555" s="336"/>
      <c r="D555" s="336"/>
      <c r="E555" s="336"/>
      <c r="F555" s="336"/>
      <c r="G555" s="336"/>
      <c r="H555" s="336"/>
      <c r="I555" s="336"/>
      <c r="J555" s="336"/>
      <c r="K555" s="336"/>
      <c r="L555" s="336"/>
      <c r="M555" s="336"/>
      <c r="N555" s="336"/>
      <c r="O555" s="336"/>
      <c r="P555" s="336"/>
      <c r="Q555" s="336"/>
    </row>
    <row r="556" ht="15.75" customHeight="1">
      <c r="A556" s="336"/>
      <c r="B556" s="336"/>
      <c r="C556" s="336"/>
      <c r="D556" s="336"/>
      <c r="E556" s="336"/>
      <c r="F556" s="336"/>
      <c r="G556" s="336"/>
      <c r="H556" s="336"/>
      <c r="I556" s="336"/>
      <c r="J556" s="336"/>
      <c r="K556" s="336"/>
      <c r="L556" s="336"/>
      <c r="M556" s="336"/>
      <c r="N556" s="336"/>
      <c r="O556" s="336"/>
      <c r="P556" s="336"/>
      <c r="Q556" s="336"/>
    </row>
    <row r="557" ht="15.75" customHeight="1">
      <c r="A557" s="336"/>
      <c r="B557" s="336"/>
      <c r="C557" s="336"/>
      <c r="D557" s="336"/>
      <c r="E557" s="336"/>
      <c r="F557" s="336"/>
      <c r="G557" s="336"/>
      <c r="H557" s="336"/>
      <c r="I557" s="336"/>
      <c r="J557" s="336"/>
      <c r="K557" s="336"/>
      <c r="L557" s="336"/>
      <c r="M557" s="336"/>
      <c r="N557" s="336"/>
      <c r="O557" s="336"/>
      <c r="P557" s="336"/>
      <c r="Q557" s="336"/>
    </row>
    <row r="558" ht="15.75" customHeight="1">
      <c r="A558" s="336"/>
      <c r="B558" s="336"/>
      <c r="C558" s="336"/>
      <c r="D558" s="336"/>
      <c r="E558" s="336"/>
      <c r="F558" s="336"/>
      <c r="G558" s="336"/>
      <c r="H558" s="336"/>
      <c r="I558" s="336"/>
      <c r="J558" s="336"/>
      <c r="K558" s="336"/>
      <c r="L558" s="336"/>
      <c r="M558" s="336"/>
      <c r="N558" s="336"/>
      <c r="O558" s="336"/>
      <c r="P558" s="336"/>
      <c r="Q558" s="336"/>
    </row>
    <row r="559" ht="15.75" customHeight="1">
      <c r="A559" s="336"/>
      <c r="B559" s="336"/>
      <c r="C559" s="336"/>
      <c r="D559" s="336"/>
      <c r="E559" s="336"/>
      <c r="F559" s="336"/>
      <c r="G559" s="336"/>
      <c r="H559" s="336"/>
      <c r="I559" s="336"/>
      <c r="J559" s="336"/>
      <c r="K559" s="336"/>
      <c r="L559" s="336"/>
      <c r="M559" s="336"/>
      <c r="N559" s="336"/>
      <c r="O559" s="336"/>
      <c r="P559" s="336"/>
      <c r="Q559" s="336"/>
    </row>
    <row r="560" ht="15.75" customHeight="1">
      <c r="A560" s="336"/>
      <c r="B560" s="336"/>
      <c r="C560" s="336"/>
      <c r="D560" s="336"/>
      <c r="E560" s="336"/>
      <c r="F560" s="336"/>
      <c r="G560" s="336"/>
      <c r="H560" s="336"/>
      <c r="I560" s="336"/>
      <c r="J560" s="336"/>
      <c r="K560" s="336"/>
      <c r="L560" s="336"/>
      <c r="M560" s="336"/>
      <c r="N560" s="336"/>
      <c r="O560" s="336"/>
      <c r="P560" s="336"/>
      <c r="Q560" s="336"/>
    </row>
    <row r="561" ht="15.75" customHeight="1">
      <c r="A561" s="336"/>
      <c r="B561" s="336"/>
      <c r="C561" s="336"/>
      <c r="D561" s="336"/>
      <c r="E561" s="336"/>
      <c r="F561" s="336"/>
      <c r="G561" s="336"/>
      <c r="H561" s="336"/>
      <c r="I561" s="336"/>
      <c r="J561" s="336"/>
      <c r="K561" s="336"/>
      <c r="L561" s="336"/>
      <c r="M561" s="336"/>
      <c r="N561" s="336"/>
      <c r="O561" s="336"/>
      <c r="P561" s="336"/>
      <c r="Q561" s="336"/>
    </row>
    <row r="562" ht="15.75" customHeight="1">
      <c r="A562" s="336"/>
      <c r="B562" s="336"/>
      <c r="C562" s="336"/>
      <c r="D562" s="336"/>
      <c r="E562" s="336"/>
      <c r="F562" s="336"/>
      <c r="G562" s="336"/>
      <c r="H562" s="336"/>
      <c r="I562" s="336"/>
      <c r="J562" s="336"/>
      <c r="K562" s="336"/>
      <c r="L562" s="336"/>
      <c r="M562" s="336"/>
      <c r="N562" s="336"/>
      <c r="O562" s="336"/>
      <c r="P562" s="336"/>
      <c r="Q562" s="336"/>
    </row>
    <row r="563" ht="15.75" customHeight="1">
      <c r="A563" s="336"/>
      <c r="B563" s="336"/>
      <c r="C563" s="336"/>
      <c r="D563" s="336"/>
      <c r="E563" s="336"/>
      <c r="F563" s="336"/>
      <c r="G563" s="336"/>
      <c r="H563" s="336"/>
      <c r="I563" s="336"/>
      <c r="J563" s="336"/>
      <c r="K563" s="336"/>
      <c r="L563" s="336"/>
      <c r="M563" s="336"/>
      <c r="N563" s="336"/>
      <c r="O563" s="336"/>
      <c r="P563" s="336"/>
      <c r="Q563" s="336"/>
    </row>
    <row r="564" ht="15.75" customHeight="1">
      <c r="A564" s="336"/>
      <c r="B564" s="336"/>
      <c r="C564" s="336"/>
      <c r="D564" s="336"/>
      <c r="E564" s="336"/>
      <c r="F564" s="336"/>
      <c r="G564" s="336"/>
      <c r="H564" s="336"/>
      <c r="I564" s="336"/>
      <c r="J564" s="336"/>
      <c r="K564" s="336"/>
      <c r="L564" s="336"/>
      <c r="M564" s="336"/>
      <c r="N564" s="336"/>
      <c r="O564" s="336"/>
      <c r="P564" s="336"/>
      <c r="Q564" s="336"/>
    </row>
    <row r="565" ht="15.75" customHeight="1">
      <c r="A565" s="336"/>
      <c r="B565" s="336"/>
      <c r="C565" s="336"/>
      <c r="D565" s="336"/>
      <c r="E565" s="336"/>
      <c r="F565" s="336"/>
      <c r="G565" s="336"/>
      <c r="H565" s="336"/>
      <c r="I565" s="336"/>
      <c r="J565" s="336"/>
      <c r="K565" s="336"/>
      <c r="L565" s="336"/>
      <c r="M565" s="336"/>
      <c r="N565" s="336"/>
      <c r="O565" s="336"/>
      <c r="P565" s="336"/>
      <c r="Q565" s="336"/>
    </row>
    <row r="566" ht="15.75" customHeight="1">
      <c r="A566" s="336"/>
      <c r="B566" s="336"/>
      <c r="C566" s="336"/>
      <c r="D566" s="336"/>
      <c r="E566" s="336"/>
      <c r="F566" s="336"/>
      <c r="G566" s="336"/>
      <c r="H566" s="336"/>
      <c r="I566" s="336"/>
      <c r="J566" s="336"/>
      <c r="K566" s="336"/>
      <c r="L566" s="336"/>
      <c r="M566" s="336"/>
      <c r="N566" s="336"/>
      <c r="O566" s="336"/>
      <c r="P566" s="336"/>
      <c r="Q566" s="336"/>
    </row>
    <row r="567" ht="15.75" customHeight="1">
      <c r="A567" s="336"/>
      <c r="B567" s="336"/>
      <c r="C567" s="336"/>
      <c r="D567" s="336"/>
      <c r="E567" s="336"/>
      <c r="F567" s="336"/>
      <c r="G567" s="336"/>
      <c r="H567" s="336"/>
      <c r="I567" s="336"/>
      <c r="J567" s="336"/>
      <c r="K567" s="336"/>
      <c r="L567" s="336"/>
      <c r="M567" s="336"/>
      <c r="N567" s="336"/>
      <c r="O567" s="336"/>
      <c r="P567" s="336"/>
      <c r="Q567" s="336"/>
    </row>
    <row r="568" ht="15.75" customHeight="1">
      <c r="A568" s="336"/>
      <c r="B568" s="336"/>
      <c r="C568" s="336"/>
      <c r="D568" s="336"/>
      <c r="E568" s="336"/>
      <c r="F568" s="336"/>
      <c r="G568" s="336"/>
      <c r="H568" s="336"/>
      <c r="I568" s="336"/>
      <c r="J568" s="336"/>
      <c r="K568" s="336"/>
      <c r="L568" s="336"/>
      <c r="M568" s="336"/>
      <c r="N568" s="336"/>
      <c r="O568" s="336"/>
      <c r="P568" s="336"/>
      <c r="Q568" s="336"/>
    </row>
    <row r="569" ht="15.75" customHeight="1">
      <c r="A569" s="336"/>
      <c r="B569" s="336"/>
      <c r="C569" s="336"/>
      <c r="D569" s="336"/>
      <c r="E569" s="336"/>
      <c r="F569" s="336"/>
      <c r="G569" s="336"/>
      <c r="H569" s="336"/>
      <c r="I569" s="336"/>
      <c r="J569" s="336"/>
      <c r="K569" s="336"/>
      <c r="L569" s="336"/>
      <c r="M569" s="336"/>
      <c r="N569" s="336"/>
      <c r="O569" s="336"/>
      <c r="P569" s="336"/>
      <c r="Q569" s="336"/>
    </row>
    <row r="570" ht="15.75" customHeight="1">
      <c r="A570" s="336"/>
      <c r="B570" s="336"/>
      <c r="C570" s="336"/>
      <c r="D570" s="336"/>
      <c r="E570" s="336"/>
      <c r="F570" s="336"/>
      <c r="G570" s="336"/>
      <c r="H570" s="336"/>
      <c r="I570" s="336"/>
      <c r="J570" s="336"/>
      <c r="K570" s="336"/>
      <c r="L570" s="336"/>
      <c r="M570" s="336"/>
      <c r="N570" s="336"/>
      <c r="O570" s="336"/>
      <c r="P570" s="336"/>
      <c r="Q570" s="336"/>
    </row>
    <row r="571" ht="15.75" customHeight="1">
      <c r="A571" s="336"/>
      <c r="B571" s="336"/>
      <c r="C571" s="336"/>
      <c r="D571" s="336"/>
      <c r="E571" s="336"/>
      <c r="F571" s="336"/>
      <c r="G571" s="336"/>
      <c r="H571" s="336"/>
      <c r="I571" s="336"/>
      <c r="J571" s="336"/>
      <c r="K571" s="336"/>
      <c r="L571" s="336"/>
      <c r="M571" s="336"/>
      <c r="N571" s="336"/>
      <c r="O571" s="336"/>
      <c r="P571" s="336"/>
      <c r="Q571" s="336"/>
    </row>
    <row r="572" ht="15.75" customHeight="1">
      <c r="A572" s="336"/>
      <c r="B572" s="336"/>
      <c r="C572" s="336"/>
      <c r="D572" s="336"/>
      <c r="E572" s="336"/>
      <c r="F572" s="336"/>
      <c r="G572" s="336"/>
      <c r="H572" s="336"/>
      <c r="I572" s="336"/>
      <c r="J572" s="336"/>
      <c r="K572" s="336"/>
      <c r="L572" s="336"/>
      <c r="M572" s="336"/>
      <c r="N572" s="336"/>
      <c r="O572" s="336"/>
      <c r="P572" s="336"/>
      <c r="Q572" s="336"/>
    </row>
    <row r="573" ht="15.75" customHeight="1">
      <c r="A573" s="336"/>
      <c r="B573" s="336"/>
      <c r="C573" s="336"/>
      <c r="D573" s="336"/>
      <c r="E573" s="336"/>
      <c r="F573" s="336"/>
      <c r="G573" s="336"/>
      <c r="H573" s="336"/>
      <c r="I573" s="336"/>
      <c r="J573" s="336"/>
      <c r="K573" s="336"/>
      <c r="L573" s="336"/>
      <c r="M573" s="336"/>
      <c r="N573" s="336"/>
      <c r="O573" s="336"/>
      <c r="P573" s="336"/>
      <c r="Q573" s="336"/>
    </row>
    <row r="574" ht="15.75" customHeight="1">
      <c r="A574" s="336"/>
      <c r="B574" s="336"/>
      <c r="C574" s="336"/>
      <c r="D574" s="336"/>
      <c r="E574" s="336"/>
      <c r="F574" s="336"/>
      <c r="G574" s="336"/>
      <c r="H574" s="336"/>
      <c r="I574" s="336"/>
      <c r="J574" s="336"/>
      <c r="K574" s="336"/>
      <c r="L574" s="336"/>
      <c r="M574" s="336"/>
      <c r="N574" s="336"/>
      <c r="O574" s="336"/>
      <c r="P574" s="336"/>
      <c r="Q574" s="336"/>
    </row>
    <row r="575" ht="15.75" customHeight="1">
      <c r="A575" s="336"/>
      <c r="B575" s="336"/>
      <c r="C575" s="336"/>
      <c r="D575" s="336"/>
      <c r="E575" s="336"/>
      <c r="F575" s="336"/>
      <c r="G575" s="336"/>
      <c r="H575" s="336"/>
      <c r="I575" s="336"/>
      <c r="J575" s="336"/>
      <c r="K575" s="336"/>
      <c r="L575" s="336"/>
      <c r="M575" s="336"/>
      <c r="N575" s="336"/>
      <c r="O575" s="336"/>
      <c r="P575" s="336"/>
      <c r="Q575" s="336"/>
    </row>
    <row r="576" ht="15.75" customHeight="1">
      <c r="A576" s="336"/>
      <c r="B576" s="336"/>
      <c r="C576" s="336"/>
      <c r="D576" s="336"/>
      <c r="E576" s="336"/>
      <c r="F576" s="336"/>
      <c r="G576" s="336"/>
      <c r="H576" s="336"/>
      <c r="I576" s="336"/>
      <c r="J576" s="336"/>
      <c r="K576" s="336"/>
      <c r="L576" s="336"/>
      <c r="M576" s="336"/>
      <c r="N576" s="336"/>
      <c r="O576" s="336"/>
      <c r="P576" s="336"/>
      <c r="Q576" s="336"/>
    </row>
    <row r="577" ht="15.75" customHeight="1">
      <c r="A577" s="336"/>
      <c r="B577" s="336"/>
      <c r="C577" s="336"/>
      <c r="D577" s="336"/>
      <c r="E577" s="336"/>
      <c r="F577" s="336"/>
      <c r="G577" s="336"/>
      <c r="H577" s="336"/>
      <c r="I577" s="336"/>
      <c r="J577" s="336"/>
      <c r="K577" s="336"/>
      <c r="L577" s="336"/>
      <c r="M577" s="336"/>
      <c r="N577" s="336"/>
      <c r="O577" s="336"/>
      <c r="P577" s="336"/>
      <c r="Q577" s="336"/>
    </row>
    <row r="578" ht="15.75" customHeight="1">
      <c r="A578" s="336"/>
      <c r="B578" s="336"/>
      <c r="C578" s="336"/>
      <c r="D578" s="336"/>
      <c r="E578" s="336"/>
      <c r="F578" s="336"/>
      <c r="G578" s="336"/>
      <c r="H578" s="336"/>
      <c r="I578" s="336"/>
      <c r="J578" s="336"/>
      <c r="K578" s="336"/>
      <c r="L578" s="336"/>
      <c r="M578" s="336"/>
      <c r="N578" s="336"/>
      <c r="O578" s="336"/>
      <c r="P578" s="336"/>
      <c r="Q578" s="336"/>
    </row>
    <row r="579" ht="15.75" customHeight="1">
      <c r="A579" s="336"/>
      <c r="B579" s="336"/>
      <c r="C579" s="336"/>
      <c r="D579" s="336"/>
      <c r="E579" s="336"/>
      <c r="F579" s="336"/>
      <c r="G579" s="336"/>
      <c r="H579" s="336"/>
      <c r="I579" s="336"/>
      <c r="J579" s="336"/>
      <c r="K579" s="336"/>
      <c r="L579" s="336"/>
      <c r="M579" s="336"/>
      <c r="N579" s="336"/>
      <c r="O579" s="336"/>
      <c r="P579" s="336"/>
      <c r="Q579" s="336"/>
    </row>
    <row r="580" ht="15.75" customHeight="1">
      <c r="A580" s="336"/>
      <c r="B580" s="336"/>
      <c r="C580" s="336"/>
      <c r="D580" s="336"/>
      <c r="E580" s="336"/>
      <c r="F580" s="336"/>
      <c r="G580" s="336"/>
      <c r="H580" s="336"/>
      <c r="I580" s="336"/>
      <c r="J580" s="336"/>
      <c r="K580" s="336"/>
      <c r="L580" s="336"/>
      <c r="M580" s="336"/>
      <c r="N580" s="336"/>
      <c r="O580" s="336"/>
      <c r="P580" s="336"/>
      <c r="Q580" s="336"/>
    </row>
    <row r="581" ht="15.75" customHeight="1">
      <c r="A581" s="336"/>
      <c r="B581" s="336"/>
      <c r="C581" s="336"/>
      <c r="D581" s="336"/>
      <c r="E581" s="336"/>
      <c r="F581" s="336"/>
      <c r="G581" s="336"/>
      <c r="H581" s="336"/>
      <c r="I581" s="336"/>
      <c r="J581" s="336"/>
      <c r="K581" s="336"/>
      <c r="L581" s="336"/>
      <c r="M581" s="336"/>
      <c r="N581" s="336"/>
      <c r="O581" s="336"/>
      <c r="P581" s="336"/>
      <c r="Q581" s="336"/>
    </row>
    <row r="582" ht="15.75" customHeight="1">
      <c r="A582" s="336"/>
      <c r="B582" s="336"/>
      <c r="C582" s="336"/>
      <c r="D582" s="336"/>
      <c r="E582" s="336"/>
      <c r="F582" s="336"/>
      <c r="G582" s="336"/>
      <c r="H582" s="336"/>
      <c r="I582" s="336"/>
      <c r="J582" s="336"/>
      <c r="K582" s="336"/>
      <c r="L582" s="336"/>
      <c r="M582" s="336"/>
      <c r="N582" s="336"/>
      <c r="O582" s="336"/>
      <c r="P582" s="336"/>
      <c r="Q582" s="336"/>
    </row>
    <row r="583" ht="15.75" customHeight="1">
      <c r="A583" s="336"/>
      <c r="B583" s="336"/>
      <c r="C583" s="336"/>
      <c r="D583" s="336"/>
      <c r="E583" s="336"/>
      <c r="F583" s="336"/>
      <c r="G583" s="336"/>
      <c r="H583" s="336"/>
      <c r="I583" s="336"/>
      <c r="J583" s="336"/>
      <c r="K583" s="336"/>
      <c r="L583" s="336"/>
      <c r="M583" s="336"/>
      <c r="N583" s="336"/>
      <c r="O583" s="336"/>
      <c r="P583" s="336"/>
      <c r="Q583" s="336"/>
    </row>
    <row r="584" ht="15.75" customHeight="1">
      <c r="A584" s="336"/>
      <c r="B584" s="336"/>
      <c r="C584" s="336"/>
      <c r="D584" s="336"/>
      <c r="E584" s="336"/>
      <c r="F584" s="336"/>
      <c r="G584" s="336"/>
      <c r="H584" s="336"/>
      <c r="I584" s="336"/>
      <c r="J584" s="336"/>
      <c r="K584" s="336"/>
      <c r="L584" s="336"/>
      <c r="M584" s="336"/>
      <c r="N584" s="336"/>
      <c r="O584" s="336"/>
      <c r="P584" s="336"/>
      <c r="Q584" s="336"/>
    </row>
    <row r="585" ht="15.75" customHeight="1">
      <c r="A585" s="336"/>
      <c r="B585" s="336"/>
      <c r="C585" s="336"/>
      <c r="D585" s="336"/>
      <c r="E585" s="336"/>
      <c r="F585" s="336"/>
      <c r="G585" s="336"/>
      <c r="H585" s="336"/>
      <c r="I585" s="336"/>
      <c r="J585" s="336"/>
      <c r="K585" s="336"/>
      <c r="L585" s="336"/>
      <c r="M585" s="336"/>
      <c r="N585" s="336"/>
      <c r="O585" s="336"/>
      <c r="P585" s="336"/>
      <c r="Q585" s="336"/>
    </row>
    <row r="586" ht="15.75" customHeight="1">
      <c r="A586" s="336"/>
      <c r="B586" s="336"/>
      <c r="C586" s="336"/>
      <c r="D586" s="336"/>
      <c r="E586" s="336"/>
      <c r="F586" s="336"/>
      <c r="G586" s="336"/>
      <c r="H586" s="336"/>
      <c r="I586" s="336"/>
      <c r="J586" s="336"/>
      <c r="K586" s="336"/>
      <c r="L586" s="336"/>
      <c r="M586" s="336"/>
      <c r="N586" s="336"/>
      <c r="O586" s="336"/>
      <c r="P586" s="336"/>
      <c r="Q586" s="336"/>
    </row>
    <row r="587" ht="15.75" customHeight="1">
      <c r="A587" s="336"/>
      <c r="B587" s="336"/>
      <c r="C587" s="336"/>
      <c r="D587" s="336"/>
      <c r="E587" s="336"/>
      <c r="F587" s="336"/>
      <c r="G587" s="336"/>
      <c r="H587" s="336"/>
      <c r="I587" s="336"/>
      <c r="J587" s="336"/>
      <c r="K587" s="336"/>
      <c r="L587" s="336"/>
      <c r="M587" s="336"/>
      <c r="N587" s="336"/>
      <c r="O587" s="336"/>
      <c r="P587" s="336"/>
      <c r="Q587" s="336"/>
    </row>
    <row r="588" ht="15.75" customHeight="1">
      <c r="A588" s="336"/>
      <c r="B588" s="336"/>
      <c r="C588" s="336"/>
      <c r="D588" s="336"/>
      <c r="E588" s="336"/>
      <c r="F588" s="336"/>
      <c r="G588" s="336"/>
      <c r="H588" s="336"/>
      <c r="I588" s="336"/>
      <c r="J588" s="336"/>
      <c r="K588" s="336"/>
      <c r="L588" s="336"/>
      <c r="M588" s="336"/>
      <c r="N588" s="336"/>
      <c r="O588" s="336"/>
      <c r="P588" s="336"/>
      <c r="Q588" s="336"/>
    </row>
    <row r="589" ht="15.75" customHeight="1">
      <c r="A589" s="336"/>
      <c r="B589" s="336"/>
      <c r="C589" s="336"/>
      <c r="D589" s="336"/>
      <c r="E589" s="336"/>
      <c r="F589" s="336"/>
      <c r="G589" s="336"/>
      <c r="H589" s="336"/>
      <c r="I589" s="336"/>
      <c r="J589" s="336"/>
      <c r="K589" s="336"/>
      <c r="L589" s="336"/>
      <c r="M589" s="336"/>
      <c r="N589" s="336"/>
      <c r="O589" s="336"/>
      <c r="P589" s="336"/>
      <c r="Q589" s="336"/>
    </row>
    <row r="590" ht="15.75" customHeight="1">
      <c r="A590" s="336"/>
      <c r="B590" s="336"/>
      <c r="C590" s="336"/>
      <c r="D590" s="336"/>
      <c r="E590" s="336"/>
      <c r="F590" s="336"/>
      <c r="G590" s="336"/>
      <c r="H590" s="336"/>
      <c r="I590" s="336"/>
      <c r="J590" s="336"/>
      <c r="K590" s="336"/>
      <c r="L590" s="336"/>
      <c r="M590" s="336"/>
      <c r="N590" s="336"/>
      <c r="O590" s="336"/>
      <c r="P590" s="336"/>
      <c r="Q590" s="336"/>
    </row>
    <row r="591" ht="15.75" customHeight="1">
      <c r="A591" s="336"/>
      <c r="B591" s="336"/>
      <c r="C591" s="336"/>
      <c r="D591" s="336"/>
      <c r="E591" s="336"/>
      <c r="F591" s="336"/>
      <c r="G591" s="336"/>
      <c r="H591" s="336"/>
      <c r="I591" s="336"/>
      <c r="J591" s="336"/>
      <c r="K591" s="336"/>
      <c r="L591" s="336"/>
      <c r="M591" s="336"/>
      <c r="N591" s="336"/>
      <c r="O591" s="336"/>
      <c r="P591" s="336"/>
      <c r="Q591" s="336"/>
    </row>
    <row r="592" ht="15.75" customHeight="1">
      <c r="A592" s="336"/>
      <c r="B592" s="336"/>
      <c r="C592" s="336"/>
      <c r="D592" s="336"/>
      <c r="E592" s="336"/>
      <c r="F592" s="336"/>
      <c r="G592" s="336"/>
      <c r="H592" s="336"/>
      <c r="I592" s="336"/>
      <c r="J592" s="336"/>
      <c r="K592" s="336"/>
      <c r="L592" s="336"/>
      <c r="M592" s="336"/>
      <c r="N592" s="336"/>
      <c r="O592" s="336"/>
      <c r="P592" s="336"/>
      <c r="Q592" s="336"/>
    </row>
    <row r="593" ht="15.75" customHeight="1">
      <c r="A593" s="336"/>
      <c r="B593" s="336"/>
      <c r="C593" s="336"/>
      <c r="D593" s="336"/>
      <c r="E593" s="336"/>
      <c r="F593" s="336"/>
      <c r="G593" s="336"/>
      <c r="H593" s="336"/>
      <c r="I593" s="336"/>
      <c r="J593" s="336"/>
      <c r="K593" s="336"/>
      <c r="L593" s="336"/>
      <c r="M593" s="336"/>
      <c r="N593" s="336"/>
      <c r="O593" s="336"/>
      <c r="P593" s="336"/>
      <c r="Q593" s="336"/>
    </row>
    <row r="594" ht="15.75" customHeight="1">
      <c r="A594" s="336"/>
      <c r="B594" s="336"/>
      <c r="C594" s="336"/>
      <c r="D594" s="336"/>
      <c r="E594" s="336"/>
      <c r="F594" s="336"/>
      <c r="G594" s="336"/>
      <c r="H594" s="336"/>
      <c r="I594" s="336"/>
      <c r="J594" s="336"/>
      <c r="K594" s="336"/>
      <c r="L594" s="336"/>
      <c r="M594" s="336"/>
      <c r="N594" s="336"/>
      <c r="O594" s="336"/>
      <c r="P594" s="336"/>
      <c r="Q594" s="336"/>
    </row>
    <row r="595" ht="15.75" customHeight="1">
      <c r="A595" s="336"/>
      <c r="B595" s="336"/>
      <c r="C595" s="336"/>
      <c r="D595" s="336"/>
      <c r="E595" s="336"/>
      <c r="F595" s="336"/>
      <c r="G595" s="336"/>
      <c r="H595" s="336"/>
      <c r="I595" s="336"/>
      <c r="J595" s="336"/>
      <c r="K595" s="336"/>
      <c r="L595" s="336"/>
      <c r="M595" s="336"/>
      <c r="N595" s="336"/>
      <c r="O595" s="336"/>
      <c r="P595" s="336"/>
      <c r="Q595" s="336"/>
    </row>
    <row r="596" ht="15.75" customHeight="1">
      <c r="A596" s="336"/>
      <c r="B596" s="336"/>
      <c r="C596" s="336"/>
      <c r="D596" s="336"/>
      <c r="E596" s="336"/>
      <c r="F596" s="336"/>
      <c r="G596" s="336"/>
      <c r="H596" s="336"/>
      <c r="I596" s="336"/>
      <c r="J596" s="336"/>
      <c r="K596" s="336"/>
      <c r="L596" s="336"/>
      <c r="M596" s="336"/>
      <c r="N596" s="336"/>
      <c r="O596" s="336"/>
      <c r="P596" s="336"/>
      <c r="Q596" s="336"/>
    </row>
    <row r="597" ht="15.75" customHeight="1">
      <c r="A597" s="336"/>
      <c r="B597" s="336"/>
      <c r="C597" s="336"/>
      <c r="D597" s="336"/>
      <c r="E597" s="336"/>
      <c r="F597" s="336"/>
      <c r="G597" s="336"/>
      <c r="H597" s="336"/>
      <c r="I597" s="336"/>
      <c r="J597" s="336"/>
      <c r="K597" s="336"/>
      <c r="L597" s="336"/>
      <c r="M597" s="336"/>
      <c r="N597" s="336"/>
      <c r="O597" s="336"/>
      <c r="P597" s="336"/>
      <c r="Q597" s="336"/>
    </row>
    <row r="598" ht="15.75" customHeight="1">
      <c r="A598" s="336"/>
      <c r="B598" s="336"/>
      <c r="C598" s="336"/>
      <c r="D598" s="336"/>
      <c r="E598" s="336"/>
      <c r="F598" s="336"/>
      <c r="G598" s="336"/>
      <c r="H598" s="336"/>
      <c r="I598" s="336"/>
      <c r="J598" s="336"/>
      <c r="K598" s="336"/>
      <c r="L598" s="336"/>
      <c r="M598" s="336"/>
      <c r="N598" s="336"/>
      <c r="O598" s="336"/>
      <c r="P598" s="336"/>
      <c r="Q598" s="336"/>
    </row>
    <row r="599" ht="15.75" customHeight="1">
      <c r="A599" s="336"/>
      <c r="B599" s="336"/>
      <c r="C599" s="336"/>
      <c r="D599" s="336"/>
      <c r="E599" s="336"/>
      <c r="F599" s="336"/>
      <c r="G599" s="336"/>
      <c r="H599" s="336"/>
      <c r="I599" s="336"/>
      <c r="J599" s="336"/>
      <c r="K599" s="336"/>
      <c r="L599" s="336"/>
      <c r="M599" s="336"/>
      <c r="N599" s="336"/>
      <c r="O599" s="336"/>
      <c r="P599" s="336"/>
      <c r="Q599" s="336"/>
    </row>
    <row r="600" ht="15.75" customHeight="1">
      <c r="A600" s="336"/>
      <c r="B600" s="336"/>
      <c r="C600" s="336"/>
      <c r="D600" s="336"/>
      <c r="E600" s="336"/>
      <c r="F600" s="336"/>
      <c r="G600" s="336"/>
      <c r="H600" s="336"/>
      <c r="I600" s="336"/>
      <c r="J600" s="336"/>
      <c r="K600" s="336"/>
      <c r="L600" s="336"/>
      <c r="M600" s="336"/>
      <c r="N600" s="336"/>
      <c r="O600" s="336"/>
      <c r="P600" s="336"/>
      <c r="Q600" s="336"/>
    </row>
    <row r="601" ht="15.75" customHeight="1">
      <c r="A601" s="336"/>
      <c r="B601" s="336"/>
      <c r="C601" s="336"/>
      <c r="D601" s="336"/>
      <c r="E601" s="336"/>
      <c r="F601" s="336"/>
      <c r="G601" s="336"/>
      <c r="H601" s="336"/>
      <c r="I601" s="336"/>
      <c r="J601" s="336"/>
      <c r="K601" s="336"/>
      <c r="L601" s="336"/>
      <c r="M601" s="336"/>
      <c r="N601" s="336"/>
      <c r="O601" s="336"/>
      <c r="P601" s="336"/>
      <c r="Q601" s="336"/>
    </row>
    <row r="602" ht="15.75" customHeight="1">
      <c r="A602" s="336"/>
      <c r="B602" s="336"/>
      <c r="C602" s="336"/>
      <c r="D602" s="336"/>
      <c r="E602" s="336"/>
      <c r="F602" s="336"/>
      <c r="G602" s="336"/>
      <c r="H602" s="336"/>
      <c r="I602" s="336"/>
      <c r="J602" s="336"/>
      <c r="K602" s="336"/>
      <c r="L602" s="336"/>
      <c r="M602" s="336"/>
      <c r="N602" s="336"/>
      <c r="O602" s="336"/>
      <c r="P602" s="336"/>
      <c r="Q602" s="336"/>
    </row>
    <row r="603" ht="15.75" customHeight="1">
      <c r="A603" s="336"/>
      <c r="B603" s="336"/>
      <c r="C603" s="336"/>
      <c r="D603" s="336"/>
      <c r="E603" s="336"/>
      <c r="F603" s="336"/>
      <c r="G603" s="336"/>
      <c r="H603" s="336"/>
      <c r="I603" s="336"/>
      <c r="J603" s="336"/>
      <c r="K603" s="336"/>
      <c r="L603" s="336"/>
      <c r="M603" s="336"/>
      <c r="N603" s="336"/>
      <c r="O603" s="336"/>
      <c r="P603" s="336"/>
      <c r="Q603" s="336"/>
    </row>
    <row r="604" ht="15.75" customHeight="1">
      <c r="A604" s="336"/>
      <c r="B604" s="336"/>
      <c r="C604" s="336"/>
      <c r="D604" s="336"/>
      <c r="E604" s="336"/>
      <c r="F604" s="336"/>
      <c r="G604" s="336"/>
      <c r="H604" s="336"/>
      <c r="I604" s="336"/>
      <c r="J604" s="336"/>
      <c r="K604" s="336"/>
      <c r="L604" s="336"/>
      <c r="M604" s="336"/>
      <c r="N604" s="336"/>
      <c r="O604" s="336"/>
      <c r="P604" s="336"/>
      <c r="Q604" s="336"/>
    </row>
    <row r="605" ht="15.75" customHeight="1">
      <c r="A605" s="336"/>
      <c r="B605" s="336"/>
      <c r="C605" s="336"/>
      <c r="D605" s="336"/>
      <c r="E605" s="336"/>
      <c r="F605" s="336"/>
      <c r="G605" s="336"/>
      <c r="H605" s="336"/>
      <c r="I605" s="336"/>
      <c r="J605" s="336"/>
      <c r="K605" s="336"/>
      <c r="L605" s="336"/>
      <c r="M605" s="336"/>
      <c r="N605" s="336"/>
      <c r="O605" s="336"/>
      <c r="P605" s="336"/>
      <c r="Q605" s="336"/>
    </row>
    <row r="606" ht="15.75" customHeight="1">
      <c r="A606" s="336"/>
      <c r="B606" s="336"/>
      <c r="C606" s="336"/>
      <c r="D606" s="336"/>
      <c r="E606" s="336"/>
      <c r="F606" s="336"/>
      <c r="G606" s="336"/>
      <c r="H606" s="336"/>
      <c r="I606" s="336"/>
      <c r="J606" s="336"/>
      <c r="K606" s="336"/>
      <c r="L606" s="336"/>
      <c r="M606" s="336"/>
      <c r="N606" s="336"/>
      <c r="O606" s="336"/>
      <c r="P606" s="336"/>
      <c r="Q606" s="336"/>
    </row>
    <row r="607" ht="15.75" customHeight="1">
      <c r="A607" s="336"/>
      <c r="B607" s="336"/>
      <c r="C607" s="336"/>
      <c r="D607" s="336"/>
      <c r="E607" s="336"/>
      <c r="F607" s="336"/>
      <c r="G607" s="336"/>
      <c r="H607" s="336"/>
      <c r="I607" s="336"/>
      <c r="J607" s="336"/>
      <c r="K607" s="336"/>
      <c r="L607" s="336"/>
      <c r="M607" s="336"/>
      <c r="N607" s="336"/>
      <c r="O607" s="336"/>
      <c r="P607" s="336"/>
      <c r="Q607" s="336"/>
    </row>
    <row r="608" ht="15.75" customHeight="1">
      <c r="A608" s="336"/>
      <c r="B608" s="336"/>
      <c r="C608" s="336"/>
      <c r="D608" s="336"/>
      <c r="E608" s="336"/>
      <c r="F608" s="336"/>
      <c r="G608" s="336"/>
      <c r="H608" s="336"/>
      <c r="I608" s="336"/>
      <c r="J608" s="336"/>
      <c r="K608" s="336"/>
      <c r="L608" s="336"/>
      <c r="M608" s="336"/>
      <c r="N608" s="336"/>
      <c r="O608" s="336"/>
      <c r="P608" s="336"/>
      <c r="Q608" s="336"/>
    </row>
    <row r="609" ht="15.75" customHeight="1">
      <c r="A609" s="336"/>
      <c r="B609" s="336"/>
      <c r="C609" s="336"/>
      <c r="D609" s="336"/>
      <c r="E609" s="336"/>
      <c r="F609" s="336"/>
      <c r="G609" s="336"/>
      <c r="H609" s="336"/>
      <c r="I609" s="336"/>
      <c r="J609" s="336"/>
      <c r="K609" s="336"/>
      <c r="L609" s="336"/>
      <c r="M609" s="336"/>
      <c r="N609" s="336"/>
      <c r="O609" s="336"/>
      <c r="P609" s="336"/>
      <c r="Q609" s="336"/>
    </row>
    <row r="610" ht="15.75" customHeight="1">
      <c r="A610" s="336"/>
      <c r="B610" s="336"/>
      <c r="C610" s="336"/>
      <c r="D610" s="336"/>
      <c r="E610" s="336"/>
      <c r="F610" s="336"/>
      <c r="G610" s="336"/>
      <c r="H610" s="336"/>
      <c r="I610" s="336"/>
      <c r="J610" s="336"/>
      <c r="K610" s="336"/>
      <c r="L610" s="336"/>
      <c r="M610" s="336"/>
      <c r="N610" s="336"/>
      <c r="O610" s="336"/>
      <c r="P610" s="336"/>
      <c r="Q610" s="336"/>
    </row>
    <row r="611" ht="15.75" customHeight="1">
      <c r="A611" s="336"/>
      <c r="B611" s="336"/>
      <c r="C611" s="336"/>
      <c r="D611" s="336"/>
      <c r="E611" s="336"/>
      <c r="F611" s="336"/>
      <c r="G611" s="336"/>
      <c r="H611" s="336"/>
      <c r="I611" s="336"/>
      <c r="J611" s="336"/>
      <c r="K611" s="336"/>
      <c r="L611" s="336"/>
      <c r="M611" s="336"/>
      <c r="N611" s="336"/>
      <c r="O611" s="336"/>
      <c r="P611" s="336"/>
      <c r="Q611" s="336"/>
    </row>
    <row r="612" ht="15.75" customHeight="1">
      <c r="A612" s="336"/>
      <c r="B612" s="336"/>
      <c r="C612" s="336"/>
      <c r="D612" s="336"/>
      <c r="E612" s="336"/>
      <c r="F612" s="336"/>
      <c r="G612" s="336"/>
      <c r="H612" s="336"/>
      <c r="I612" s="336"/>
      <c r="J612" s="336"/>
      <c r="K612" s="336"/>
      <c r="L612" s="336"/>
      <c r="M612" s="336"/>
      <c r="N612" s="336"/>
      <c r="O612" s="336"/>
      <c r="P612" s="336"/>
      <c r="Q612" s="336"/>
    </row>
    <row r="613" ht="15.75" customHeight="1">
      <c r="A613" s="336"/>
      <c r="B613" s="336"/>
      <c r="C613" s="336"/>
      <c r="D613" s="336"/>
      <c r="E613" s="336"/>
      <c r="F613" s="336"/>
      <c r="G613" s="336"/>
      <c r="H613" s="336"/>
      <c r="I613" s="336"/>
      <c r="J613" s="336"/>
      <c r="K613" s="336"/>
      <c r="L613" s="336"/>
      <c r="M613" s="336"/>
      <c r="N613" s="336"/>
      <c r="O613" s="336"/>
      <c r="P613" s="336"/>
      <c r="Q613" s="336"/>
    </row>
    <row r="614" ht="15.75" customHeight="1">
      <c r="A614" s="336"/>
      <c r="B614" s="336"/>
      <c r="C614" s="336"/>
      <c r="D614" s="336"/>
      <c r="E614" s="336"/>
      <c r="F614" s="336"/>
      <c r="G614" s="336"/>
      <c r="H614" s="336"/>
      <c r="I614" s="336"/>
      <c r="J614" s="336"/>
      <c r="K614" s="336"/>
      <c r="L614" s="336"/>
      <c r="M614" s="336"/>
      <c r="N614" s="336"/>
      <c r="O614" s="336"/>
      <c r="P614" s="336"/>
      <c r="Q614" s="336"/>
    </row>
    <row r="615" ht="15.75" customHeight="1">
      <c r="A615" s="336"/>
      <c r="B615" s="336"/>
      <c r="C615" s="336"/>
      <c r="D615" s="336"/>
      <c r="E615" s="336"/>
      <c r="F615" s="336"/>
      <c r="G615" s="336"/>
      <c r="H615" s="336"/>
      <c r="I615" s="336"/>
      <c r="J615" s="336"/>
      <c r="K615" s="336"/>
      <c r="L615" s="336"/>
      <c r="M615" s="336"/>
      <c r="N615" s="336"/>
      <c r="O615" s="336"/>
      <c r="P615" s="336"/>
      <c r="Q615" s="336"/>
    </row>
    <row r="616" ht="15.75" customHeight="1">
      <c r="A616" s="336"/>
      <c r="B616" s="336"/>
      <c r="C616" s="336"/>
      <c r="D616" s="336"/>
      <c r="E616" s="336"/>
      <c r="F616" s="336"/>
      <c r="G616" s="336"/>
      <c r="H616" s="336"/>
      <c r="I616" s="336"/>
      <c r="J616" s="336"/>
      <c r="K616" s="336"/>
      <c r="L616" s="336"/>
      <c r="M616" s="336"/>
      <c r="N616" s="336"/>
      <c r="O616" s="336"/>
      <c r="P616" s="336"/>
      <c r="Q616" s="336"/>
    </row>
    <row r="617" ht="15.75" customHeight="1">
      <c r="A617" s="336"/>
      <c r="B617" s="336"/>
      <c r="C617" s="336"/>
      <c r="D617" s="336"/>
      <c r="E617" s="336"/>
      <c r="F617" s="336"/>
      <c r="G617" s="336"/>
      <c r="H617" s="336"/>
      <c r="I617" s="336"/>
      <c r="J617" s="336"/>
      <c r="K617" s="336"/>
      <c r="L617" s="336"/>
      <c r="M617" s="336"/>
      <c r="N617" s="336"/>
      <c r="O617" s="336"/>
      <c r="P617" s="336"/>
      <c r="Q617" s="336"/>
    </row>
    <row r="618" ht="15.75" customHeight="1">
      <c r="A618" s="336"/>
      <c r="B618" s="336"/>
      <c r="C618" s="336"/>
      <c r="D618" s="336"/>
      <c r="E618" s="336"/>
      <c r="F618" s="336"/>
      <c r="G618" s="336"/>
      <c r="H618" s="336"/>
      <c r="I618" s="336"/>
      <c r="J618" s="336"/>
      <c r="K618" s="336"/>
      <c r="L618" s="336"/>
      <c r="M618" s="336"/>
      <c r="N618" s="336"/>
      <c r="O618" s="336"/>
      <c r="P618" s="336"/>
      <c r="Q618" s="336"/>
    </row>
    <row r="619" ht="15.75" customHeight="1">
      <c r="A619" s="336"/>
      <c r="B619" s="336"/>
      <c r="C619" s="336"/>
      <c r="D619" s="336"/>
      <c r="E619" s="336"/>
      <c r="F619" s="336"/>
      <c r="G619" s="336"/>
      <c r="H619" s="336"/>
      <c r="I619" s="336"/>
      <c r="J619" s="336"/>
      <c r="K619" s="336"/>
      <c r="L619" s="336"/>
      <c r="M619" s="336"/>
      <c r="N619" s="336"/>
      <c r="O619" s="336"/>
      <c r="P619" s="336"/>
      <c r="Q619" s="336"/>
    </row>
    <row r="620" ht="15.75" customHeight="1">
      <c r="A620" s="336"/>
      <c r="B620" s="336"/>
      <c r="C620" s="336"/>
      <c r="D620" s="336"/>
      <c r="E620" s="336"/>
      <c r="F620" s="336"/>
      <c r="G620" s="336"/>
      <c r="H620" s="336"/>
      <c r="I620" s="336"/>
      <c r="J620" s="336"/>
      <c r="K620" s="336"/>
      <c r="L620" s="336"/>
      <c r="M620" s="336"/>
      <c r="N620" s="336"/>
      <c r="O620" s="336"/>
      <c r="P620" s="336"/>
      <c r="Q620" s="336"/>
    </row>
    <row r="621" ht="15.75" customHeight="1">
      <c r="A621" s="336"/>
      <c r="B621" s="336"/>
      <c r="C621" s="336"/>
      <c r="D621" s="336"/>
      <c r="E621" s="336"/>
      <c r="F621" s="336"/>
      <c r="G621" s="336"/>
      <c r="H621" s="336"/>
      <c r="I621" s="336"/>
      <c r="J621" s="336"/>
      <c r="K621" s="336"/>
      <c r="L621" s="336"/>
      <c r="M621" s="336"/>
      <c r="N621" s="336"/>
      <c r="O621" s="336"/>
      <c r="P621" s="336"/>
      <c r="Q621" s="336"/>
    </row>
    <row r="622" ht="15.75" customHeight="1">
      <c r="A622" s="336"/>
      <c r="B622" s="336"/>
      <c r="C622" s="336"/>
      <c r="D622" s="336"/>
      <c r="E622" s="336"/>
      <c r="F622" s="336"/>
      <c r="G622" s="336"/>
      <c r="H622" s="336"/>
      <c r="I622" s="336"/>
      <c r="J622" s="336"/>
      <c r="K622" s="336"/>
      <c r="L622" s="336"/>
      <c r="M622" s="336"/>
      <c r="N622" s="336"/>
      <c r="O622" s="336"/>
      <c r="P622" s="336"/>
      <c r="Q622" s="336"/>
    </row>
    <row r="623" ht="15.75" customHeight="1">
      <c r="A623" s="336"/>
      <c r="B623" s="336"/>
      <c r="C623" s="336"/>
      <c r="D623" s="336"/>
      <c r="E623" s="336"/>
      <c r="F623" s="336"/>
      <c r="G623" s="336"/>
      <c r="H623" s="336"/>
      <c r="I623" s="336"/>
      <c r="J623" s="336"/>
      <c r="K623" s="336"/>
      <c r="L623" s="336"/>
      <c r="M623" s="336"/>
      <c r="N623" s="336"/>
      <c r="O623" s="336"/>
      <c r="P623" s="336"/>
      <c r="Q623" s="336"/>
    </row>
    <row r="624" ht="15.75" customHeight="1">
      <c r="A624" s="336"/>
      <c r="B624" s="336"/>
      <c r="C624" s="336"/>
      <c r="D624" s="336"/>
      <c r="E624" s="336"/>
      <c r="F624" s="336"/>
      <c r="G624" s="336"/>
      <c r="H624" s="336"/>
      <c r="I624" s="336"/>
      <c r="J624" s="336"/>
      <c r="K624" s="336"/>
      <c r="L624" s="336"/>
      <c r="M624" s="336"/>
      <c r="N624" s="336"/>
      <c r="O624" s="336"/>
      <c r="P624" s="336"/>
      <c r="Q624" s="336"/>
    </row>
    <row r="625" ht="15.75" customHeight="1">
      <c r="A625" s="336"/>
      <c r="B625" s="336"/>
      <c r="C625" s="336"/>
      <c r="D625" s="336"/>
      <c r="E625" s="336"/>
      <c r="F625" s="336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  <c r="Q625" s="336"/>
    </row>
    <row r="626" ht="15.75" customHeight="1">
      <c r="A626" s="336"/>
      <c r="B626" s="336"/>
      <c r="C626" s="336"/>
      <c r="D626" s="336"/>
      <c r="E626" s="336"/>
      <c r="F626" s="336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  <c r="Q626" s="336"/>
    </row>
    <row r="627" ht="15.75" customHeight="1">
      <c r="A627" s="336"/>
      <c r="B627" s="336"/>
      <c r="C627" s="336"/>
      <c r="D627" s="336"/>
      <c r="E627" s="336"/>
      <c r="F627" s="336"/>
      <c r="G627" s="336"/>
      <c r="H627" s="336"/>
      <c r="I627" s="336"/>
      <c r="J627" s="336"/>
      <c r="K627" s="336"/>
      <c r="L627" s="336"/>
      <c r="M627" s="336"/>
      <c r="N627" s="336"/>
      <c r="O627" s="336"/>
      <c r="P627" s="336"/>
      <c r="Q627" s="336"/>
    </row>
    <row r="628" ht="15.75" customHeight="1">
      <c r="A628" s="336"/>
      <c r="B628" s="336"/>
      <c r="C628" s="336"/>
      <c r="D628" s="336"/>
      <c r="E628" s="336"/>
      <c r="F628" s="336"/>
      <c r="G628" s="336"/>
      <c r="H628" s="336"/>
      <c r="I628" s="336"/>
      <c r="J628" s="336"/>
      <c r="K628" s="336"/>
      <c r="L628" s="336"/>
      <c r="M628" s="336"/>
      <c r="N628" s="336"/>
      <c r="O628" s="336"/>
      <c r="P628" s="336"/>
      <c r="Q628" s="336"/>
    </row>
    <row r="629" ht="15.75" customHeight="1">
      <c r="A629" s="336"/>
      <c r="B629" s="336"/>
      <c r="C629" s="336"/>
      <c r="D629" s="336"/>
      <c r="E629" s="336"/>
      <c r="F629" s="336"/>
      <c r="G629" s="336"/>
      <c r="H629" s="336"/>
      <c r="I629" s="336"/>
      <c r="J629" s="336"/>
      <c r="K629" s="336"/>
      <c r="L629" s="336"/>
      <c r="M629" s="336"/>
      <c r="N629" s="336"/>
      <c r="O629" s="336"/>
      <c r="P629" s="336"/>
      <c r="Q629" s="336"/>
    </row>
    <row r="630" ht="15.75" customHeight="1">
      <c r="A630" s="336"/>
      <c r="B630" s="336"/>
      <c r="C630" s="336"/>
      <c r="D630" s="336"/>
      <c r="E630" s="336"/>
      <c r="F630" s="336"/>
      <c r="G630" s="336"/>
      <c r="H630" s="336"/>
      <c r="I630" s="336"/>
      <c r="J630" s="336"/>
      <c r="K630" s="336"/>
      <c r="L630" s="336"/>
      <c r="M630" s="336"/>
      <c r="N630" s="336"/>
      <c r="O630" s="336"/>
      <c r="P630" s="336"/>
      <c r="Q630" s="336"/>
    </row>
    <row r="631" ht="15.75" customHeight="1">
      <c r="A631" s="336"/>
      <c r="B631" s="336"/>
      <c r="C631" s="336"/>
      <c r="D631" s="336"/>
      <c r="E631" s="336"/>
      <c r="F631" s="336"/>
      <c r="G631" s="336"/>
      <c r="H631" s="336"/>
      <c r="I631" s="336"/>
      <c r="J631" s="336"/>
      <c r="K631" s="336"/>
      <c r="L631" s="336"/>
      <c r="M631" s="336"/>
      <c r="N631" s="336"/>
      <c r="O631" s="336"/>
      <c r="P631" s="336"/>
      <c r="Q631" s="336"/>
    </row>
    <row r="632" ht="15.75" customHeight="1">
      <c r="A632" s="336"/>
      <c r="B632" s="336"/>
      <c r="C632" s="336"/>
      <c r="D632" s="336"/>
      <c r="E632" s="336"/>
      <c r="F632" s="336"/>
      <c r="G632" s="336"/>
      <c r="H632" s="336"/>
      <c r="I632" s="336"/>
      <c r="J632" s="336"/>
      <c r="K632" s="336"/>
      <c r="L632" s="336"/>
      <c r="M632" s="336"/>
      <c r="N632" s="336"/>
      <c r="O632" s="336"/>
      <c r="P632" s="336"/>
      <c r="Q632" s="336"/>
    </row>
    <row r="633" ht="15.75" customHeight="1">
      <c r="A633" s="336"/>
      <c r="B633" s="336"/>
      <c r="C633" s="336"/>
      <c r="D633" s="336"/>
      <c r="E633" s="336"/>
      <c r="F633" s="336"/>
      <c r="G633" s="336"/>
      <c r="H633" s="336"/>
      <c r="I633" s="336"/>
      <c r="J633" s="336"/>
      <c r="K633" s="336"/>
      <c r="L633" s="336"/>
      <c r="M633" s="336"/>
      <c r="N633" s="336"/>
      <c r="O633" s="336"/>
      <c r="P633" s="336"/>
      <c r="Q633" s="336"/>
    </row>
    <row r="634" ht="15.75" customHeight="1">
      <c r="A634" s="336"/>
      <c r="B634" s="336"/>
      <c r="C634" s="336"/>
      <c r="D634" s="336"/>
      <c r="E634" s="336"/>
      <c r="F634" s="336"/>
      <c r="G634" s="336"/>
      <c r="H634" s="336"/>
      <c r="I634" s="336"/>
      <c r="J634" s="336"/>
      <c r="K634" s="336"/>
      <c r="L634" s="336"/>
      <c r="M634" s="336"/>
      <c r="N634" s="336"/>
      <c r="O634" s="336"/>
      <c r="P634" s="336"/>
      <c r="Q634" s="336"/>
    </row>
    <row r="635" ht="15.75" customHeight="1">
      <c r="A635" s="336"/>
      <c r="B635" s="336"/>
      <c r="C635" s="336"/>
      <c r="D635" s="336"/>
      <c r="E635" s="336"/>
      <c r="F635" s="336"/>
      <c r="G635" s="336"/>
      <c r="H635" s="336"/>
      <c r="I635" s="336"/>
      <c r="J635" s="336"/>
      <c r="K635" s="336"/>
      <c r="L635" s="336"/>
      <c r="M635" s="336"/>
      <c r="N635" s="336"/>
      <c r="O635" s="336"/>
      <c r="P635" s="336"/>
      <c r="Q635" s="336"/>
    </row>
    <row r="636" ht="15.75" customHeight="1">
      <c r="A636" s="336"/>
      <c r="B636" s="336"/>
      <c r="C636" s="336"/>
      <c r="D636" s="336"/>
      <c r="E636" s="336"/>
      <c r="F636" s="336"/>
      <c r="G636" s="336"/>
      <c r="H636" s="336"/>
      <c r="I636" s="336"/>
      <c r="J636" s="336"/>
      <c r="K636" s="336"/>
      <c r="L636" s="336"/>
      <c r="M636" s="336"/>
      <c r="N636" s="336"/>
      <c r="O636" s="336"/>
      <c r="P636" s="336"/>
      <c r="Q636" s="336"/>
    </row>
    <row r="637" ht="15.75" customHeight="1">
      <c r="A637" s="336"/>
      <c r="B637" s="336"/>
      <c r="C637" s="336"/>
      <c r="D637" s="336"/>
      <c r="E637" s="336"/>
      <c r="F637" s="336"/>
      <c r="G637" s="336"/>
      <c r="H637" s="336"/>
      <c r="I637" s="336"/>
      <c r="J637" s="336"/>
      <c r="K637" s="336"/>
      <c r="L637" s="336"/>
      <c r="M637" s="336"/>
      <c r="N637" s="336"/>
      <c r="O637" s="336"/>
      <c r="P637" s="336"/>
      <c r="Q637" s="336"/>
    </row>
    <row r="638" ht="15.75" customHeight="1">
      <c r="A638" s="336"/>
      <c r="B638" s="336"/>
      <c r="C638" s="336"/>
      <c r="D638" s="336"/>
      <c r="E638" s="336"/>
      <c r="F638" s="336"/>
      <c r="G638" s="336"/>
      <c r="H638" s="336"/>
      <c r="I638" s="336"/>
      <c r="J638" s="336"/>
      <c r="K638" s="336"/>
      <c r="L638" s="336"/>
      <c r="M638" s="336"/>
      <c r="N638" s="336"/>
      <c r="O638" s="336"/>
      <c r="P638" s="336"/>
      <c r="Q638" s="336"/>
    </row>
    <row r="639" ht="15.75" customHeight="1">
      <c r="A639" s="336"/>
      <c r="B639" s="336"/>
      <c r="C639" s="336"/>
      <c r="D639" s="336"/>
      <c r="E639" s="336"/>
      <c r="F639" s="336"/>
      <c r="G639" s="336"/>
      <c r="H639" s="336"/>
      <c r="I639" s="336"/>
      <c r="J639" s="336"/>
      <c r="K639" s="336"/>
      <c r="L639" s="336"/>
      <c r="M639" s="336"/>
      <c r="N639" s="336"/>
      <c r="O639" s="336"/>
      <c r="P639" s="336"/>
      <c r="Q639" s="336"/>
    </row>
    <row r="640" ht="15.75" customHeight="1">
      <c r="A640" s="336"/>
      <c r="B640" s="336"/>
      <c r="C640" s="336"/>
      <c r="D640" s="336"/>
      <c r="E640" s="336"/>
      <c r="F640" s="336"/>
      <c r="G640" s="336"/>
      <c r="H640" s="336"/>
      <c r="I640" s="336"/>
      <c r="J640" s="336"/>
      <c r="K640" s="336"/>
      <c r="L640" s="336"/>
      <c r="M640" s="336"/>
      <c r="N640" s="336"/>
      <c r="O640" s="336"/>
      <c r="P640" s="336"/>
      <c r="Q640" s="336"/>
    </row>
    <row r="641" ht="15.75" customHeight="1">
      <c r="A641" s="336"/>
      <c r="B641" s="336"/>
      <c r="C641" s="336"/>
      <c r="D641" s="336"/>
      <c r="E641" s="336"/>
      <c r="F641" s="336"/>
      <c r="G641" s="336"/>
      <c r="H641" s="336"/>
      <c r="I641" s="336"/>
      <c r="J641" s="336"/>
      <c r="K641" s="336"/>
      <c r="L641" s="336"/>
      <c r="M641" s="336"/>
      <c r="N641" s="336"/>
      <c r="O641" s="336"/>
      <c r="P641" s="336"/>
      <c r="Q641" s="336"/>
    </row>
    <row r="642" ht="15.75" customHeight="1">
      <c r="A642" s="336"/>
      <c r="B642" s="336"/>
      <c r="C642" s="336"/>
      <c r="D642" s="336"/>
      <c r="E642" s="336"/>
      <c r="F642" s="336"/>
      <c r="G642" s="336"/>
      <c r="H642" s="336"/>
      <c r="I642" s="336"/>
      <c r="J642" s="336"/>
      <c r="K642" s="336"/>
      <c r="L642" s="336"/>
      <c r="M642" s="336"/>
      <c r="N642" s="336"/>
      <c r="O642" s="336"/>
      <c r="P642" s="336"/>
      <c r="Q642" s="336"/>
    </row>
    <row r="643" ht="15.75" customHeight="1">
      <c r="A643" s="336"/>
      <c r="B643" s="336"/>
      <c r="C643" s="336"/>
      <c r="D643" s="336"/>
      <c r="E643" s="336"/>
      <c r="F643" s="336"/>
      <c r="G643" s="336"/>
      <c r="H643" s="336"/>
      <c r="I643" s="336"/>
      <c r="J643" s="336"/>
      <c r="K643" s="336"/>
      <c r="L643" s="336"/>
      <c r="M643" s="336"/>
      <c r="N643" s="336"/>
      <c r="O643" s="336"/>
      <c r="P643" s="336"/>
      <c r="Q643" s="336"/>
    </row>
    <row r="644" ht="15.75" customHeight="1">
      <c r="A644" s="336"/>
      <c r="B644" s="336"/>
      <c r="C644" s="336"/>
      <c r="D644" s="336"/>
      <c r="E644" s="336"/>
      <c r="F644" s="336"/>
      <c r="G644" s="336"/>
      <c r="H644" s="336"/>
      <c r="I644" s="336"/>
      <c r="J644" s="336"/>
      <c r="K644" s="336"/>
      <c r="L644" s="336"/>
      <c r="M644" s="336"/>
      <c r="N644" s="336"/>
      <c r="O644" s="336"/>
      <c r="P644" s="336"/>
      <c r="Q644" s="336"/>
    </row>
    <row r="645" ht="15.75" customHeight="1">
      <c r="A645" s="336"/>
      <c r="B645" s="336"/>
      <c r="C645" s="336"/>
      <c r="D645" s="336"/>
      <c r="E645" s="336"/>
      <c r="F645" s="336"/>
      <c r="G645" s="336"/>
      <c r="H645" s="336"/>
      <c r="I645" s="336"/>
      <c r="J645" s="336"/>
      <c r="K645" s="336"/>
      <c r="L645" s="336"/>
      <c r="M645" s="336"/>
      <c r="N645" s="336"/>
      <c r="O645" s="336"/>
      <c r="P645" s="336"/>
      <c r="Q645" s="336"/>
    </row>
    <row r="646" ht="15.75" customHeight="1">
      <c r="A646" s="336"/>
      <c r="B646" s="336"/>
      <c r="C646" s="336"/>
      <c r="D646" s="336"/>
      <c r="E646" s="336"/>
      <c r="F646" s="336"/>
      <c r="G646" s="336"/>
      <c r="H646" s="336"/>
      <c r="I646" s="336"/>
      <c r="J646" s="336"/>
      <c r="K646" s="336"/>
      <c r="L646" s="336"/>
      <c r="M646" s="336"/>
      <c r="N646" s="336"/>
      <c r="O646" s="336"/>
      <c r="P646" s="336"/>
      <c r="Q646" s="336"/>
    </row>
    <row r="647" ht="15.75" customHeight="1">
      <c r="A647" s="336"/>
      <c r="B647" s="336"/>
      <c r="C647" s="336"/>
      <c r="D647" s="336"/>
      <c r="E647" s="336"/>
      <c r="F647" s="336"/>
      <c r="G647" s="336"/>
      <c r="H647" s="336"/>
      <c r="I647" s="336"/>
      <c r="J647" s="336"/>
      <c r="K647" s="336"/>
      <c r="L647" s="336"/>
      <c r="M647" s="336"/>
      <c r="N647" s="336"/>
      <c r="O647" s="336"/>
      <c r="P647" s="336"/>
      <c r="Q647" s="336"/>
    </row>
    <row r="648" ht="15.75" customHeight="1">
      <c r="A648" s="336"/>
      <c r="B648" s="336"/>
      <c r="C648" s="336"/>
      <c r="D648" s="336"/>
      <c r="E648" s="336"/>
      <c r="F648" s="336"/>
      <c r="G648" s="336"/>
      <c r="H648" s="336"/>
      <c r="I648" s="336"/>
      <c r="J648" s="336"/>
      <c r="K648" s="336"/>
      <c r="L648" s="336"/>
      <c r="M648" s="336"/>
      <c r="N648" s="336"/>
      <c r="O648" s="336"/>
      <c r="P648" s="336"/>
      <c r="Q648" s="336"/>
    </row>
    <row r="649" ht="15.75" customHeight="1">
      <c r="A649" s="336"/>
      <c r="B649" s="336"/>
      <c r="C649" s="336"/>
      <c r="D649" s="336"/>
      <c r="E649" s="336"/>
      <c r="F649" s="336"/>
      <c r="G649" s="336"/>
      <c r="H649" s="336"/>
      <c r="I649" s="336"/>
      <c r="J649" s="336"/>
      <c r="K649" s="336"/>
      <c r="L649" s="336"/>
      <c r="M649" s="336"/>
      <c r="N649" s="336"/>
      <c r="O649" s="336"/>
      <c r="P649" s="336"/>
      <c r="Q649" s="336"/>
    </row>
    <row r="650" ht="15.75" customHeight="1">
      <c r="A650" s="336"/>
      <c r="B650" s="336"/>
      <c r="C650" s="336"/>
      <c r="D650" s="336"/>
      <c r="E650" s="336"/>
      <c r="F650" s="336"/>
      <c r="G650" s="336"/>
      <c r="H650" s="336"/>
      <c r="I650" s="336"/>
      <c r="J650" s="336"/>
      <c r="K650" s="336"/>
      <c r="L650" s="336"/>
      <c r="M650" s="336"/>
      <c r="N650" s="336"/>
      <c r="O650" s="336"/>
      <c r="P650" s="336"/>
      <c r="Q650" s="336"/>
    </row>
    <row r="651" ht="15.75" customHeight="1">
      <c r="A651" s="336"/>
      <c r="B651" s="336"/>
      <c r="C651" s="336"/>
      <c r="D651" s="336"/>
      <c r="E651" s="336"/>
      <c r="F651" s="336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  <c r="Q651" s="336"/>
    </row>
    <row r="652" ht="15.75" customHeight="1">
      <c r="A652" s="336"/>
      <c r="B652" s="336"/>
      <c r="C652" s="336"/>
      <c r="D652" s="336"/>
      <c r="E652" s="336"/>
      <c r="F652" s="336"/>
      <c r="G652" s="336"/>
      <c r="H652" s="336"/>
      <c r="I652" s="336"/>
      <c r="J652" s="336"/>
      <c r="K652" s="336"/>
      <c r="L652" s="336"/>
      <c r="M652" s="336"/>
      <c r="N652" s="336"/>
      <c r="O652" s="336"/>
      <c r="P652" s="336"/>
      <c r="Q652" s="336"/>
    </row>
    <row r="653" ht="15.75" customHeight="1">
      <c r="A653" s="336"/>
      <c r="B653" s="336"/>
      <c r="C653" s="336"/>
      <c r="D653" s="336"/>
      <c r="E653" s="336"/>
      <c r="F653" s="336"/>
      <c r="G653" s="336"/>
      <c r="H653" s="336"/>
      <c r="I653" s="336"/>
      <c r="J653" s="336"/>
      <c r="K653" s="336"/>
      <c r="L653" s="336"/>
      <c r="M653" s="336"/>
      <c r="N653" s="336"/>
      <c r="O653" s="336"/>
      <c r="P653" s="336"/>
      <c r="Q653" s="336"/>
    </row>
    <row r="654" ht="15.75" customHeight="1">
      <c r="A654" s="336"/>
      <c r="B654" s="336"/>
      <c r="C654" s="336"/>
      <c r="D654" s="336"/>
      <c r="E654" s="336"/>
      <c r="F654" s="336"/>
      <c r="G654" s="336"/>
      <c r="H654" s="336"/>
      <c r="I654" s="336"/>
      <c r="J654" s="336"/>
      <c r="K654" s="336"/>
      <c r="L654" s="336"/>
      <c r="M654" s="336"/>
      <c r="N654" s="336"/>
      <c r="O654" s="336"/>
      <c r="P654" s="336"/>
      <c r="Q654" s="336"/>
    </row>
    <row r="655" ht="15.75" customHeight="1">
      <c r="A655" s="336"/>
      <c r="B655" s="336"/>
      <c r="C655" s="336"/>
      <c r="D655" s="336"/>
      <c r="E655" s="336"/>
      <c r="F655" s="336"/>
      <c r="G655" s="336"/>
      <c r="H655" s="336"/>
      <c r="I655" s="336"/>
      <c r="J655" s="336"/>
      <c r="K655" s="336"/>
      <c r="L655" s="336"/>
      <c r="M655" s="336"/>
      <c r="N655" s="336"/>
      <c r="O655" s="336"/>
      <c r="P655" s="336"/>
      <c r="Q655" s="336"/>
    </row>
    <row r="656" ht="15.75" customHeight="1">
      <c r="A656" s="336"/>
      <c r="B656" s="336"/>
      <c r="C656" s="336"/>
      <c r="D656" s="336"/>
      <c r="E656" s="336"/>
      <c r="F656" s="336"/>
      <c r="G656" s="336"/>
      <c r="H656" s="336"/>
      <c r="I656" s="336"/>
      <c r="J656" s="336"/>
      <c r="K656" s="336"/>
      <c r="L656" s="336"/>
      <c r="M656" s="336"/>
      <c r="N656" s="336"/>
      <c r="O656" s="336"/>
      <c r="P656" s="336"/>
      <c r="Q656" s="336"/>
    </row>
    <row r="657" ht="15.75" customHeight="1">
      <c r="A657" s="336"/>
      <c r="B657" s="336"/>
      <c r="C657" s="336"/>
      <c r="D657" s="336"/>
      <c r="E657" s="336"/>
      <c r="F657" s="336"/>
      <c r="G657" s="336"/>
      <c r="H657" s="336"/>
      <c r="I657" s="336"/>
      <c r="J657" s="336"/>
      <c r="K657" s="336"/>
      <c r="L657" s="336"/>
      <c r="M657" s="336"/>
      <c r="N657" s="336"/>
      <c r="O657" s="336"/>
      <c r="P657" s="336"/>
      <c r="Q657" s="336"/>
    </row>
    <row r="658" ht="15.75" customHeight="1">
      <c r="A658" s="336"/>
      <c r="B658" s="336"/>
      <c r="C658" s="336"/>
      <c r="D658" s="336"/>
      <c r="E658" s="336"/>
      <c r="F658" s="336"/>
      <c r="G658" s="336"/>
      <c r="H658" s="336"/>
      <c r="I658" s="336"/>
      <c r="J658" s="336"/>
      <c r="K658" s="336"/>
      <c r="L658" s="336"/>
      <c r="M658" s="336"/>
      <c r="N658" s="336"/>
      <c r="O658" s="336"/>
      <c r="P658" s="336"/>
      <c r="Q658" s="336"/>
    </row>
    <row r="659" ht="15.75" customHeight="1">
      <c r="A659" s="336"/>
      <c r="B659" s="336"/>
      <c r="C659" s="336"/>
      <c r="D659" s="336"/>
      <c r="E659" s="336"/>
      <c r="F659" s="336"/>
      <c r="G659" s="336"/>
      <c r="H659" s="336"/>
      <c r="I659" s="336"/>
      <c r="J659" s="336"/>
      <c r="K659" s="336"/>
      <c r="L659" s="336"/>
      <c r="M659" s="336"/>
      <c r="N659" s="336"/>
      <c r="O659" s="336"/>
      <c r="P659" s="336"/>
      <c r="Q659" s="336"/>
    </row>
    <row r="660" ht="15.75" customHeight="1">
      <c r="A660" s="336"/>
      <c r="B660" s="336"/>
      <c r="C660" s="336"/>
      <c r="D660" s="336"/>
      <c r="E660" s="336"/>
      <c r="F660" s="336"/>
      <c r="G660" s="336"/>
      <c r="H660" s="336"/>
      <c r="I660" s="336"/>
      <c r="J660" s="336"/>
      <c r="K660" s="336"/>
      <c r="L660" s="336"/>
      <c r="M660" s="336"/>
      <c r="N660" s="336"/>
      <c r="O660" s="336"/>
      <c r="P660" s="336"/>
      <c r="Q660" s="336"/>
    </row>
    <row r="661" ht="15.75" customHeight="1">
      <c r="A661" s="336"/>
      <c r="B661" s="336"/>
      <c r="C661" s="336"/>
      <c r="D661" s="336"/>
      <c r="E661" s="336"/>
      <c r="F661" s="336"/>
      <c r="G661" s="336"/>
      <c r="H661" s="336"/>
      <c r="I661" s="336"/>
      <c r="J661" s="336"/>
      <c r="K661" s="336"/>
      <c r="L661" s="336"/>
      <c r="M661" s="336"/>
      <c r="N661" s="336"/>
      <c r="O661" s="336"/>
      <c r="P661" s="336"/>
      <c r="Q661" s="336"/>
    </row>
    <row r="662" ht="15.75" customHeight="1">
      <c r="A662" s="336"/>
      <c r="B662" s="336"/>
      <c r="C662" s="336"/>
      <c r="D662" s="336"/>
      <c r="E662" s="336"/>
      <c r="F662" s="336"/>
      <c r="G662" s="336"/>
      <c r="H662" s="336"/>
      <c r="I662" s="336"/>
      <c r="J662" s="336"/>
      <c r="K662" s="336"/>
      <c r="L662" s="336"/>
      <c r="M662" s="336"/>
      <c r="N662" s="336"/>
      <c r="O662" s="336"/>
      <c r="P662" s="336"/>
      <c r="Q662" s="336"/>
    </row>
    <row r="663" ht="15.75" customHeight="1">
      <c r="A663" s="336"/>
      <c r="B663" s="336"/>
      <c r="C663" s="336"/>
      <c r="D663" s="336"/>
      <c r="E663" s="336"/>
      <c r="F663" s="336"/>
      <c r="G663" s="336"/>
      <c r="H663" s="336"/>
      <c r="I663" s="336"/>
      <c r="J663" s="336"/>
      <c r="K663" s="336"/>
      <c r="L663" s="336"/>
      <c r="M663" s="336"/>
      <c r="N663" s="336"/>
      <c r="O663" s="336"/>
      <c r="P663" s="336"/>
      <c r="Q663" s="336"/>
    </row>
    <row r="664" ht="15.75" customHeight="1">
      <c r="A664" s="336"/>
      <c r="B664" s="336"/>
      <c r="C664" s="336"/>
      <c r="D664" s="336"/>
      <c r="E664" s="336"/>
      <c r="F664" s="336"/>
      <c r="G664" s="336"/>
      <c r="H664" s="336"/>
      <c r="I664" s="336"/>
      <c r="J664" s="336"/>
      <c r="K664" s="336"/>
      <c r="L664" s="336"/>
      <c r="M664" s="336"/>
      <c r="N664" s="336"/>
      <c r="O664" s="336"/>
      <c r="P664" s="336"/>
      <c r="Q664" s="336"/>
    </row>
    <row r="665" ht="15.75" customHeight="1">
      <c r="A665" s="336"/>
      <c r="B665" s="336"/>
      <c r="C665" s="336"/>
      <c r="D665" s="336"/>
      <c r="E665" s="336"/>
      <c r="F665" s="336"/>
      <c r="G665" s="336"/>
      <c r="H665" s="336"/>
      <c r="I665" s="336"/>
      <c r="J665" s="336"/>
      <c r="K665" s="336"/>
      <c r="L665" s="336"/>
      <c r="M665" s="336"/>
      <c r="N665" s="336"/>
      <c r="O665" s="336"/>
      <c r="P665" s="336"/>
      <c r="Q665" s="336"/>
    </row>
    <row r="666" ht="15.75" customHeight="1">
      <c r="A666" s="336"/>
      <c r="B666" s="336"/>
      <c r="C666" s="336"/>
      <c r="D666" s="336"/>
      <c r="E666" s="336"/>
      <c r="F666" s="336"/>
      <c r="G666" s="336"/>
      <c r="H666" s="336"/>
      <c r="I666" s="336"/>
      <c r="J666" s="336"/>
      <c r="K666" s="336"/>
      <c r="L666" s="336"/>
      <c r="M666" s="336"/>
      <c r="N666" s="336"/>
      <c r="O666" s="336"/>
      <c r="P666" s="336"/>
      <c r="Q666" s="336"/>
    </row>
    <row r="667" ht="15.75" customHeight="1">
      <c r="A667" s="336"/>
      <c r="B667" s="336"/>
      <c r="C667" s="336"/>
      <c r="D667" s="336"/>
      <c r="E667" s="336"/>
      <c r="F667" s="336"/>
      <c r="G667" s="336"/>
      <c r="H667" s="336"/>
      <c r="I667" s="336"/>
      <c r="J667" s="336"/>
      <c r="K667" s="336"/>
      <c r="L667" s="336"/>
      <c r="M667" s="336"/>
      <c r="N667" s="336"/>
      <c r="O667" s="336"/>
      <c r="P667" s="336"/>
      <c r="Q667" s="336"/>
    </row>
    <row r="668" ht="15.75" customHeight="1">
      <c r="A668" s="336"/>
      <c r="B668" s="336"/>
      <c r="C668" s="336"/>
      <c r="D668" s="336"/>
      <c r="E668" s="336"/>
      <c r="F668" s="336"/>
      <c r="G668" s="336"/>
      <c r="H668" s="336"/>
      <c r="I668" s="336"/>
      <c r="J668" s="336"/>
      <c r="K668" s="336"/>
      <c r="L668" s="336"/>
      <c r="M668" s="336"/>
      <c r="N668" s="336"/>
      <c r="O668" s="336"/>
      <c r="P668" s="336"/>
      <c r="Q668" s="336"/>
    </row>
    <row r="669" ht="15.75" customHeight="1">
      <c r="A669" s="336"/>
      <c r="B669" s="336"/>
      <c r="C669" s="336"/>
      <c r="D669" s="336"/>
      <c r="E669" s="336"/>
      <c r="F669" s="336"/>
      <c r="G669" s="336"/>
      <c r="H669" s="336"/>
      <c r="I669" s="336"/>
      <c r="J669" s="336"/>
      <c r="K669" s="336"/>
      <c r="L669" s="336"/>
      <c r="M669" s="336"/>
      <c r="N669" s="336"/>
      <c r="O669" s="336"/>
      <c r="P669" s="336"/>
      <c r="Q669" s="336"/>
    </row>
    <row r="670" ht="15.75" customHeight="1">
      <c r="A670" s="336"/>
      <c r="B670" s="336"/>
      <c r="C670" s="336"/>
      <c r="D670" s="336"/>
      <c r="E670" s="336"/>
      <c r="F670" s="336"/>
      <c r="G670" s="336"/>
      <c r="H670" s="336"/>
      <c r="I670" s="336"/>
      <c r="J670" s="336"/>
      <c r="K670" s="336"/>
      <c r="L670" s="336"/>
      <c r="M670" s="336"/>
      <c r="N670" s="336"/>
      <c r="O670" s="336"/>
      <c r="P670" s="336"/>
      <c r="Q670" s="336"/>
    </row>
    <row r="671" ht="15.75" customHeight="1">
      <c r="A671" s="336"/>
      <c r="B671" s="336"/>
      <c r="C671" s="336"/>
      <c r="D671" s="336"/>
      <c r="E671" s="336"/>
      <c r="F671" s="336"/>
      <c r="G671" s="336"/>
      <c r="H671" s="336"/>
      <c r="I671" s="336"/>
      <c r="J671" s="336"/>
      <c r="K671" s="336"/>
      <c r="L671" s="336"/>
      <c r="M671" s="336"/>
      <c r="N671" s="336"/>
      <c r="O671" s="336"/>
      <c r="P671" s="336"/>
      <c r="Q671" s="336"/>
    </row>
    <row r="672" ht="15.75" customHeight="1">
      <c r="A672" s="336"/>
      <c r="B672" s="336"/>
      <c r="C672" s="336"/>
      <c r="D672" s="336"/>
      <c r="E672" s="336"/>
      <c r="F672" s="336"/>
      <c r="G672" s="336"/>
      <c r="H672" s="336"/>
      <c r="I672" s="336"/>
      <c r="J672" s="336"/>
      <c r="K672" s="336"/>
      <c r="L672" s="336"/>
      <c r="M672" s="336"/>
      <c r="N672" s="336"/>
      <c r="O672" s="336"/>
      <c r="P672" s="336"/>
      <c r="Q672" s="336"/>
    </row>
    <row r="673" ht="15.75" customHeight="1">
      <c r="A673" s="336"/>
      <c r="B673" s="336"/>
      <c r="C673" s="336"/>
      <c r="D673" s="336"/>
      <c r="E673" s="336"/>
      <c r="F673" s="336"/>
      <c r="G673" s="336"/>
      <c r="H673" s="336"/>
      <c r="I673" s="336"/>
      <c r="J673" s="336"/>
      <c r="K673" s="336"/>
      <c r="L673" s="336"/>
      <c r="M673" s="336"/>
      <c r="N673" s="336"/>
      <c r="O673" s="336"/>
      <c r="P673" s="336"/>
      <c r="Q673" s="336"/>
    </row>
    <row r="674" ht="15.75" customHeight="1">
      <c r="A674" s="336"/>
      <c r="B674" s="336"/>
      <c r="C674" s="336"/>
      <c r="D674" s="336"/>
      <c r="E674" s="336"/>
      <c r="F674" s="336"/>
      <c r="G674" s="336"/>
      <c r="H674" s="336"/>
      <c r="I674" s="336"/>
      <c r="J674" s="336"/>
      <c r="K674" s="336"/>
      <c r="L674" s="336"/>
      <c r="M674" s="336"/>
      <c r="N674" s="336"/>
      <c r="O674" s="336"/>
      <c r="P674" s="336"/>
      <c r="Q674" s="336"/>
    </row>
    <row r="675" ht="15.75" customHeight="1">
      <c r="A675" s="336"/>
      <c r="B675" s="336"/>
      <c r="C675" s="336"/>
      <c r="D675" s="336"/>
      <c r="E675" s="336"/>
      <c r="F675" s="336"/>
      <c r="G675" s="336"/>
      <c r="H675" s="336"/>
      <c r="I675" s="336"/>
      <c r="J675" s="336"/>
      <c r="K675" s="336"/>
      <c r="L675" s="336"/>
      <c r="M675" s="336"/>
      <c r="N675" s="336"/>
      <c r="O675" s="336"/>
      <c r="P675" s="336"/>
      <c r="Q675" s="336"/>
    </row>
    <row r="676" ht="15.75" customHeight="1">
      <c r="A676" s="336"/>
      <c r="B676" s="336"/>
      <c r="C676" s="336"/>
      <c r="D676" s="336"/>
      <c r="E676" s="336"/>
      <c r="F676" s="336"/>
      <c r="G676" s="336"/>
      <c r="H676" s="336"/>
      <c r="I676" s="336"/>
      <c r="J676" s="336"/>
      <c r="K676" s="336"/>
      <c r="L676" s="336"/>
      <c r="M676" s="336"/>
      <c r="N676" s="336"/>
      <c r="O676" s="336"/>
      <c r="P676" s="336"/>
      <c r="Q676" s="336"/>
    </row>
    <row r="677" ht="15.75" customHeight="1">
      <c r="A677" s="336"/>
      <c r="B677" s="336"/>
      <c r="C677" s="336"/>
      <c r="D677" s="336"/>
      <c r="E677" s="336"/>
      <c r="F677" s="336"/>
      <c r="G677" s="336"/>
      <c r="H677" s="336"/>
      <c r="I677" s="336"/>
      <c r="J677" s="336"/>
      <c r="K677" s="336"/>
      <c r="L677" s="336"/>
      <c r="M677" s="336"/>
      <c r="N677" s="336"/>
      <c r="O677" s="336"/>
      <c r="P677" s="336"/>
      <c r="Q677" s="336"/>
    </row>
    <row r="678" ht="15.75" customHeight="1">
      <c r="A678" s="336"/>
      <c r="B678" s="336"/>
      <c r="C678" s="336"/>
      <c r="D678" s="336"/>
      <c r="E678" s="336"/>
      <c r="F678" s="336"/>
      <c r="G678" s="336"/>
      <c r="H678" s="336"/>
      <c r="I678" s="336"/>
      <c r="J678" s="336"/>
      <c r="K678" s="336"/>
      <c r="L678" s="336"/>
      <c r="M678" s="336"/>
      <c r="N678" s="336"/>
      <c r="O678" s="336"/>
      <c r="P678" s="336"/>
      <c r="Q678" s="336"/>
    </row>
    <row r="679" ht="15.75" customHeight="1">
      <c r="A679" s="336"/>
      <c r="B679" s="336"/>
      <c r="C679" s="336"/>
      <c r="D679" s="336"/>
      <c r="E679" s="336"/>
      <c r="F679" s="336"/>
      <c r="G679" s="336"/>
      <c r="H679" s="336"/>
      <c r="I679" s="336"/>
      <c r="J679" s="336"/>
      <c r="K679" s="336"/>
      <c r="L679" s="336"/>
      <c r="M679" s="336"/>
      <c r="N679" s="336"/>
      <c r="O679" s="336"/>
      <c r="P679" s="336"/>
      <c r="Q679" s="336"/>
    </row>
    <row r="680" ht="15.75" customHeight="1">
      <c r="A680" s="336"/>
      <c r="B680" s="336"/>
      <c r="C680" s="336"/>
      <c r="D680" s="336"/>
      <c r="E680" s="336"/>
      <c r="F680" s="336"/>
      <c r="G680" s="336"/>
      <c r="H680" s="336"/>
      <c r="I680" s="336"/>
      <c r="J680" s="336"/>
      <c r="K680" s="336"/>
      <c r="L680" s="336"/>
      <c r="M680" s="336"/>
      <c r="N680" s="336"/>
      <c r="O680" s="336"/>
      <c r="P680" s="336"/>
      <c r="Q680" s="336"/>
    </row>
    <row r="681" ht="15.75" customHeight="1">
      <c r="A681" s="336"/>
      <c r="B681" s="336"/>
      <c r="C681" s="336"/>
      <c r="D681" s="336"/>
      <c r="E681" s="336"/>
      <c r="F681" s="336"/>
      <c r="G681" s="336"/>
      <c r="H681" s="336"/>
      <c r="I681" s="336"/>
      <c r="J681" s="336"/>
      <c r="K681" s="336"/>
      <c r="L681" s="336"/>
      <c r="M681" s="336"/>
      <c r="N681" s="336"/>
      <c r="O681" s="336"/>
      <c r="P681" s="336"/>
      <c r="Q681" s="336"/>
    </row>
    <row r="682" ht="15.75" customHeight="1">
      <c r="A682" s="336"/>
      <c r="B682" s="336"/>
      <c r="C682" s="336"/>
      <c r="D682" s="336"/>
      <c r="E682" s="336"/>
      <c r="F682" s="336"/>
      <c r="G682" s="336"/>
      <c r="H682" s="336"/>
      <c r="I682" s="336"/>
      <c r="J682" s="336"/>
      <c r="K682" s="336"/>
      <c r="L682" s="336"/>
      <c r="M682" s="336"/>
      <c r="N682" s="336"/>
      <c r="O682" s="336"/>
      <c r="P682" s="336"/>
      <c r="Q682" s="336"/>
    </row>
    <row r="683" ht="15.75" customHeight="1">
      <c r="A683" s="336"/>
      <c r="B683" s="336"/>
      <c r="C683" s="336"/>
      <c r="D683" s="336"/>
      <c r="E683" s="336"/>
      <c r="F683" s="336"/>
      <c r="G683" s="336"/>
      <c r="H683" s="336"/>
      <c r="I683" s="336"/>
      <c r="J683" s="336"/>
      <c r="K683" s="336"/>
      <c r="L683" s="336"/>
      <c r="M683" s="336"/>
      <c r="N683" s="336"/>
      <c r="O683" s="336"/>
      <c r="P683" s="336"/>
      <c r="Q683" s="336"/>
    </row>
    <row r="684" ht="15.75" customHeight="1">
      <c r="A684" s="336"/>
      <c r="B684" s="336"/>
      <c r="C684" s="336"/>
      <c r="D684" s="336"/>
      <c r="E684" s="336"/>
      <c r="F684" s="336"/>
      <c r="G684" s="336"/>
      <c r="H684" s="336"/>
      <c r="I684" s="336"/>
      <c r="J684" s="336"/>
      <c r="K684" s="336"/>
      <c r="L684" s="336"/>
      <c r="M684" s="336"/>
      <c r="N684" s="336"/>
      <c r="O684" s="336"/>
      <c r="P684" s="336"/>
      <c r="Q684" s="336"/>
    </row>
    <row r="685" ht="15.75" customHeight="1">
      <c r="A685" s="336"/>
      <c r="B685" s="336"/>
      <c r="C685" s="336"/>
      <c r="D685" s="336"/>
      <c r="E685" s="336"/>
      <c r="F685" s="336"/>
      <c r="G685" s="336"/>
      <c r="H685" s="336"/>
      <c r="I685" s="336"/>
      <c r="J685" s="336"/>
      <c r="K685" s="336"/>
      <c r="L685" s="336"/>
      <c r="M685" s="336"/>
      <c r="N685" s="336"/>
      <c r="O685" s="336"/>
      <c r="P685" s="336"/>
      <c r="Q685" s="336"/>
    </row>
    <row r="686" ht="15.75" customHeight="1">
      <c r="A686" s="336"/>
      <c r="B686" s="336"/>
      <c r="C686" s="336"/>
      <c r="D686" s="336"/>
      <c r="E686" s="336"/>
      <c r="F686" s="336"/>
      <c r="G686" s="336"/>
      <c r="H686" s="336"/>
      <c r="I686" s="336"/>
      <c r="J686" s="336"/>
      <c r="K686" s="336"/>
      <c r="L686" s="336"/>
      <c r="M686" s="336"/>
      <c r="N686" s="336"/>
      <c r="O686" s="336"/>
      <c r="P686" s="336"/>
      <c r="Q686" s="336"/>
    </row>
    <row r="687" ht="15.75" customHeight="1">
      <c r="A687" s="336"/>
      <c r="B687" s="336"/>
      <c r="C687" s="336"/>
      <c r="D687" s="336"/>
      <c r="E687" s="336"/>
      <c r="F687" s="336"/>
      <c r="G687" s="336"/>
      <c r="H687" s="336"/>
      <c r="I687" s="336"/>
      <c r="J687" s="336"/>
      <c r="K687" s="336"/>
      <c r="L687" s="336"/>
      <c r="M687" s="336"/>
      <c r="N687" s="336"/>
      <c r="O687" s="336"/>
      <c r="P687" s="336"/>
      <c r="Q687" s="336"/>
    </row>
    <row r="688" ht="15.75" customHeight="1">
      <c r="A688" s="336"/>
      <c r="B688" s="336"/>
      <c r="C688" s="336"/>
      <c r="D688" s="336"/>
      <c r="E688" s="336"/>
      <c r="F688" s="336"/>
      <c r="G688" s="336"/>
      <c r="H688" s="336"/>
      <c r="I688" s="336"/>
      <c r="J688" s="336"/>
      <c r="K688" s="336"/>
      <c r="L688" s="336"/>
      <c r="M688" s="336"/>
      <c r="N688" s="336"/>
      <c r="O688" s="336"/>
      <c r="P688" s="336"/>
      <c r="Q688" s="336"/>
    </row>
    <row r="689" ht="15.75" customHeight="1">
      <c r="A689" s="336"/>
      <c r="B689" s="336"/>
      <c r="C689" s="336"/>
      <c r="D689" s="336"/>
      <c r="E689" s="336"/>
      <c r="F689" s="336"/>
      <c r="G689" s="336"/>
      <c r="H689" s="336"/>
      <c r="I689" s="336"/>
      <c r="J689" s="336"/>
      <c r="K689" s="336"/>
      <c r="L689" s="336"/>
      <c r="M689" s="336"/>
      <c r="N689" s="336"/>
      <c r="O689" s="336"/>
      <c r="P689" s="336"/>
      <c r="Q689" s="336"/>
    </row>
    <row r="690" ht="15.75" customHeight="1">
      <c r="A690" s="336"/>
      <c r="B690" s="336"/>
      <c r="C690" s="336"/>
      <c r="D690" s="336"/>
      <c r="E690" s="336"/>
      <c r="F690" s="336"/>
      <c r="G690" s="336"/>
      <c r="H690" s="336"/>
      <c r="I690" s="336"/>
      <c r="J690" s="336"/>
      <c r="K690" s="336"/>
      <c r="L690" s="336"/>
      <c r="M690" s="336"/>
      <c r="N690" s="336"/>
      <c r="O690" s="336"/>
      <c r="P690" s="336"/>
      <c r="Q690" s="336"/>
    </row>
    <row r="691" ht="15.75" customHeight="1">
      <c r="A691" s="336"/>
      <c r="B691" s="336"/>
      <c r="C691" s="336"/>
      <c r="D691" s="336"/>
      <c r="E691" s="336"/>
      <c r="F691" s="336"/>
      <c r="G691" s="336"/>
      <c r="H691" s="336"/>
      <c r="I691" s="336"/>
      <c r="J691" s="336"/>
      <c r="K691" s="336"/>
      <c r="L691" s="336"/>
      <c r="M691" s="336"/>
      <c r="N691" s="336"/>
      <c r="O691" s="336"/>
      <c r="P691" s="336"/>
      <c r="Q691" s="336"/>
    </row>
    <row r="692" ht="15.75" customHeight="1">
      <c r="A692" s="336"/>
      <c r="B692" s="336"/>
      <c r="C692" s="336"/>
      <c r="D692" s="336"/>
      <c r="E692" s="336"/>
      <c r="F692" s="336"/>
      <c r="G692" s="336"/>
      <c r="H692" s="336"/>
      <c r="I692" s="336"/>
      <c r="J692" s="336"/>
      <c r="K692" s="336"/>
      <c r="L692" s="336"/>
      <c r="M692" s="336"/>
      <c r="N692" s="336"/>
      <c r="O692" s="336"/>
      <c r="P692" s="336"/>
      <c r="Q692" s="336"/>
    </row>
    <row r="693" ht="15.75" customHeight="1">
      <c r="A693" s="336"/>
      <c r="B693" s="336"/>
      <c r="C693" s="336"/>
      <c r="D693" s="336"/>
      <c r="E693" s="336"/>
      <c r="F693" s="336"/>
      <c r="G693" s="336"/>
      <c r="H693" s="336"/>
      <c r="I693" s="336"/>
      <c r="J693" s="336"/>
      <c r="K693" s="336"/>
      <c r="L693" s="336"/>
      <c r="M693" s="336"/>
      <c r="N693" s="336"/>
      <c r="O693" s="336"/>
      <c r="P693" s="336"/>
      <c r="Q693" s="336"/>
    </row>
    <row r="694" ht="15.75" customHeight="1">
      <c r="A694" s="336"/>
      <c r="B694" s="336"/>
      <c r="C694" s="336"/>
      <c r="D694" s="336"/>
      <c r="E694" s="336"/>
      <c r="F694" s="336"/>
      <c r="G694" s="336"/>
      <c r="H694" s="336"/>
      <c r="I694" s="336"/>
      <c r="J694" s="336"/>
      <c r="K694" s="336"/>
      <c r="L694" s="336"/>
      <c r="M694" s="336"/>
      <c r="N694" s="336"/>
      <c r="O694" s="336"/>
      <c r="P694" s="336"/>
      <c r="Q694" s="336"/>
    </row>
    <row r="695" ht="15.75" customHeight="1">
      <c r="A695" s="336"/>
      <c r="B695" s="336"/>
      <c r="C695" s="336"/>
      <c r="D695" s="336"/>
      <c r="E695" s="336"/>
      <c r="F695" s="336"/>
      <c r="G695" s="336"/>
      <c r="H695" s="336"/>
      <c r="I695" s="336"/>
      <c r="J695" s="336"/>
      <c r="K695" s="336"/>
      <c r="L695" s="336"/>
      <c r="M695" s="336"/>
      <c r="N695" s="336"/>
      <c r="O695" s="336"/>
      <c r="P695" s="336"/>
      <c r="Q695" s="336"/>
    </row>
    <row r="696" ht="15.75" customHeight="1">
      <c r="A696" s="336"/>
      <c r="B696" s="336"/>
      <c r="C696" s="336"/>
      <c r="D696" s="336"/>
      <c r="E696" s="336"/>
      <c r="F696" s="336"/>
      <c r="G696" s="336"/>
      <c r="H696" s="336"/>
      <c r="I696" s="336"/>
      <c r="J696" s="336"/>
      <c r="K696" s="336"/>
      <c r="L696" s="336"/>
      <c r="M696" s="336"/>
      <c r="N696" s="336"/>
      <c r="O696" s="336"/>
      <c r="P696" s="336"/>
      <c r="Q696" s="336"/>
    </row>
    <row r="697" ht="15.75" customHeight="1">
      <c r="A697" s="336"/>
      <c r="B697" s="336"/>
      <c r="C697" s="336"/>
      <c r="D697" s="336"/>
      <c r="E697" s="336"/>
      <c r="F697" s="336"/>
      <c r="G697" s="336"/>
      <c r="H697" s="336"/>
      <c r="I697" s="336"/>
      <c r="J697" s="336"/>
      <c r="K697" s="336"/>
      <c r="L697" s="336"/>
      <c r="M697" s="336"/>
      <c r="N697" s="336"/>
      <c r="O697" s="336"/>
      <c r="P697" s="336"/>
      <c r="Q697" s="336"/>
    </row>
    <row r="698" ht="15.75" customHeight="1">
      <c r="A698" s="336"/>
      <c r="B698" s="336"/>
      <c r="C698" s="336"/>
      <c r="D698" s="336"/>
      <c r="E698" s="336"/>
      <c r="F698" s="336"/>
      <c r="G698" s="336"/>
      <c r="H698" s="336"/>
      <c r="I698" s="336"/>
      <c r="J698" s="336"/>
      <c r="K698" s="336"/>
      <c r="L698" s="336"/>
      <c r="M698" s="336"/>
      <c r="N698" s="336"/>
      <c r="O698" s="336"/>
      <c r="P698" s="336"/>
      <c r="Q698" s="336"/>
    </row>
    <row r="699" ht="15.75" customHeight="1">
      <c r="A699" s="336"/>
      <c r="B699" s="336"/>
      <c r="C699" s="336"/>
      <c r="D699" s="336"/>
      <c r="E699" s="336"/>
      <c r="F699" s="336"/>
      <c r="G699" s="336"/>
      <c r="H699" s="336"/>
      <c r="I699" s="336"/>
      <c r="J699" s="336"/>
      <c r="K699" s="336"/>
      <c r="L699" s="336"/>
      <c r="M699" s="336"/>
      <c r="N699" s="336"/>
      <c r="O699" s="336"/>
      <c r="P699" s="336"/>
      <c r="Q699" s="336"/>
    </row>
    <row r="700" ht="15.75" customHeight="1">
      <c r="A700" s="336"/>
      <c r="B700" s="336"/>
      <c r="C700" s="336"/>
      <c r="D700" s="336"/>
      <c r="E700" s="336"/>
      <c r="F700" s="336"/>
      <c r="G700" s="336"/>
      <c r="H700" s="336"/>
      <c r="I700" s="336"/>
      <c r="J700" s="336"/>
      <c r="K700" s="336"/>
      <c r="L700" s="336"/>
      <c r="M700" s="336"/>
      <c r="N700" s="336"/>
      <c r="O700" s="336"/>
      <c r="P700" s="336"/>
      <c r="Q700" s="336"/>
    </row>
    <row r="701" ht="15.75" customHeight="1">
      <c r="A701" s="336"/>
      <c r="B701" s="336"/>
      <c r="C701" s="336"/>
      <c r="D701" s="336"/>
      <c r="E701" s="336"/>
      <c r="F701" s="336"/>
      <c r="G701" s="336"/>
      <c r="H701" s="336"/>
      <c r="I701" s="336"/>
      <c r="J701" s="336"/>
      <c r="K701" s="336"/>
      <c r="L701" s="336"/>
      <c r="M701" s="336"/>
      <c r="N701" s="336"/>
      <c r="O701" s="336"/>
      <c r="P701" s="336"/>
      <c r="Q701" s="336"/>
    </row>
    <row r="702" ht="15.75" customHeight="1">
      <c r="A702" s="336"/>
      <c r="B702" s="336"/>
      <c r="C702" s="336"/>
      <c r="D702" s="336"/>
      <c r="E702" s="336"/>
      <c r="F702" s="336"/>
      <c r="G702" s="336"/>
      <c r="H702" s="336"/>
      <c r="I702" s="336"/>
      <c r="J702" s="336"/>
      <c r="K702" s="336"/>
      <c r="L702" s="336"/>
      <c r="M702" s="336"/>
      <c r="N702" s="336"/>
      <c r="O702" s="336"/>
      <c r="P702" s="336"/>
      <c r="Q702" s="336"/>
    </row>
    <row r="703" ht="15.75" customHeight="1">
      <c r="A703" s="336"/>
      <c r="B703" s="336"/>
      <c r="C703" s="336"/>
      <c r="D703" s="336"/>
      <c r="E703" s="336"/>
      <c r="F703" s="336"/>
      <c r="G703" s="336"/>
      <c r="H703" s="336"/>
      <c r="I703" s="336"/>
      <c r="J703" s="336"/>
      <c r="K703" s="336"/>
      <c r="L703" s="336"/>
      <c r="M703" s="336"/>
      <c r="N703" s="336"/>
      <c r="O703" s="336"/>
      <c r="P703" s="336"/>
      <c r="Q703" s="336"/>
    </row>
    <row r="704" ht="15.75" customHeight="1">
      <c r="A704" s="336"/>
      <c r="B704" s="336"/>
      <c r="C704" s="336"/>
      <c r="D704" s="336"/>
      <c r="E704" s="336"/>
      <c r="F704" s="336"/>
      <c r="G704" s="336"/>
      <c r="H704" s="336"/>
      <c r="I704" s="336"/>
      <c r="J704" s="336"/>
      <c r="K704" s="336"/>
      <c r="L704" s="336"/>
      <c r="M704" s="336"/>
      <c r="N704" s="336"/>
      <c r="O704" s="336"/>
      <c r="P704" s="336"/>
      <c r="Q704" s="336"/>
    </row>
    <row r="705" ht="15.75" customHeight="1">
      <c r="A705" s="336"/>
      <c r="B705" s="336"/>
      <c r="C705" s="336"/>
      <c r="D705" s="336"/>
      <c r="E705" s="336"/>
      <c r="F705" s="336"/>
      <c r="G705" s="336"/>
      <c r="H705" s="336"/>
      <c r="I705" s="336"/>
      <c r="J705" s="336"/>
      <c r="K705" s="336"/>
      <c r="L705" s="336"/>
      <c r="M705" s="336"/>
      <c r="N705" s="336"/>
      <c r="O705" s="336"/>
      <c r="P705" s="336"/>
      <c r="Q705" s="336"/>
    </row>
    <row r="706" ht="15.75" customHeight="1">
      <c r="A706" s="336"/>
      <c r="B706" s="336"/>
      <c r="C706" s="336"/>
      <c r="D706" s="336"/>
      <c r="E706" s="336"/>
      <c r="F706" s="336"/>
      <c r="G706" s="336"/>
      <c r="H706" s="336"/>
      <c r="I706" s="336"/>
      <c r="J706" s="336"/>
      <c r="K706" s="336"/>
      <c r="L706" s="336"/>
      <c r="M706" s="336"/>
      <c r="N706" s="336"/>
      <c r="O706" s="336"/>
      <c r="P706" s="336"/>
      <c r="Q706" s="336"/>
    </row>
    <row r="707" ht="15.75" customHeight="1">
      <c r="A707" s="336"/>
      <c r="B707" s="336"/>
      <c r="C707" s="336"/>
      <c r="D707" s="336"/>
      <c r="E707" s="336"/>
      <c r="F707" s="336"/>
      <c r="G707" s="336"/>
      <c r="H707" s="336"/>
      <c r="I707" s="336"/>
      <c r="J707" s="336"/>
      <c r="K707" s="336"/>
      <c r="L707" s="336"/>
      <c r="M707" s="336"/>
      <c r="N707" s="336"/>
      <c r="O707" s="336"/>
      <c r="P707" s="336"/>
      <c r="Q707" s="336"/>
    </row>
    <row r="708" ht="15.75" customHeight="1">
      <c r="A708" s="336"/>
      <c r="B708" s="336"/>
      <c r="C708" s="336"/>
      <c r="D708" s="336"/>
      <c r="E708" s="336"/>
      <c r="F708" s="336"/>
      <c r="G708" s="336"/>
      <c r="H708" s="336"/>
      <c r="I708" s="336"/>
      <c r="J708" s="336"/>
      <c r="K708" s="336"/>
      <c r="L708" s="336"/>
      <c r="M708" s="336"/>
      <c r="N708" s="336"/>
      <c r="O708" s="336"/>
      <c r="P708" s="336"/>
      <c r="Q708" s="336"/>
    </row>
    <row r="709" ht="15.75" customHeight="1">
      <c r="A709" s="336"/>
      <c r="B709" s="336"/>
      <c r="C709" s="336"/>
      <c r="D709" s="336"/>
      <c r="E709" s="336"/>
      <c r="F709" s="336"/>
      <c r="G709" s="336"/>
      <c r="H709" s="336"/>
      <c r="I709" s="336"/>
      <c r="J709" s="336"/>
      <c r="K709" s="336"/>
      <c r="L709" s="336"/>
      <c r="M709" s="336"/>
      <c r="N709" s="336"/>
      <c r="O709" s="336"/>
      <c r="P709" s="336"/>
      <c r="Q709" s="336"/>
    </row>
    <row r="710" ht="15.75" customHeight="1">
      <c r="A710" s="336"/>
      <c r="B710" s="336"/>
      <c r="C710" s="336"/>
      <c r="D710" s="336"/>
      <c r="E710" s="336"/>
      <c r="F710" s="336"/>
      <c r="G710" s="336"/>
      <c r="H710" s="336"/>
      <c r="I710" s="336"/>
      <c r="J710" s="336"/>
      <c r="K710" s="336"/>
      <c r="L710" s="336"/>
      <c r="M710" s="336"/>
      <c r="N710" s="336"/>
      <c r="O710" s="336"/>
      <c r="P710" s="336"/>
      <c r="Q710" s="336"/>
    </row>
    <row r="711" ht="15.75" customHeight="1">
      <c r="A711" s="336"/>
      <c r="B711" s="336"/>
      <c r="C711" s="336"/>
      <c r="D711" s="336"/>
      <c r="E711" s="336"/>
      <c r="F711" s="336"/>
      <c r="G711" s="336"/>
      <c r="H711" s="336"/>
      <c r="I711" s="336"/>
      <c r="J711" s="336"/>
      <c r="K711" s="336"/>
      <c r="L711" s="336"/>
      <c r="M711" s="336"/>
      <c r="N711" s="336"/>
      <c r="O711" s="336"/>
      <c r="P711" s="336"/>
      <c r="Q711" s="336"/>
    </row>
    <row r="712" ht="15.75" customHeight="1">
      <c r="A712" s="336"/>
      <c r="B712" s="336"/>
      <c r="C712" s="336"/>
      <c r="D712" s="336"/>
      <c r="E712" s="336"/>
      <c r="F712" s="336"/>
      <c r="G712" s="336"/>
      <c r="H712" s="336"/>
      <c r="I712" s="336"/>
      <c r="J712" s="336"/>
      <c r="K712" s="336"/>
      <c r="L712" s="336"/>
      <c r="M712" s="336"/>
      <c r="N712" s="336"/>
      <c r="O712" s="336"/>
      <c r="P712" s="336"/>
      <c r="Q712" s="336"/>
    </row>
    <row r="713" ht="15.75" customHeight="1">
      <c r="A713" s="336"/>
      <c r="B713" s="336"/>
      <c r="C713" s="336"/>
      <c r="D713" s="336"/>
      <c r="E713" s="336"/>
      <c r="F713" s="336"/>
      <c r="G713" s="336"/>
      <c r="H713" s="336"/>
      <c r="I713" s="336"/>
      <c r="J713" s="336"/>
      <c r="K713" s="336"/>
      <c r="L713" s="336"/>
      <c r="M713" s="336"/>
      <c r="N713" s="336"/>
      <c r="O713" s="336"/>
      <c r="P713" s="336"/>
      <c r="Q713" s="336"/>
    </row>
    <row r="714" ht="15.75" customHeight="1">
      <c r="A714" s="336"/>
      <c r="B714" s="336"/>
      <c r="C714" s="336"/>
      <c r="D714" s="336"/>
      <c r="E714" s="336"/>
      <c r="F714" s="336"/>
      <c r="G714" s="336"/>
      <c r="H714" s="336"/>
      <c r="I714" s="336"/>
      <c r="J714" s="336"/>
      <c r="K714" s="336"/>
      <c r="L714" s="336"/>
      <c r="M714" s="336"/>
      <c r="N714" s="336"/>
      <c r="O714" s="336"/>
      <c r="P714" s="336"/>
      <c r="Q714" s="336"/>
    </row>
    <row r="715" ht="15.75" customHeight="1">
      <c r="A715" s="336"/>
      <c r="B715" s="336"/>
      <c r="C715" s="336"/>
      <c r="D715" s="336"/>
      <c r="E715" s="336"/>
      <c r="F715" s="336"/>
      <c r="G715" s="336"/>
      <c r="H715" s="336"/>
      <c r="I715" s="336"/>
      <c r="J715" s="336"/>
      <c r="K715" s="336"/>
      <c r="L715" s="336"/>
      <c r="M715" s="336"/>
      <c r="N715" s="336"/>
      <c r="O715" s="336"/>
      <c r="P715" s="336"/>
      <c r="Q715" s="336"/>
    </row>
    <row r="716" ht="15.75" customHeight="1">
      <c r="A716" s="336"/>
      <c r="B716" s="336"/>
      <c r="C716" s="336"/>
      <c r="D716" s="336"/>
      <c r="E716" s="336"/>
      <c r="F716" s="336"/>
      <c r="G716" s="336"/>
      <c r="H716" s="336"/>
      <c r="I716" s="336"/>
      <c r="J716" s="336"/>
      <c r="K716" s="336"/>
      <c r="L716" s="336"/>
      <c r="M716" s="336"/>
      <c r="N716" s="336"/>
      <c r="O716" s="336"/>
      <c r="P716" s="336"/>
      <c r="Q716" s="336"/>
    </row>
    <row r="717" ht="15.75" customHeight="1">
      <c r="A717" s="336"/>
      <c r="B717" s="336"/>
      <c r="C717" s="336"/>
      <c r="D717" s="336"/>
      <c r="E717" s="336"/>
      <c r="F717" s="336"/>
      <c r="G717" s="336"/>
      <c r="H717" s="336"/>
      <c r="I717" s="336"/>
      <c r="J717" s="336"/>
      <c r="K717" s="336"/>
      <c r="L717" s="336"/>
      <c r="M717" s="336"/>
      <c r="N717" s="336"/>
      <c r="O717" s="336"/>
      <c r="P717" s="336"/>
      <c r="Q717" s="336"/>
    </row>
    <row r="718" ht="15.75" customHeight="1">
      <c r="A718" s="336"/>
      <c r="B718" s="336"/>
      <c r="C718" s="336"/>
      <c r="D718" s="336"/>
      <c r="E718" s="336"/>
      <c r="F718" s="336"/>
      <c r="G718" s="336"/>
      <c r="H718" s="336"/>
      <c r="I718" s="336"/>
      <c r="J718" s="336"/>
      <c r="K718" s="336"/>
      <c r="L718" s="336"/>
      <c r="M718" s="336"/>
      <c r="N718" s="336"/>
      <c r="O718" s="336"/>
      <c r="P718" s="336"/>
      <c r="Q718" s="336"/>
    </row>
    <row r="719" ht="15.75" customHeight="1">
      <c r="A719" s="336"/>
      <c r="B719" s="336"/>
      <c r="C719" s="336"/>
      <c r="D719" s="336"/>
      <c r="E719" s="336"/>
      <c r="F719" s="336"/>
      <c r="G719" s="336"/>
      <c r="H719" s="336"/>
      <c r="I719" s="336"/>
      <c r="J719" s="336"/>
      <c r="K719" s="336"/>
      <c r="L719" s="336"/>
      <c r="M719" s="336"/>
      <c r="N719" s="336"/>
      <c r="O719" s="336"/>
      <c r="P719" s="336"/>
      <c r="Q719" s="336"/>
    </row>
    <row r="720" ht="15.75" customHeight="1">
      <c r="A720" s="336"/>
      <c r="B720" s="336"/>
      <c r="C720" s="336"/>
      <c r="D720" s="336"/>
      <c r="E720" s="336"/>
      <c r="F720" s="336"/>
      <c r="G720" s="336"/>
      <c r="H720" s="336"/>
      <c r="I720" s="336"/>
      <c r="J720" s="336"/>
      <c r="K720" s="336"/>
      <c r="L720" s="336"/>
      <c r="M720" s="336"/>
      <c r="N720" s="336"/>
      <c r="O720" s="336"/>
      <c r="P720" s="336"/>
      <c r="Q720" s="336"/>
    </row>
    <row r="721" ht="15.75" customHeight="1">
      <c r="A721" s="336"/>
      <c r="B721" s="336"/>
      <c r="C721" s="336"/>
      <c r="D721" s="336"/>
      <c r="E721" s="336"/>
      <c r="F721" s="336"/>
      <c r="G721" s="336"/>
      <c r="H721" s="336"/>
      <c r="I721" s="336"/>
      <c r="J721" s="336"/>
      <c r="K721" s="336"/>
      <c r="L721" s="336"/>
      <c r="M721" s="336"/>
      <c r="N721" s="336"/>
      <c r="O721" s="336"/>
      <c r="P721" s="336"/>
      <c r="Q721" s="336"/>
    </row>
    <row r="722" ht="15.75" customHeight="1">
      <c r="A722" s="336"/>
      <c r="B722" s="336"/>
      <c r="C722" s="336"/>
      <c r="D722" s="336"/>
      <c r="E722" s="336"/>
      <c r="F722" s="336"/>
      <c r="G722" s="336"/>
      <c r="H722" s="336"/>
      <c r="I722" s="336"/>
      <c r="J722" s="336"/>
      <c r="K722" s="336"/>
      <c r="L722" s="336"/>
      <c r="M722" s="336"/>
      <c r="N722" s="336"/>
      <c r="O722" s="336"/>
      <c r="P722" s="336"/>
      <c r="Q722" s="336"/>
    </row>
    <row r="723" ht="15.75" customHeight="1">
      <c r="A723" s="336"/>
      <c r="B723" s="336"/>
      <c r="C723" s="336"/>
      <c r="D723" s="336"/>
      <c r="E723" s="336"/>
      <c r="F723" s="336"/>
      <c r="G723" s="336"/>
      <c r="H723" s="336"/>
      <c r="I723" s="336"/>
      <c r="J723" s="336"/>
      <c r="K723" s="336"/>
      <c r="L723" s="336"/>
      <c r="M723" s="336"/>
      <c r="N723" s="336"/>
      <c r="O723" s="336"/>
      <c r="P723" s="336"/>
      <c r="Q723" s="336"/>
    </row>
    <row r="724" ht="15.75" customHeight="1">
      <c r="A724" s="336"/>
      <c r="B724" s="336"/>
      <c r="C724" s="336"/>
      <c r="D724" s="336"/>
      <c r="E724" s="336"/>
      <c r="F724" s="336"/>
      <c r="G724" s="336"/>
      <c r="H724" s="336"/>
      <c r="I724" s="336"/>
      <c r="J724" s="336"/>
      <c r="K724" s="336"/>
      <c r="L724" s="336"/>
      <c r="M724" s="336"/>
      <c r="N724" s="336"/>
      <c r="O724" s="336"/>
      <c r="P724" s="336"/>
      <c r="Q724" s="336"/>
    </row>
    <row r="725" ht="15.75" customHeight="1">
      <c r="A725" s="336"/>
      <c r="B725" s="336"/>
      <c r="C725" s="336"/>
      <c r="D725" s="336"/>
      <c r="E725" s="336"/>
      <c r="F725" s="336"/>
      <c r="G725" s="336"/>
      <c r="H725" s="336"/>
      <c r="I725" s="336"/>
      <c r="J725" s="336"/>
      <c r="K725" s="336"/>
      <c r="L725" s="336"/>
      <c r="M725" s="336"/>
      <c r="N725" s="336"/>
      <c r="O725" s="336"/>
      <c r="P725" s="336"/>
      <c r="Q725" s="336"/>
    </row>
    <row r="726" ht="15.75" customHeight="1">
      <c r="A726" s="336"/>
      <c r="B726" s="336"/>
      <c r="C726" s="336"/>
      <c r="D726" s="336"/>
      <c r="E726" s="336"/>
      <c r="F726" s="336"/>
      <c r="G726" s="336"/>
      <c r="H726" s="336"/>
      <c r="I726" s="336"/>
      <c r="J726" s="336"/>
      <c r="K726" s="336"/>
      <c r="L726" s="336"/>
      <c r="M726" s="336"/>
      <c r="N726" s="336"/>
      <c r="O726" s="336"/>
      <c r="P726" s="336"/>
      <c r="Q726" s="336"/>
    </row>
    <row r="727" ht="15.75" customHeight="1">
      <c r="A727" s="336"/>
      <c r="B727" s="336"/>
      <c r="C727" s="336"/>
      <c r="D727" s="336"/>
      <c r="E727" s="336"/>
      <c r="F727" s="336"/>
      <c r="G727" s="336"/>
      <c r="H727" s="336"/>
      <c r="I727" s="336"/>
      <c r="J727" s="336"/>
      <c r="K727" s="336"/>
      <c r="L727" s="336"/>
      <c r="M727" s="336"/>
      <c r="N727" s="336"/>
      <c r="O727" s="336"/>
      <c r="P727" s="336"/>
      <c r="Q727" s="336"/>
    </row>
    <row r="728" ht="15.75" customHeight="1">
      <c r="A728" s="336"/>
      <c r="B728" s="336"/>
      <c r="C728" s="336"/>
      <c r="D728" s="336"/>
      <c r="E728" s="336"/>
      <c r="F728" s="336"/>
      <c r="G728" s="336"/>
      <c r="H728" s="336"/>
      <c r="I728" s="336"/>
      <c r="J728" s="336"/>
      <c r="K728" s="336"/>
      <c r="L728" s="336"/>
      <c r="M728" s="336"/>
      <c r="N728" s="336"/>
      <c r="O728" s="336"/>
      <c r="P728" s="336"/>
      <c r="Q728" s="336"/>
    </row>
    <row r="729" ht="15.75" customHeight="1">
      <c r="A729" s="336"/>
      <c r="B729" s="336"/>
      <c r="C729" s="336"/>
      <c r="D729" s="336"/>
      <c r="E729" s="336"/>
      <c r="F729" s="336"/>
      <c r="G729" s="336"/>
      <c r="H729" s="336"/>
      <c r="I729" s="336"/>
      <c r="J729" s="336"/>
      <c r="K729" s="336"/>
      <c r="L729" s="336"/>
      <c r="M729" s="336"/>
      <c r="N729" s="336"/>
      <c r="O729" s="336"/>
      <c r="P729" s="336"/>
      <c r="Q729" s="336"/>
    </row>
    <row r="730" ht="15.75" customHeight="1">
      <c r="A730" s="336"/>
      <c r="B730" s="336"/>
      <c r="C730" s="336"/>
      <c r="D730" s="336"/>
      <c r="E730" s="336"/>
      <c r="F730" s="336"/>
      <c r="G730" s="336"/>
      <c r="H730" s="336"/>
      <c r="I730" s="336"/>
      <c r="J730" s="336"/>
      <c r="K730" s="336"/>
      <c r="L730" s="336"/>
      <c r="M730" s="336"/>
      <c r="N730" s="336"/>
      <c r="O730" s="336"/>
      <c r="P730" s="336"/>
      <c r="Q730" s="336"/>
    </row>
    <row r="731" ht="15.75" customHeight="1">
      <c r="A731" s="336"/>
      <c r="B731" s="336"/>
      <c r="C731" s="336"/>
      <c r="D731" s="336"/>
      <c r="E731" s="336"/>
      <c r="F731" s="336"/>
      <c r="G731" s="336"/>
      <c r="H731" s="336"/>
      <c r="I731" s="336"/>
      <c r="J731" s="336"/>
      <c r="K731" s="336"/>
      <c r="L731" s="336"/>
      <c r="M731" s="336"/>
      <c r="N731" s="336"/>
      <c r="O731" s="336"/>
      <c r="P731" s="336"/>
      <c r="Q731" s="336"/>
    </row>
    <row r="732" ht="15.75" customHeight="1">
      <c r="A732" s="336"/>
      <c r="B732" s="336"/>
      <c r="C732" s="336"/>
      <c r="D732" s="336"/>
      <c r="E732" s="336"/>
      <c r="F732" s="336"/>
      <c r="G732" s="336"/>
      <c r="H732" s="336"/>
      <c r="I732" s="336"/>
      <c r="J732" s="336"/>
      <c r="K732" s="336"/>
      <c r="L732" s="336"/>
      <c r="M732" s="336"/>
      <c r="N732" s="336"/>
      <c r="O732" s="336"/>
      <c r="P732" s="336"/>
      <c r="Q732" s="336"/>
    </row>
    <row r="733" ht="15.75" customHeight="1">
      <c r="A733" s="336"/>
      <c r="B733" s="336"/>
      <c r="C733" s="336"/>
      <c r="D733" s="336"/>
      <c r="E733" s="336"/>
      <c r="F733" s="336"/>
      <c r="G733" s="336"/>
      <c r="H733" s="336"/>
      <c r="I733" s="336"/>
      <c r="J733" s="336"/>
      <c r="K733" s="336"/>
      <c r="L733" s="336"/>
      <c r="M733" s="336"/>
      <c r="N733" s="336"/>
      <c r="O733" s="336"/>
      <c r="P733" s="336"/>
      <c r="Q733" s="336"/>
    </row>
    <row r="734" ht="15.75" customHeight="1">
      <c r="A734" s="336"/>
      <c r="B734" s="336"/>
      <c r="C734" s="336"/>
      <c r="D734" s="336"/>
      <c r="E734" s="336"/>
      <c r="F734" s="336"/>
      <c r="G734" s="336"/>
      <c r="H734" s="336"/>
      <c r="I734" s="336"/>
      <c r="J734" s="336"/>
      <c r="K734" s="336"/>
      <c r="L734" s="336"/>
      <c r="M734" s="336"/>
      <c r="N734" s="336"/>
      <c r="O734" s="336"/>
      <c r="P734" s="336"/>
      <c r="Q734" s="336"/>
    </row>
    <row r="735" ht="15.75" customHeight="1">
      <c r="A735" s="336"/>
      <c r="B735" s="336"/>
      <c r="C735" s="336"/>
      <c r="D735" s="336"/>
      <c r="E735" s="336"/>
      <c r="F735" s="336"/>
      <c r="G735" s="336"/>
      <c r="H735" s="336"/>
      <c r="I735" s="336"/>
      <c r="J735" s="336"/>
      <c r="K735" s="336"/>
      <c r="L735" s="336"/>
      <c r="M735" s="336"/>
      <c r="N735" s="336"/>
      <c r="O735" s="336"/>
      <c r="P735" s="336"/>
      <c r="Q735" s="336"/>
    </row>
    <row r="736" ht="15.75" customHeight="1">
      <c r="A736" s="336"/>
      <c r="B736" s="336"/>
      <c r="C736" s="336"/>
      <c r="D736" s="336"/>
      <c r="E736" s="336"/>
      <c r="F736" s="336"/>
      <c r="G736" s="336"/>
      <c r="H736" s="336"/>
      <c r="I736" s="336"/>
      <c r="J736" s="336"/>
      <c r="K736" s="336"/>
      <c r="L736" s="336"/>
      <c r="M736" s="336"/>
      <c r="N736" s="336"/>
      <c r="O736" s="336"/>
      <c r="P736" s="336"/>
      <c r="Q736" s="336"/>
    </row>
    <row r="737" ht="15.75" customHeight="1">
      <c r="A737" s="336"/>
      <c r="B737" s="336"/>
      <c r="C737" s="336"/>
      <c r="D737" s="336"/>
      <c r="E737" s="336"/>
      <c r="F737" s="336"/>
      <c r="G737" s="336"/>
      <c r="H737" s="336"/>
      <c r="I737" s="336"/>
      <c r="J737" s="336"/>
      <c r="K737" s="336"/>
      <c r="L737" s="336"/>
      <c r="M737" s="336"/>
      <c r="N737" s="336"/>
      <c r="O737" s="336"/>
      <c r="P737" s="336"/>
      <c r="Q737" s="336"/>
    </row>
    <row r="738" ht="15.75" customHeight="1">
      <c r="A738" s="336"/>
      <c r="B738" s="336"/>
      <c r="C738" s="336"/>
      <c r="D738" s="336"/>
      <c r="E738" s="336"/>
      <c r="F738" s="336"/>
      <c r="G738" s="336"/>
      <c r="H738" s="336"/>
      <c r="I738" s="336"/>
      <c r="J738" s="336"/>
      <c r="K738" s="336"/>
      <c r="L738" s="336"/>
      <c r="M738" s="336"/>
      <c r="N738" s="336"/>
      <c r="O738" s="336"/>
      <c r="P738" s="336"/>
      <c r="Q738" s="336"/>
    </row>
    <row r="739" ht="15.75" customHeight="1">
      <c r="A739" s="336"/>
      <c r="B739" s="336"/>
      <c r="C739" s="336"/>
      <c r="D739" s="336"/>
      <c r="E739" s="336"/>
      <c r="F739" s="336"/>
      <c r="G739" s="336"/>
      <c r="H739" s="336"/>
      <c r="I739" s="336"/>
      <c r="J739" s="336"/>
      <c r="K739" s="336"/>
      <c r="L739" s="336"/>
      <c r="M739" s="336"/>
      <c r="N739" s="336"/>
      <c r="O739" s="336"/>
      <c r="P739" s="336"/>
      <c r="Q739" s="336"/>
    </row>
    <row r="740" ht="15.75" customHeight="1">
      <c r="A740" s="336"/>
      <c r="B740" s="336"/>
      <c r="C740" s="336"/>
      <c r="D740" s="336"/>
      <c r="E740" s="336"/>
      <c r="F740" s="336"/>
      <c r="G740" s="336"/>
      <c r="H740" s="336"/>
      <c r="I740" s="336"/>
      <c r="J740" s="336"/>
      <c r="K740" s="336"/>
      <c r="L740" s="336"/>
      <c r="M740" s="336"/>
      <c r="N740" s="336"/>
      <c r="O740" s="336"/>
      <c r="P740" s="336"/>
      <c r="Q740" s="336"/>
    </row>
    <row r="741" ht="15.75" customHeight="1">
      <c r="A741" s="336"/>
      <c r="B741" s="336"/>
      <c r="C741" s="336"/>
      <c r="D741" s="336"/>
      <c r="E741" s="336"/>
      <c r="F741" s="336"/>
      <c r="G741" s="336"/>
      <c r="H741" s="336"/>
      <c r="I741" s="336"/>
      <c r="J741" s="336"/>
      <c r="K741" s="336"/>
      <c r="L741" s="336"/>
      <c r="M741" s="336"/>
      <c r="N741" s="336"/>
      <c r="O741" s="336"/>
      <c r="P741" s="336"/>
      <c r="Q741" s="336"/>
    </row>
    <row r="742" ht="15.75" customHeight="1">
      <c r="A742" s="336"/>
      <c r="B742" s="336"/>
      <c r="C742" s="336"/>
      <c r="D742" s="336"/>
      <c r="E742" s="336"/>
      <c r="F742" s="336"/>
      <c r="G742" s="336"/>
      <c r="H742" s="336"/>
      <c r="I742" s="336"/>
      <c r="J742" s="336"/>
      <c r="K742" s="336"/>
      <c r="L742" s="336"/>
      <c r="M742" s="336"/>
      <c r="N742" s="336"/>
      <c r="O742" s="336"/>
      <c r="P742" s="336"/>
      <c r="Q742" s="336"/>
    </row>
    <row r="743" ht="15.75" customHeight="1">
      <c r="A743" s="336"/>
      <c r="B743" s="336"/>
      <c r="C743" s="336"/>
      <c r="D743" s="336"/>
      <c r="E743" s="336"/>
      <c r="F743" s="336"/>
      <c r="G743" s="336"/>
      <c r="H743" s="336"/>
      <c r="I743" s="336"/>
      <c r="J743" s="336"/>
      <c r="K743" s="336"/>
      <c r="L743" s="336"/>
      <c r="M743" s="336"/>
      <c r="N743" s="336"/>
      <c r="O743" s="336"/>
      <c r="P743" s="336"/>
      <c r="Q743" s="336"/>
    </row>
    <row r="744" ht="15.75" customHeight="1">
      <c r="A744" s="336"/>
      <c r="B744" s="336"/>
      <c r="C744" s="336"/>
      <c r="D744" s="336"/>
      <c r="E744" s="336"/>
      <c r="F744" s="336"/>
      <c r="G744" s="336"/>
      <c r="H744" s="336"/>
      <c r="I744" s="336"/>
      <c r="J744" s="336"/>
      <c r="K744" s="336"/>
      <c r="L744" s="336"/>
      <c r="M744" s="336"/>
      <c r="N744" s="336"/>
      <c r="O744" s="336"/>
      <c r="P744" s="336"/>
      <c r="Q744" s="336"/>
    </row>
    <row r="745" ht="15.75" customHeight="1">
      <c r="A745" s="336"/>
      <c r="B745" s="336"/>
      <c r="C745" s="336"/>
      <c r="D745" s="336"/>
      <c r="E745" s="336"/>
      <c r="F745" s="336"/>
      <c r="G745" s="336"/>
      <c r="H745" s="336"/>
      <c r="I745" s="336"/>
      <c r="J745" s="336"/>
      <c r="K745" s="336"/>
      <c r="L745" s="336"/>
      <c r="M745" s="336"/>
      <c r="N745" s="336"/>
      <c r="O745" s="336"/>
      <c r="P745" s="336"/>
      <c r="Q745" s="336"/>
    </row>
    <row r="746" ht="15.75" customHeight="1">
      <c r="A746" s="336"/>
      <c r="B746" s="336"/>
      <c r="C746" s="336"/>
      <c r="D746" s="336"/>
      <c r="E746" s="336"/>
      <c r="F746" s="336"/>
      <c r="G746" s="336"/>
      <c r="H746" s="336"/>
      <c r="I746" s="336"/>
      <c r="J746" s="336"/>
      <c r="K746" s="336"/>
      <c r="L746" s="336"/>
      <c r="M746" s="336"/>
      <c r="N746" s="336"/>
      <c r="O746" s="336"/>
      <c r="P746" s="336"/>
      <c r="Q746" s="336"/>
    </row>
    <row r="747" ht="15.75" customHeight="1">
      <c r="A747" s="336"/>
      <c r="B747" s="336"/>
      <c r="C747" s="336"/>
      <c r="D747" s="336"/>
      <c r="E747" s="336"/>
      <c r="F747" s="336"/>
      <c r="G747" s="336"/>
      <c r="H747" s="336"/>
      <c r="I747" s="336"/>
      <c r="J747" s="336"/>
      <c r="K747" s="336"/>
      <c r="L747" s="336"/>
      <c r="M747" s="336"/>
      <c r="N747" s="336"/>
      <c r="O747" s="336"/>
      <c r="P747" s="336"/>
      <c r="Q747" s="336"/>
    </row>
    <row r="748" ht="15.75" customHeight="1">
      <c r="A748" s="336"/>
      <c r="B748" s="336"/>
      <c r="C748" s="336"/>
      <c r="D748" s="336"/>
      <c r="E748" s="336"/>
      <c r="F748" s="336"/>
      <c r="G748" s="336"/>
      <c r="H748" s="336"/>
      <c r="I748" s="336"/>
      <c r="J748" s="336"/>
      <c r="K748" s="336"/>
      <c r="L748" s="336"/>
      <c r="M748" s="336"/>
      <c r="N748" s="336"/>
      <c r="O748" s="336"/>
      <c r="P748" s="336"/>
      <c r="Q748" s="336"/>
    </row>
    <row r="749" ht="15.75" customHeight="1">
      <c r="A749" s="336"/>
      <c r="B749" s="336"/>
      <c r="C749" s="336"/>
      <c r="D749" s="336"/>
      <c r="E749" s="336"/>
      <c r="F749" s="336"/>
      <c r="G749" s="336"/>
      <c r="H749" s="336"/>
      <c r="I749" s="336"/>
      <c r="J749" s="336"/>
      <c r="K749" s="336"/>
      <c r="L749" s="336"/>
      <c r="M749" s="336"/>
      <c r="N749" s="336"/>
      <c r="O749" s="336"/>
      <c r="P749" s="336"/>
      <c r="Q749" s="336"/>
    </row>
    <row r="750" ht="15.75" customHeight="1">
      <c r="A750" s="336"/>
      <c r="B750" s="336"/>
      <c r="C750" s="336"/>
      <c r="D750" s="336"/>
      <c r="E750" s="336"/>
      <c r="F750" s="336"/>
      <c r="G750" s="336"/>
      <c r="H750" s="336"/>
      <c r="I750" s="336"/>
      <c r="J750" s="336"/>
      <c r="K750" s="336"/>
      <c r="L750" s="336"/>
      <c r="M750" s="336"/>
      <c r="N750" s="336"/>
      <c r="O750" s="336"/>
      <c r="P750" s="336"/>
      <c r="Q750" s="336"/>
    </row>
    <row r="751" ht="15.75" customHeight="1">
      <c r="A751" s="336"/>
      <c r="B751" s="336"/>
      <c r="C751" s="336"/>
      <c r="D751" s="336"/>
      <c r="E751" s="336"/>
      <c r="F751" s="336"/>
      <c r="G751" s="336"/>
      <c r="H751" s="336"/>
      <c r="I751" s="336"/>
      <c r="J751" s="336"/>
      <c r="K751" s="336"/>
      <c r="L751" s="336"/>
      <c r="M751" s="336"/>
      <c r="N751" s="336"/>
      <c r="O751" s="336"/>
      <c r="P751" s="336"/>
      <c r="Q751" s="336"/>
    </row>
    <row r="752" ht="15.75" customHeight="1">
      <c r="A752" s="336"/>
      <c r="B752" s="336"/>
      <c r="C752" s="336"/>
      <c r="D752" s="336"/>
      <c r="E752" s="336"/>
      <c r="F752" s="336"/>
      <c r="G752" s="336"/>
      <c r="H752" s="336"/>
      <c r="I752" s="336"/>
      <c r="J752" s="336"/>
      <c r="K752" s="336"/>
      <c r="L752" s="336"/>
      <c r="M752" s="336"/>
      <c r="N752" s="336"/>
      <c r="O752" s="336"/>
      <c r="P752" s="336"/>
      <c r="Q752" s="336"/>
    </row>
    <row r="753" ht="15.75" customHeight="1">
      <c r="A753" s="336"/>
      <c r="B753" s="336"/>
      <c r="C753" s="336"/>
      <c r="D753" s="336"/>
      <c r="E753" s="336"/>
      <c r="F753" s="336"/>
      <c r="G753" s="336"/>
      <c r="H753" s="336"/>
      <c r="I753" s="336"/>
      <c r="J753" s="336"/>
      <c r="K753" s="336"/>
      <c r="L753" s="336"/>
      <c r="M753" s="336"/>
      <c r="N753" s="336"/>
      <c r="O753" s="336"/>
      <c r="P753" s="336"/>
      <c r="Q753" s="336"/>
    </row>
    <row r="754" ht="15.75" customHeight="1">
      <c r="A754" s="336"/>
      <c r="B754" s="336"/>
      <c r="C754" s="336"/>
      <c r="D754" s="336"/>
      <c r="E754" s="336"/>
      <c r="F754" s="336"/>
      <c r="G754" s="336"/>
      <c r="H754" s="336"/>
      <c r="I754" s="336"/>
      <c r="J754" s="336"/>
      <c r="K754" s="336"/>
      <c r="L754" s="336"/>
      <c r="M754" s="336"/>
      <c r="N754" s="336"/>
      <c r="O754" s="336"/>
      <c r="P754" s="336"/>
      <c r="Q754" s="336"/>
    </row>
    <row r="755" ht="15.75" customHeight="1">
      <c r="A755" s="336"/>
      <c r="B755" s="336"/>
      <c r="C755" s="336"/>
      <c r="D755" s="336"/>
      <c r="E755" s="336"/>
      <c r="F755" s="336"/>
      <c r="G755" s="336"/>
      <c r="H755" s="336"/>
      <c r="I755" s="336"/>
      <c r="J755" s="336"/>
      <c r="K755" s="336"/>
      <c r="L755" s="336"/>
      <c r="M755" s="336"/>
      <c r="N755" s="336"/>
      <c r="O755" s="336"/>
      <c r="P755" s="336"/>
      <c r="Q755" s="336"/>
    </row>
    <row r="756" ht="15.75" customHeight="1">
      <c r="A756" s="336"/>
      <c r="B756" s="336"/>
      <c r="C756" s="336"/>
      <c r="D756" s="336"/>
      <c r="E756" s="336"/>
      <c r="F756" s="336"/>
      <c r="G756" s="336"/>
      <c r="H756" s="336"/>
      <c r="I756" s="336"/>
      <c r="J756" s="336"/>
      <c r="K756" s="336"/>
      <c r="L756" s="336"/>
      <c r="M756" s="336"/>
      <c r="N756" s="336"/>
      <c r="O756" s="336"/>
      <c r="P756" s="336"/>
      <c r="Q756" s="336"/>
    </row>
    <row r="757" ht="15.75" customHeight="1">
      <c r="A757" s="336"/>
      <c r="B757" s="336"/>
      <c r="C757" s="336"/>
      <c r="D757" s="336"/>
      <c r="E757" s="336"/>
      <c r="F757" s="336"/>
      <c r="G757" s="336"/>
      <c r="H757" s="336"/>
      <c r="I757" s="336"/>
      <c r="J757" s="336"/>
      <c r="K757" s="336"/>
      <c r="L757" s="336"/>
      <c r="M757" s="336"/>
      <c r="N757" s="336"/>
      <c r="O757" s="336"/>
      <c r="P757" s="336"/>
      <c r="Q757" s="336"/>
    </row>
    <row r="758" ht="15.75" customHeight="1">
      <c r="A758" s="336"/>
      <c r="B758" s="336"/>
      <c r="C758" s="336"/>
      <c r="D758" s="336"/>
      <c r="E758" s="336"/>
      <c r="F758" s="336"/>
      <c r="G758" s="336"/>
      <c r="H758" s="336"/>
      <c r="I758" s="336"/>
      <c r="J758" s="336"/>
      <c r="K758" s="336"/>
      <c r="L758" s="336"/>
      <c r="M758" s="336"/>
      <c r="N758" s="336"/>
      <c r="O758" s="336"/>
      <c r="P758" s="336"/>
      <c r="Q758" s="336"/>
    </row>
    <row r="759" ht="15.75" customHeight="1">
      <c r="A759" s="336"/>
      <c r="B759" s="336"/>
      <c r="C759" s="336"/>
      <c r="D759" s="336"/>
      <c r="E759" s="336"/>
      <c r="F759" s="336"/>
      <c r="G759" s="336"/>
      <c r="H759" s="336"/>
      <c r="I759" s="336"/>
      <c r="J759" s="336"/>
      <c r="K759" s="336"/>
      <c r="L759" s="336"/>
      <c r="M759" s="336"/>
      <c r="N759" s="336"/>
      <c r="O759" s="336"/>
      <c r="P759" s="336"/>
      <c r="Q759" s="336"/>
    </row>
    <row r="760" ht="15.75" customHeight="1">
      <c r="A760" s="336"/>
      <c r="B760" s="336"/>
      <c r="C760" s="336"/>
      <c r="D760" s="336"/>
      <c r="E760" s="336"/>
      <c r="F760" s="336"/>
      <c r="G760" s="336"/>
      <c r="H760" s="336"/>
      <c r="I760" s="336"/>
      <c r="J760" s="336"/>
      <c r="K760" s="336"/>
      <c r="L760" s="336"/>
      <c r="M760" s="336"/>
      <c r="N760" s="336"/>
      <c r="O760" s="336"/>
      <c r="P760" s="336"/>
      <c r="Q760" s="336"/>
    </row>
    <row r="761" ht="15.75" customHeight="1">
      <c r="A761" s="336"/>
      <c r="B761" s="336"/>
      <c r="C761" s="336"/>
      <c r="D761" s="336"/>
      <c r="E761" s="336"/>
      <c r="F761" s="336"/>
      <c r="G761" s="336"/>
      <c r="H761" s="336"/>
      <c r="I761" s="336"/>
      <c r="J761" s="336"/>
      <c r="K761" s="336"/>
      <c r="L761" s="336"/>
      <c r="M761" s="336"/>
      <c r="N761" s="336"/>
      <c r="O761" s="336"/>
      <c r="P761" s="336"/>
      <c r="Q761" s="336"/>
    </row>
    <row r="762" ht="15.75" customHeight="1">
      <c r="A762" s="336"/>
      <c r="B762" s="336"/>
      <c r="C762" s="336"/>
      <c r="D762" s="336"/>
      <c r="E762" s="336"/>
      <c r="F762" s="336"/>
      <c r="G762" s="336"/>
      <c r="H762" s="336"/>
      <c r="I762" s="336"/>
      <c r="J762" s="336"/>
      <c r="K762" s="336"/>
      <c r="L762" s="336"/>
      <c r="M762" s="336"/>
      <c r="N762" s="336"/>
      <c r="O762" s="336"/>
      <c r="P762" s="336"/>
      <c r="Q762" s="336"/>
    </row>
    <row r="763" ht="15.75" customHeight="1">
      <c r="A763" s="336"/>
      <c r="B763" s="336"/>
      <c r="C763" s="336"/>
      <c r="D763" s="336"/>
      <c r="E763" s="336"/>
      <c r="F763" s="336"/>
      <c r="G763" s="336"/>
      <c r="H763" s="336"/>
      <c r="I763" s="336"/>
      <c r="J763" s="336"/>
      <c r="K763" s="336"/>
      <c r="L763" s="336"/>
      <c r="M763" s="336"/>
      <c r="N763" s="336"/>
      <c r="O763" s="336"/>
      <c r="P763" s="336"/>
      <c r="Q763" s="336"/>
    </row>
    <row r="764" ht="15.75" customHeight="1">
      <c r="A764" s="336"/>
      <c r="B764" s="336"/>
      <c r="C764" s="336"/>
      <c r="D764" s="336"/>
      <c r="E764" s="336"/>
      <c r="F764" s="336"/>
      <c r="G764" s="336"/>
      <c r="H764" s="336"/>
      <c r="I764" s="336"/>
      <c r="J764" s="336"/>
      <c r="K764" s="336"/>
      <c r="L764" s="336"/>
      <c r="M764" s="336"/>
      <c r="N764" s="336"/>
      <c r="O764" s="336"/>
      <c r="P764" s="336"/>
      <c r="Q764" s="336"/>
    </row>
    <row r="765" ht="15.75" customHeight="1">
      <c r="A765" s="336"/>
      <c r="B765" s="336"/>
      <c r="C765" s="336"/>
      <c r="D765" s="336"/>
      <c r="E765" s="336"/>
      <c r="F765" s="336"/>
      <c r="G765" s="336"/>
      <c r="H765" s="336"/>
      <c r="I765" s="336"/>
      <c r="J765" s="336"/>
      <c r="K765" s="336"/>
      <c r="L765" s="336"/>
      <c r="M765" s="336"/>
      <c r="N765" s="336"/>
      <c r="O765" s="336"/>
      <c r="P765" s="336"/>
      <c r="Q765" s="336"/>
    </row>
    <row r="766" ht="15.75" customHeight="1">
      <c r="A766" s="336"/>
      <c r="B766" s="336"/>
      <c r="C766" s="336"/>
      <c r="D766" s="336"/>
      <c r="E766" s="336"/>
      <c r="F766" s="336"/>
      <c r="G766" s="336"/>
      <c r="H766" s="336"/>
      <c r="I766" s="336"/>
      <c r="J766" s="336"/>
      <c r="K766" s="336"/>
      <c r="L766" s="336"/>
      <c r="M766" s="336"/>
      <c r="N766" s="336"/>
      <c r="O766" s="336"/>
      <c r="P766" s="336"/>
      <c r="Q766" s="336"/>
    </row>
    <row r="767" ht="15.75" customHeight="1">
      <c r="A767" s="336"/>
      <c r="B767" s="336"/>
      <c r="C767" s="336"/>
      <c r="D767" s="336"/>
      <c r="E767" s="336"/>
      <c r="F767" s="336"/>
      <c r="G767" s="336"/>
      <c r="H767" s="336"/>
      <c r="I767" s="336"/>
      <c r="J767" s="336"/>
      <c r="K767" s="336"/>
      <c r="L767" s="336"/>
      <c r="M767" s="336"/>
      <c r="N767" s="336"/>
      <c r="O767" s="336"/>
      <c r="P767" s="336"/>
      <c r="Q767" s="336"/>
    </row>
    <row r="768" ht="15.75" customHeight="1">
      <c r="A768" s="336"/>
      <c r="B768" s="336"/>
      <c r="C768" s="336"/>
      <c r="D768" s="336"/>
      <c r="E768" s="336"/>
      <c r="F768" s="336"/>
      <c r="G768" s="336"/>
      <c r="H768" s="336"/>
      <c r="I768" s="336"/>
      <c r="J768" s="336"/>
      <c r="K768" s="336"/>
      <c r="L768" s="336"/>
      <c r="M768" s="336"/>
      <c r="N768" s="336"/>
      <c r="O768" s="336"/>
      <c r="P768" s="336"/>
      <c r="Q768" s="336"/>
    </row>
    <row r="769" ht="15.75" customHeight="1">
      <c r="A769" s="336"/>
      <c r="B769" s="336"/>
      <c r="C769" s="336"/>
      <c r="D769" s="336"/>
      <c r="E769" s="336"/>
      <c r="F769" s="336"/>
      <c r="G769" s="336"/>
      <c r="H769" s="336"/>
      <c r="I769" s="336"/>
      <c r="J769" s="336"/>
      <c r="K769" s="336"/>
      <c r="L769" s="336"/>
      <c r="M769" s="336"/>
      <c r="N769" s="336"/>
      <c r="O769" s="336"/>
      <c r="P769" s="336"/>
      <c r="Q769" s="336"/>
    </row>
    <row r="770" ht="15.75" customHeight="1">
      <c r="A770" s="336"/>
      <c r="B770" s="336"/>
      <c r="C770" s="336"/>
      <c r="D770" s="336"/>
      <c r="E770" s="336"/>
      <c r="F770" s="336"/>
      <c r="G770" s="336"/>
      <c r="H770" s="336"/>
      <c r="I770" s="336"/>
      <c r="J770" s="336"/>
      <c r="K770" s="336"/>
      <c r="L770" s="336"/>
      <c r="M770" s="336"/>
      <c r="N770" s="336"/>
      <c r="O770" s="336"/>
      <c r="P770" s="336"/>
      <c r="Q770" s="336"/>
    </row>
    <row r="771" ht="15.75" customHeight="1">
      <c r="A771" s="336"/>
      <c r="B771" s="336"/>
      <c r="C771" s="336"/>
      <c r="D771" s="336"/>
      <c r="E771" s="336"/>
      <c r="F771" s="336"/>
      <c r="G771" s="336"/>
      <c r="H771" s="336"/>
      <c r="I771" s="336"/>
      <c r="J771" s="336"/>
      <c r="K771" s="336"/>
      <c r="L771" s="336"/>
      <c r="M771" s="336"/>
      <c r="N771" s="336"/>
      <c r="O771" s="336"/>
      <c r="P771" s="336"/>
      <c r="Q771" s="336"/>
    </row>
    <row r="772" ht="15.75" customHeight="1">
      <c r="A772" s="336"/>
      <c r="B772" s="336"/>
      <c r="C772" s="336"/>
      <c r="D772" s="336"/>
      <c r="E772" s="336"/>
      <c r="F772" s="336"/>
      <c r="G772" s="336"/>
      <c r="H772" s="336"/>
      <c r="I772" s="336"/>
      <c r="J772" s="336"/>
      <c r="K772" s="336"/>
      <c r="L772" s="336"/>
      <c r="M772" s="336"/>
      <c r="N772" s="336"/>
      <c r="O772" s="336"/>
      <c r="P772" s="336"/>
      <c r="Q772" s="336"/>
    </row>
    <row r="773" ht="15.75" customHeight="1">
      <c r="A773" s="336"/>
      <c r="B773" s="336"/>
      <c r="C773" s="336"/>
      <c r="D773" s="336"/>
      <c r="E773" s="336"/>
      <c r="F773" s="336"/>
      <c r="G773" s="336"/>
      <c r="H773" s="336"/>
      <c r="I773" s="336"/>
      <c r="J773" s="336"/>
      <c r="K773" s="336"/>
      <c r="L773" s="336"/>
      <c r="M773" s="336"/>
      <c r="N773" s="336"/>
      <c r="O773" s="336"/>
      <c r="P773" s="336"/>
      <c r="Q773" s="336"/>
    </row>
    <row r="774" ht="15.75" customHeight="1">
      <c r="A774" s="336"/>
      <c r="B774" s="336"/>
      <c r="C774" s="336"/>
      <c r="D774" s="336"/>
      <c r="E774" s="336"/>
      <c r="F774" s="336"/>
      <c r="G774" s="336"/>
      <c r="H774" s="336"/>
      <c r="I774" s="336"/>
      <c r="J774" s="336"/>
      <c r="K774" s="336"/>
      <c r="L774" s="336"/>
      <c r="M774" s="336"/>
      <c r="N774" s="336"/>
      <c r="O774" s="336"/>
      <c r="P774" s="336"/>
      <c r="Q774" s="336"/>
    </row>
    <row r="775" ht="15.75" customHeight="1">
      <c r="A775" s="336"/>
      <c r="B775" s="336"/>
      <c r="C775" s="336"/>
      <c r="D775" s="336"/>
      <c r="E775" s="336"/>
      <c r="F775" s="336"/>
      <c r="G775" s="336"/>
      <c r="H775" s="336"/>
      <c r="I775" s="336"/>
      <c r="J775" s="336"/>
      <c r="K775" s="336"/>
      <c r="L775" s="336"/>
      <c r="M775" s="336"/>
      <c r="N775" s="336"/>
      <c r="O775" s="336"/>
      <c r="P775" s="336"/>
      <c r="Q775" s="336"/>
    </row>
    <row r="776" ht="15.75" customHeight="1">
      <c r="A776" s="336"/>
      <c r="B776" s="336"/>
      <c r="C776" s="336"/>
      <c r="D776" s="336"/>
      <c r="E776" s="336"/>
      <c r="F776" s="336"/>
      <c r="G776" s="336"/>
      <c r="H776" s="336"/>
      <c r="I776" s="336"/>
      <c r="J776" s="336"/>
      <c r="K776" s="336"/>
      <c r="L776" s="336"/>
      <c r="M776" s="336"/>
      <c r="N776" s="336"/>
      <c r="O776" s="336"/>
      <c r="P776" s="336"/>
      <c r="Q776" s="336"/>
    </row>
    <row r="777" ht="15.75" customHeight="1">
      <c r="A777" s="336"/>
      <c r="B777" s="336"/>
      <c r="C777" s="336"/>
      <c r="D777" s="336"/>
      <c r="E777" s="336"/>
      <c r="F777" s="336"/>
      <c r="G777" s="336"/>
      <c r="H777" s="336"/>
      <c r="I777" s="336"/>
      <c r="J777" s="336"/>
      <c r="K777" s="336"/>
      <c r="L777" s="336"/>
      <c r="M777" s="336"/>
      <c r="N777" s="336"/>
      <c r="O777" s="336"/>
      <c r="P777" s="336"/>
      <c r="Q777" s="336"/>
    </row>
    <row r="778" ht="15.75" customHeight="1">
      <c r="A778" s="336"/>
      <c r="B778" s="336"/>
      <c r="C778" s="336"/>
      <c r="D778" s="336"/>
      <c r="E778" s="336"/>
      <c r="F778" s="336"/>
      <c r="G778" s="336"/>
      <c r="H778" s="336"/>
      <c r="I778" s="336"/>
      <c r="J778" s="336"/>
      <c r="K778" s="336"/>
      <c r="L778" s="336"/>
      <c r="M778" s="336"/>
      <c r="N778" s="336"/>
      <c r="O778" s="336"/>
      <c r="P778" s="336"/>
      <c r="Q778" s="336"/>
    </row>
    <row r="779" ht="15.75" customHeight="1">
      <c r="A779" s="336"/>
      <c r="B779" s="336"/>
      <c r="C779" s="336"/>
      <c r="D779" s="336"/>
      <c r="E779" s="336"/>
      <c r="F779" s="336"/>
      <c r="G779" s="336"/>
      <c r="H779" s="336"/>
      <c r="I779" s="336"/>
      <c r="J779" s="336"/>
      <c r="K779" s="336"/>
      <c r="L779" s="336"/>
      <c r="M779" s="336"/>
      <c r="N779" s="336"/>
      <c r="O779" s="336"/>
      <c r="P779" s="336"/>
      <c r="Q779" s="336"/>
    </row>
    <row r="780" ht="15.75" customHeight="1">
      <c r="A780" s="336"/>
      <c r="B780" s="336"/>
      <c r="C780" s="336"/>
      <c r="D780" s="336"/>
      <c r="E780" s="336"/>
      <c r="F780" s="336"/>
      <c r="G780" s="336"/>
      <c r="H780" s="336"/>
      <c r="I780" s="336"/>
      <c r="J780" s="336"/>
      <c r="K780" s="336"/>
      <c r="L780" s="336"/>
      <c r="M780" s="336"/>
      <c r="N780" s="336"/>
      <c r="O780" s="336"/>
      <c r="P780" s="336"/>
      <c r="Q780" s="336"/>
    </row>
    <row r="781" ht="15.75" customHeight="1">
      <c r="A781" s="336"/>
      <c r="B781" s="336"/>
      <c r="C781" s="336"/>
      <c r="D781" s="336"/>
      <c r="E781" s="336"/>
      <c r="F781" s="336"/>
      <c r="G781" s="336"/>
      <c r="H781" s="336"/>
      <c r="I781" s="336"/>
      <c r="J781" s="336"/>
      <c r="K781" s="336"/>
      <c r="L781" s="336"/>
      <c r="M781" s="336"/>
      <c r="N781" s="336"/>
      <c r="O781" s="336"/>
      <c r="P781" s="336"/>
      <c r="Q781" s="336"/>
    </row>
    <row r="782" ht="15.75" customHeight="1">
      <c r="A782" s="336"/>
      <c r="B782" s="336"/>
      <c r="C782" s="336"/>
      <c r="D782" s="336"/>
      <c r="E782" s="336"/>
      <c r="F782" s="336"/>
      <c r="G782" s="336"/>
      <c r="H782" s="336"/>
      <c r="I782" s="336"/>
      <c r="J782" s="336"/>
      <c r="K782" s="336"/>
      <c r="L782" s="336"/>
      <c r="M782" s="336"/>
      <c r="N782" s="336"/>
      <c r="O782" s="336"/>
      <c r="P782" s="336"/>
      <c r="Q782" s="336"/>
    </row>
    <row r="783" ht="15.75" customHeight="1">
      <c r="A783" s="336"/>
      <c r="B783" s="336"/>
      <c r="C783" s="336"/>
      <c r="D783" s="336"/>
      <c r="E783" s="336"/>
      <c r="F783" s="336"/>
      <c r="G783" s="336"/>
      <c r="H783" s="336"/>
      <c r="I783" s="336"/>
      <c r="J783" s="336"/>
      <c r="K783" s="336"/>
      <c r="L783" s="336"/>
      <c r="M783" s="336"/>
      <c r="N783" s="336"/>
      <c r="O783" s="336"/>
      <c r="P783" s="336"/>
      <c r="Q783" s="336"/>
    </row>
    <row r="784" ht="15.75" customHeight="1">
      <c r="A784" s="336"/>
      <c r="B784" s="336"/>
      <c r="C784" s="336"/>
      <c r="D784" s="336"/>
      <c r="E784" s="336"/>
      <c r="F784" s="336"/>
      <c r="G784" s="336"/>
      <c r="H784" s="336"/>
      <c r="I784" s="336"/>
      <c r="J784" s="336"/>
      <c r="K784" s="336"/>
      <c r="L784" s="336"/>
      <c r="M784" s="336"/>
      <c r="N784" s="336"/>
      <c r="O784" s="336"/>
      <c r="P784" s="336"/>
      <c r="Q784" s="336"/>
    </row>
    <row r="785" ht="15.75" customHeight="1">
      <c r="A785" s="336"/>
      <c r="B785" s="336"/>
      <c r="C785" s="336"/>
      <c r="D785" s="336"/>
      <c r="E785" s="336"/>
      <c r="F785" s="336"/>
      <c r="G785" s="336"/>
      <c r="H785" s="336"/>
      <c r="I785" s="336"/>
      <c r="J785" s="336"/>
      <c r="K785" s="336"/>
      <c r="L785" s="336"/>
      <c r="M785" s="336"/>
      <c r="N785" s="336"/>
      <c r="O785" s="336"/>
      <c r="P785" s="336"/>
      <c r="Q785" s="336"/>
    </row>
    <row r="786" ht="15.75" customHeight="1">
      <c r="A786" s="336"/>
      <c r="B786" s="336"/>
      <c r="C786" s="336"/>
      <c r="D786" s="336"/>
      <c r="E786" s="336"/>
      <c r="F786" s="336"/>
      <c r="G786" s="336"/>
      <c r="H786" s="336"/>
      <c r="I786" s="336"/>
      <c r="J786" s="336"/>
      <c r="K786" s="336"/>
      <c r="L786" s="336"/>
      <c r="M786" s="336"/>
      <c r="N786" s="336"/>
      <c r="O786" s="336"/>
      <c r="P786" s="336"/>
      <c r="Q786" s="336"/>
    </row>
    <row r="787" ht="15.75" customHeight="1">
      <c r="A787" s="336"/>
      <c r="B787" s="336"/>
      <c r="C787" s="336"/>
      <c r="D787" s="336"/>
      <c r="E787" s="336"/>
      <c r="F787" s="336"/>
      <c r="G787" s="336"/>
      <c r="H787" s="336"/>
      <c r="I787" s="336"/>
      <c r="J787" s="336"/>
      <c r="K787" s="336"/>
      <c r="L787" s="336"/>
      <c r="M787" s="336"/>
      <c r="N787" s="336"/>
      <c r="O787" s="336"/>
      <c r="P787" s="336"/>
      <c r="Q787" s="336"/>
    </row>
    <row r="788" ht="15.75" customHeight="1">
      <c r="A788" s="336"/>
      <c r="B788" s="336"/>
      <c r="C788" s="336"/>
      <c r="D788" s="336"/>
      <c r="E788" s="336"/>
      <c r="F788" s="336"/>
      <c r="G788" s="336"/>
      <c r="H788" s="336"/>
      <c r="I788" s="336"/>
      <c r="J788" s="336"/>
      <c r="K788" s="336"/>
      <c r="L788" s="336"/>
      <c r="M788" s="336"/>
      <c r="N788" s="336"/>
      <c r="O788" s="336"/>
      <c r="P788" s="336"/>
      <c r="Q788" s="336"/>
    </row>
    <row r="789" ht="15.75" customHeight="1">
      <c r="A789" s="336"/>
      <c r="B789" s="336"/>
      <c r="C789" s="336"/>
      <c r="D789" s="336"/>
      <c r="E789" s="336"/>
      <c r="F789" s="336"/>
      <c r="G789" s="336"/>
      <c r="H789" s="336"/>
      <c r="I789" s="336"/>
      <c r="J789" s="336"/>
      <c r="K789" s="336"/>
      <c r="L789" s="336"/>
      <c r="M789" s="336"/>
      <c r="N789" s="336"/>
      <c r="O789" s="336"/>
      <c r="P789" s="336"/>
      <c r="Q789" s="336"/>
    </row>
    <row r="790" ht="15.75" customHeight="1">
      <c r="A790" s="336"/>
      <c r="B790" s="336"/>
      <c r="C790" s="336"/>
      <c r="D790" s="336"/>
      <c r="E790" s="336"/>
      <c r="F790" s="336"/>
      <c r="G790" s="336"/>
      <c r="H790" s="336"/>
      <c r="I790" s="336"/>
      <c r="J790" s="336"/>
      <c r="K790" s="336"/>
      <c r="L790" s="336"/>
      <c r="M790" s="336"/>
      <c r="N790" s="336"/>
      <c r="O790" s="336"/>
      <c r="P790" s="336"/>
      <c r="Q790" s="336"/>
    </row>
    <row r="791" ht="15.75" customHeight="1">
      <c r="A791" s="336"/>
      <c r="B791" s="336"/>
      <c r="C791" s="336"/>
      <c r="D791" s="336"/>
      <c r="E791" s="336"/>
      <c r="F791" s="336"/>
      <c r="G791" s="336"/>
      <c r="H791" s="336"/>
      <c r="I791" s="336"/>
      <c r="J791" s="336"/>
      <c r="K791" s="336"/>
      <c r="L791" s="336"/>
      <c r="M791" s="336"/>
      <c r="N791" s="336"/>
      <c r="O791" s="336"/>
      <c r="P791" s="336"/>
      <c r="Q791" s="336"/>
    </row>
    <row r="792" ht="15.75" customHeight="1">
      <c r="A792" s="336"/>
      <c r="B792" s="336"/>
      <c r="C792" s="336"/>
      <c r="D792" s="336"/>
      <c r="E792" s="336"/>
      <c r="F792" s="336"/>
      <c r="G792" s="336"/>
      <c r="H792" s="336"/>
      <c r="I792" s="336"/>
      <c r="J792" s="336"/>
      <c r="K792" s="336"/>
      <c r="L792" s="336"/>
      <c r="M792" s="336"/>
      <c r="N792" s="336"/>
      <c r="O792" s="336"/>
      <c r="P792" s="336"/>
      <c r="Q792" s="336"/>
    </row>
    <row r="793" ht="15.75" customHeight="1">
      <c r="A793" s="336"/>
      <c r="B793" s="336"/>
      <c r="C793" s="336"/>
      <c r="D793" s="336"/>
      <c r="E793" s="336"/>
      <c r="F793" s="336"/>
      <c r="G793" s="336"/>
      <c r="H793" s="336"/>
      <c r="I793" s="336"/>
      <c r="J793" s="336"/>
      <c r="K793" s="336"/>
      <c r="L793" s="336"/>
      <c r="M793" s="336"/>
      <c r="N793" s="336"/>
      <c r="O793" s="336"/>
      <c r="P793" s="336"/>
      <c r="Q793" s="336"/>
    </row>
    <row r="794" ht="15.75" customHeight="1">
      <c r="A794" s="336"/>
      <c r="B794" s="336"/>
      <c r="C794" s="336"/>
      <c r="D794" s="336"/>
      <c r="E794" s="336"/>
      <c r="F794" s="336"/>
      <c r="G794" s="336"/>
      <c r="H794" s="336"/>
      <c r="I794" s="336"/>
      <c r="J794" s="336"/>
      <c r="K794" s="336"/>
      <c r="L794" s="336"/>
      <c r="M794" s="336"/>
      <c r="N794" s="336"/>
      <c r="O794" s="336"/>
      <c r="P794" s="336"/>
      <c r="Q794" s="336"/>
    </row>
    <row r="795" ht="15.75" customHeight="1">
      <c r="A795" s="336"/>
      <c r="B795" s="336"/>
      <c r="C795" s="336"/>
      <c r="D795" s="336"/>
      <c r="E795" s="336"/>
      <c r="F795" s="336"/>
      <c r="G795" s="336"/>
      <c r="H795" s="336"/>
      <c r="I795" s="336"/>
      <c r="J795" s="336"/>
      <c r="K795" s="336"/>
      <c r="L795" s="336"/>
      <c r="M795" s="336"/>
      <c r="N795" s="336"/>
      <c r="O795" s="336"/>
      <c r="P795" s="336"/>
      <c r="Q795" s="336"/>
    </row>
    <row r="796" ht="15.75" customHeight="1">
      <c r="A796" s="336"/>
      <c r="B796" s="336"/>
      <c r="C796" s="336"/>
      <c r="D796" s="336"/>
      <c r="E796" s="336"/>
      <c r="F796" s="336"/>
      <c r="G796" s="336"/>
      <c r="H796" s="336"/>
      <c r="I796" s="336"/>
      <c r="J796" s="336"/>
      <c r="K796" s="336"/>
      <c r="L796" s="336"/>
      <c r="M796" s="336"/>
      <c r="N796" s="336"/>
      <c r="O796" s="336"/>
      <c r="P796" s="336"/>
      <c r="Q796" s="336"/>
    </row>
    <row r="797" ht="15.75" customHeight="1">
      <c r="A797" s="336"/>
      <c r="B797" s="336"/>
      <c r="C797" s="336"/>
      <c r="D797" s="336"/>
      <c r="E797" s="336"/>
      <c r="F797" s="336"/>
      <c r="G797" s="336"/>
      <c r="H797" s="336"/>
      <c r="I797" s="336"/>
      <c r="J797" s="336"/>
      <c r="K797" s="336"/>
      <c r="L797" s="336"/>
      <c r="M797" s="336"/>
      <c r="N797" s="336"/>
      <c r="O797" s="336"/>
      <c r="P797" s="336"/>
      <c r="Q797" s="336"/>
    </row>
    <row r="798" ht="15.75" customHeight="1">
      <c r="A798" s="336"/>
      <c r="B798" s="336"/>
      <c r="C798" s="336"/>
      <c r="D798" s="336"/>
      <c r="E798" s="336"/>
      <c r="F798" s="336"/>
      <c r="G798" s="336"/>
      <c r="H798" s="336"/>
      <c r="I798" s="336"/>
      <c r="J798" s="336"/>
      <c r="K798" s="336"/>
      <c r="L798" s="336"/>
      <c r="M798" s="336"/>
      <c r="N798" s="336"/>
      <c r="O798" s="336"/>
      <c r="P798" s="336"/>
      <c r="Q798" s="336"/>
    </row>
    <row r="799" ht="15.75" customHeight="1">
      <c r="A799" s="336"/>
      <c r="B799" s="336"/>
      <c r="C799" s="336"/>
      <c r="D799" s="336"/>
      <c r="E799" s="336"/>
      <c r="F799" s="336"/>
      <c r="G799" s="336"/>
      <c r="H799" s="336"/>
      <c r="I799" s="336"/>
      <c r="J799" s="336"/>
      <c r="K799" s="336"/>
      <c r="L799" s="336"/>
      <c r="M799" s="336"/>
      <c r="N799" s="336"/>
      <c r="O799" s="336"/>
      <c r="P799" s="336"/>
      <c r="Q799" s="336"/>
    </row>
    <row r="800" ht="15.75" customHeight="1">
      <c r="A800" s="336"/>
      <c r="B800" s="336"/>
      <c r="C800" s="336"/>
      <c r="D800" s="336"/>
      <c r="E800" s="336"/>
      <c r="F800" s="336"/>
      <c r="G800" s="336"/>
      <c r="H800" s="336"/>
      <c r="I800" s="336"/>
      <c r="J800" s="336"/>
      <c r="K800" s="336"/>
      <c r="L800" s="336"/>
      <c r="M800" s="336"/>
      <c r="N800" s="336"/>
      <c r="O800" s="336"/>
      <c r="P800" s="336"/>
      <c r="Q800" s="336"/>
    </row>
    <row r="801" ht="15.75" customHeight="1">
      <c r="A801" s="336"/>
      <c r="B801" s="336"/>
      <c r="C801" s="336"/>
      <c r="D801" s="336"/>
      <c r="E801" s="336"/>
      <c r="F801" s="336"/>
      <c r="G801" s="336"/>
      <c r="H801" s="336"/>
      <c r="I801" s="336"/>
      <c r="J801" s="336"/>
      <c r="K801" s="336"/>
      <c r="L801" s="336"/>
      <c r="M801" s="336"/>
      <c r="N801" s="336"/>
      <c r="O801" s="336"/>
      <c r="P801" s="336"/>
      <c r="Q801" s="336"/>
    </row>
    <row r="802" ht="15.75" customHeight="1">
      <c r="A802" s="336"/>
      <c r="B802" s="336"/>
      <c r="C802" s="336"/>
      <c r="D802" s="336"/>
      <c r="E802" s="336"/>
      <c r="F802" s="336"/>
      <c r="G802" s="336"/>
      <c r="H802" s="336"/>
      <c r="I802" s="336"/>
      <c r="J802" s="336"/>
      <c r="K802" s="336"/>
      <c r="L802" s="336"/>
      <c r="M802" s="336"/>
      <c r="N802" s="336"/>
      <c r="O802" s="336"/>
      <c r="P802" s="336"/>
      <c r="Q802" s="336"/>
    </row>
    <row r="803" ht="15.75" customHeight="1">
      <c r="A803" s="336"/>
      <c r="B803" s="336"/>
      <c r="C803" s="336"/>
      <c r="D803" s="336"/>
      <c r="E803" s="336"/>
      <c r="F803" s="336"/>
      <c r="G803" s="336"/>
      <c r="H803" s="336"/>
      <c r="I803" s="336"/>
      <c r="J803" s="336"/>
      <c r="K803" s="336"/>
      <c r="L803" s="336"/>
      <c r="M803" s="336"/>
      <c r="N803" s="336"/>
      <c r="O803" s="336"/>
      <c r="P803" s="336"/>
      <c r="Q803" s="336"/>
    </row>
    <row r="804" ht="15.75" customHeight="1">
      <c r="A804" s="336"/>
      <c r="B804" s="336"/>
      <c r="C804" s="336"/>
      <c r="D804" s="336"/>
      <c r="E804" s="336"/>
      <c r="F804" s="336"/>
      <c r="G804" s="336"/>
      <c r="H804" s="336"/>
      <c r="I804" s="336"/>
      <c r="J804" s="336"/>
      <c r="K804" s="336"/>
      <c r="L804" s="336"/>
      <c r="M804" s="336"/>
      <c r="N804" s="336"/>
      <c r="O804" s="336"/>
      <c r="P804" s="336"/>
      <c r="Q804" s="336"/>
    </row>
    <row r="805" ht="15.75" customHeight="1">
      <c r="A805" s="336"/>
      <c r="B805" s="336"/>
      <c r="C805" s="336"/>
      <c r="D805" s="336"/>
      <c r="E805" s="336"/>
      <c r="F805" s="336"/>
      <c r="G805" s="336"/>
      <c r="H805" s="336"/>
      <c r="I805" s="336"/>
      <c r="J805" s="336"/>
      <c r="K805" s="336"/>
      <c r="L805" s="336"/>
      <c r="M805" s="336"/>
      <c r="N805" s="336"/>
      <c r="O805" s="336"/>
      <c r="P805" s="336"/>
      <c r="Q805" s="336"/>
    </row>
    <row r="806" ht="15.75" customHeight="1">
      <c r="A806" s="336"/>
      <c r="B806" s="336"/>
      <c r="C806" s="336"/>
      <c r="D806" s="336"/>
      <c r="E806" s="336"/>
      <c r="F806" s="336"/>
      <c r="G806" s="336"/>
      <c r="H806" s="336"/>
      <c r="I806" s="336"/>
      <c r="J806" s="336"/>
      <c r="K806" s="336"/>
      <c r="L806" s="336"/>
      <c r="M806" s="336"/>
      <c r="N806" s="336"/>
      <c r="O806" s="336"/>
      <c r="P806" s="336"/>
      <c r="Q806" s="336"/>
    </row>
    <row r="807" ht="15.75" customHeight="1">
      <c r="A807" s="336"/>
      <c r="B807" s="336"/>
      <c r="C807" s="336"/>
      <c r="D807" s="336"/>
      <c r="E807" s="336"/>
      <c r="F807" s="336"/>
      <c r="G807" s="336"/>
      <c r="H807" s="336"/>
      <c r="I807" s="336"/>
      <c r="J807" s="336"/>
      <c r="K807" s="336"/>
      <c r="L807" s="336"/>
      <c r="M807" s="336"/>
      <c r="N807" s="336"/>
      <c r="O807" s="336"/>
      <c r="P807" s="336"/>
      <c r="Q807" s="336"/>
    </row>
    <row r="808" ht="15.75" customHeight="1">
      <c r="A808" s="336"/>
      <c r="B808" s="336"/>
      <c r="C808" s="336"/>
      <c r="D808" s="336"/>
      <c r="E808" s="336"/>
      <c r="F808" s="336"/>
      <c r="G808" s="336"/>
      <c r="H808" s="336"/>
      <c r="I808" s="336"/>
      <c r="J808" s="336"/>
      <c r="K808" s="336"/>
      <c r="L808" s="336"/>
      <c r="M808" s="336"/>
      <c r="N808" s="336"/>
      <c r="O808" s="336"/>
      <c r="P808" s="336"/>
      <c r="Q808" s="336"/>
    </row>
    <row r="809" ht="15.75" customHeight="1">
      <c r="A809" s="336"/>
      <c r="B809" s="336"/>
      <c r="C809" s="336"/>
      <c r="D809" s="336"/>
      <c r="E809" s="336"/>
      <c r="F809" s="336"/>
      <c r="G809" s="336"/>
      <c r="H809" s="336"/>
      <c r="I809" s="336"/>
      <c r="J809" s="336"/>
      <c r="K809" s="336"/>
      <c r="L809" s="336"/>
      <c r="M809" s="336"/>
      <c r="N809" s="336"/>
      <c r="O809" s="336"/>
      <c r="P809" s="336"/>
      <c r="Q809" s="336"/>
    </row>
    <row r="810" ht="15.75" customHeight="1">
      <c r="A810" s="336"/>
      <c r="B810" s="336"/>
      <c r="C810" s="336"/>
      <c r="D810" s="336"/>
      <c r="E810" s="336"/>
      <c r="F810" s="336"/>
      <c r="G810" s="336"/>
      <c r="H810" s="336"/>
      <c r="I810" s="336"/>
      <c r="J810" s="336"/>
      <c r="K810" s="336"/>
      <c r="L810" s="336"/>
      <c r="M810" s="336"/>
      <c r="N810" s="336"/>
      <c r="O810" s="336"/>
      <c r="P810" s="336"/>
      <c r="Q810" s="336"/>
    </row>
    <row r="811" ht="15.75" customHeight="1">
      <c r="A811" s="336"/>
      <c r="B811" s="336"/>
      <c r="C811" s="336"/>
      <c r="D811" s="336"/>
      <c r="E811" s="336"/>
      <c r="F811" s="336"/>
      <c r="G811" s="336"/>
      <c r="H811" s="336"/>
      <c r="I811" s="336"/>
      <c r="J811" s="336"/>
      <c r="K811" s="336"/>
      <c r="L811" s="336"/>
      <c r="M811" s="336"/>
      <c r="N811" s="336"/>
      <c r="O811" s="336"/>
      <c r="P811" s="336"/>
      <c r="Q811" s="336"/>
    </row>
    <row r="812" ht="15.75" customHeight="1">
      <c r="A812" s="336"/>
      <c r="B812" s="336"/>
      <c r="C812" s="336"/>
      <c r="D812" s="336"/>
      <c r="E812" s="336"/>
      <c r="F812" s="336"/>
      <c r="G812" s="336"/>
      <c r="H812" s="336"/>
      <c r="I812" s="336"/>
      <c r="J812" s="336"/>
      <c r="K812" s="336"/>
      <c r="L812" s="336"/>
      <c r="M812" s="336"/>
      <c r="N812" s="336"/>
      <c r="O812" s="336"/>
      <c r="P812" s="336"/>
      <c r="Q812" s="336"/>
    </row>
    <row r="813" ht="15.75" customHeight="1">
      <c r="A813" s="336"/>
      <c r="B813" s="336"/>
      <c r="C813" s="336"/>
      <c r="D813" s="336"/>
      <c r="E813" s="336"/>
      <c r="F813" s="336"/>
      <c r="G813" s="336"/>
      <c r="H813" s="336"/>
      <c r="I813" s="336"/>
      <c r="J813" s="336"/>
      <c r="K813" s="336"/>
      <c r="L813" s="336"/>
      <c r="M813" s="336"/>
      <c r="N813" s="336"/>
      <c r="O813" s="336"/>
      <c r="P813" s="336"/>
      <c r="Q813" s="336"/>
    </row>
    <row r="814" ht="15.75" customHeight="1">
      <c r="A814" s="336"/>
      <c r="B814" s="336"/>
      <c r="C814" s="336"/>
      <c r="D814" s="336"/>
      <c r="E814" s="336"/>
      <c r="F814" s="336"/>
      <c r="G814" s="336"/>
      <c r="H814" s="336"/>
      <c r="I814" s="336"/>
      <c r="J814" s="336"/>
      <c r="K814" s="336"/>
      <c r="L814" s="336"/>
      <c r="M814" s="336"/>
      <c r="N814" s="336"/>
      <c r="O814" s="336"/>
      <c r="P814" s="336"/>
      <c r="Q814" s="336"/>
    </row>
    <row r="815" ht="15.75" customHeight="1">
      <c r="A815" s="336"/>
      <c r="B815" s="336"/>
      <c r="C815" s="336"/>
      <c r="D815" s="336"/>
      <c r="E815" s="336"/>
      <c r="F815" s="336"/>
      <c r="G815" s="336"/>
      <c r="H815" s="336"/>
      <c r="I815" s="336"/>
      <c r="J815" s="336"/>
      <c r="K815" s="336"/>
      <c r="L815" s="336"/>
      <c r="M815" s="336"/>
      <c r="N815" s="336"/>
      <c r="O815" s="336"/>
      <c r="P815" s="336"/>
      <c r="Q815" s="336"/>
    </row>
    <row r="816" ht="15.75" customHeight="1">
      <c r="A816" s="336"/>
      <c r="B816" s="336"/>
      <c r="C816" s="336"/>
      <c r="D816" s="336"/>
      <c r="E816" s="336"/>
      <c r="F816" s="336"/>
      <c r="G816" s="336"/>
      <c r="H816" s="336"/>
      <c r="I816" s="336"/>
      <c r="J816" s="336"/>
      <c r="K816" s="336"/>
      <c r="L816" s="336"/>
      <c r="M816" s="336"/>
      <c r="N816" s="336"/>
      <c r="O816" s="336"/>
      <c r="P816" s="336"/>
      <c r="Q816" s="336"/>
    </row>
    <row r="817" ht="15.75" customHeight="1">
      <c r="A817" s="336"/>
      <c r="B817" s="336"/>
      <c r="C817" s="336"/>
      <c r="D817" s="336"/>
      <c r="E817" s="336"/>
      <c r="F817" s="336"/>
      <c r="G817" s="336"/>
      <c r="H817" s="336"/>
      <c r="I817" s="336"/>
      <c r="J817" s="336"/>
      <c r="K817" s="336"/>
      <c r="L817" s="336"/>
      <c r="M817" s="336"/>
      <c r="N817" s="336"/>
      <c r="O817" s="336"/>
      <c r="P817" s="336"/>
      <c r="Q817" s="336"/>
    </row>
    <row r="818" ht="15.75" customHeight="1">
      <c r="A818" s="336"/>
      <c r="B818" s="336"/>
      <c r="C818" s="336"/>
      <c r="D818" s="336"/>
      <c r="E818" s="336"/>
      <c r="F818" s="336"/>
      <c r="G818" s="336"/>
      <c r="H818" s="336"/>
      <c r="I818" s="336"/>
      <c r="J818" s="336"/>
      <c r="K818" s="336"/>
      <c r="L818" s="336"/>
      <c r="M818" s="336"/>
      <c r="N818" s="336"/>
      <c r="O818" s="336"/>
      <c r="P818" s="336"/>
      <c r="Q818" s="336"/>
    </row>
    <row r="819" ht="15.75" customHeight="1">
      <c r="A819" s="336"/>
      <c r="B819" s="336"/>
      <c r="C819" s="336"/>
      <c r="D819" s="336"/>
      <c r="E819" s="336"/>
      <c r="F819" s="336"/>
      <c r="G819" s="336"/>
      <c r="H819" s="336"/>
      <c r="I819" s="336"/>
      <c r="J819" s="336"/>
      <c r="K819" s="336"/>
      <c r="L819" s="336"/>
      <c r="M819" s="336"/>
      <c r="N819" s="336"/>
      <c r="O819" s="336"/>
      <c r="P819" s="336"/>
      <c r="Q819" s="336"/>
    </row>
    <row r="820" ht="15.75" customHeight="1">
      <c r="A820" s="336"/>
      <c r="B820" s="336"/>
      <c r="C820" s="336"/>
      <c r="D820" s="336"/>
      <c r="E820" s="336"/>
      <c r="F820" s="336"/>
      <c r="G820" s="336"/>
      <c r="H820" s="336"/>
      <c r="I820" s="336"/>
      <c r="J820" s="336"/>
      <c r="K820" s="336"/>
      <c r="L820" s="336"/>
      <c r="M820" s="336"/>
      <c r="N820" s="336"/>
      <c r="O820" s="336"/>
      <c r="P820" s="336"/>
      <c r="Q820" s="336"/>
    </row>
    <row r="821" ht="15.75" customHeight="1">
      <c r="A821" s="336"/>
      <c r="B821" s="336"/>
      <c r="C821" s="336"/>
      <c r="D821" s="336"/>
      <c r="E821" s="336"/>
      <c r="F821" s="336"/>
      <c r="G821" s="336"/>
      <c r="H821" s="336"/>
      <c r="I821" s="336"/>
      <c r="J821" s="336"/>
      <c r="K821" s="336"/>
      <c r="L821" s="336"/>
      <c r="M821" s="336"/>
      <c r="N821" s="336"/>
      <c r="O821" s="336"/>
      <c r="P821" s="336"/>
      <c r="Q821" s="336"/>
    </row>
    <row r="822" ht="15.75" customHeight="1">
      <c r="A822" s="336"/>
      <c r="B822" s="336"/>
      <c r="C822" s="336"/>
      <c r="D822" s="336"/>
      <c r="E822" s="336"/>
      <c r="F822" s="336"/>
      <c r="G822" s="336"/>
      <c r="H822" s="336"/>
      <c r="I822" s="336"/>
      <c r="J822" s="336"/>
      <c r="K822" s="336"/>
      <c r="L822" s="336"/>
      <c r="M822" s="336"/>
      <c r="N822" s="336"/>
      <c r="O822" s="336"/>
      <c r="P822" s="336"/>
      <c r="Q822" s="336"/>
    </row>
    <row r="823" ht="15.75" customHeight="1">
      <c r="A823" s="336"/>
      <c r="B823" s="336"/>
      <c r="C823" s="336"/>
      <c r="D823" s="336"/>
      <c r="E823" s="336"/>
      <c r="F823" s="336"/>
      <c r="G823" s="336"/>
      <c r="H823" s="336"/>
      <c r="I823" s="336"/>
      <c r="J823" s="336"/>
      <c r="K823" s="336"/>
      <c r="L823" s="336"/>
      <c r="M823" s="336"/>
      <c r="N823" s="336"/>
      <c r="O823" s="336"/>
      <c r="P823" s="336"/>
      <c r="Q823" s="336"/>
    </row>
    <row r="824" ht="15.75" customHeight="1">
      <c r="A824" s="336"/>
      <c r="B824" s="336"/>
      <c r="C824" s="336"/>
      <c r="D824" s="336"/>
      <c r="E824" s="336"/>
      <c r="F824" s="336"/>
      <c r="G824" s="336"/>
      <c r="H824" s="336"/>
      <c r="I824" s="336"/>
      <c r="J824" s="336"/>
      <c r="K824" s="336"/>
      <c r="L824" s="336"/>
      <c r="M824" s="336"/>
      <c r="N824" s="336"/>
      <c r="O824" s="336"/>
      <c r="P824" s="336"/>
      <c r="Q824" s="336"/>
    </row>
    <row r="825" ht="15.75" customHeight="1">
      <c r="A825" s="336"/>
      <c r="B825" s="336"/>
      <c r="C825" s="336"/>
      <c r="D825" s="336"/>
      <c r="E825" s="336"/>
      <c r="F825" s="336"/>
      <c r="G825" s="336"/>
      <c r="H825" s="336"/>
      <c r="I825" s="336"/>
      <c r="J825" s="336"/>
      <c r="K825" s="336"/>
      <c r="L825" s="336"/>
      <c r="M825" s="336"/>
      <c r="N825" s="336"/>
      <c r="O825" s="336"/>
      <c r="P825" s="336"/>
      <c r="Q825" s="336"/>
    </row>
    <row r="826" ht="15.75" customHeight="1">
      <c r="A826" s="336"/>
      <c r="B826" s="336"/>
      <c r="C826" s="336"/>
      <c r="D826" s="336"/>
      <c r="E826" s="336"/>
      <c r="F826" s="336"/>
      <c r="G826" s="336"/>
      <c r="H826" s="336"/>
      <c r="I826" s="336"/>
      <c r="J826" s="336"/>
      <c r="K826" s="336"/>
      <c r="L826" s="336"/>
      <c r="M826" s="336"/>
      <c r="N826" s="336"/>
      <c r="O826" s="336"/>
      <c r="P826" s="336"/>
      <c r="Q826" s="336"/>
    </row>
    <row r="827" ht="15.75" customHeight="1">
      <c r="A827" s="336"/>
      <c r="B827" s="336"/>
      <c r="C827" s="336"/>
      <c r="D827" s="336"/>
      <c r="E827" s="336"/>
      <c r="F827" s="336"/>
      <c r="G827" s="336"/>
      <c r="H827" s="336"/>
      <c r="I827" s="336"/>
      <c r="J827" s="336"/>
      <c r="K827" s="336"/>
      <c r="L827" s="336"/>
      <c r="M827" s="336"/>
      <c r="N827" s="336"/>
      <c r="O827" s="336"/>
      <c r="P827" s="336"/>
      <c r="Q827" s="336"/>
    </row>
    <row r="828" ht="15.75" customHeight="1">
      <c r="A828" s="336"/>
      <c r="B828" s="336"/>
      <c r="C828" s="336"/>
      <c r="D828" s="336"/>
      <c r="E828" s="336"/>
      <c r="F828" s="336"/>
      <c r="G828" s="336"/>
      <c r="H828" s="336"/>
      <c r="I828" s="336"/>
      <c r="J828" s="336"/>
      <c r="K828" s="336"/>
      <c r="L828" s="336"/>
      <c r="M828" s="336"/>
      <c r="N828" s="336"/>
      <c r="O828" s="336"/>
      <c r="P828" s="336"/>
      <c r="Q828" s="336"/>
    </row>
    <row r="829" ht="15.75" customHeight="1">
      <c r="A829" s="336"/>
      <c r="B829" s="336"/>
      <c r="C829" s="336"/>
      <c r="D829" s="336"/>
      <c r="E829" s="336"/>
      <c r="F829" s="336"/>
      <c r="G829" s="336"/>
      <c r="H829" s="336"/>
      <c r="I829" s="336"/>
      <c r="J829" s="336"/>
      <c r="K829" s="336"/>
      <c r="L829" s="336"/>
      <c r="M829" s="336"/>
      <c r="N829" s="336"/>
      <c r="O829" s="336"/>
      <c r="P829" s="336"/>
      <c r="Q829" s="336"/>
    </row>
    <row r="830" ht="15.75" customHeight="1">
      <c r="A830" s="336"/>
      <c r="B830" s="336"/>
      <c r="C830" s="336"/>
      <c r="D830" s="336"/>
      <c r="E830" s="336"/>
      <c r="F830" s="336"/>
      <c r="G830" s="336"/>
      <c r="H830" s="336"/>
      <c r="I830" s="336"/>
      <c r="J830" s="336"/>
      <c r="K830" s="336"/>
      <c r="L830" s="336"/>
      <c r="M830" s="336"/>
      <c r="N830" s="336"/>
      <c r="O830" s="336"/>
      <c r="P830" s="336"/>
      <c r="Q830" s="336"/>
    </row>
    <row r="831" ht="15.75" customHeight="1">
      <c r="A831" s="336"/>
      <c r="B831" s="336"/>
      <c r="C831" s="336"/>
      <c r="D831" s="336"/>
      <c r="E831" s="336"/>
      <c r="F831" s="336"/>
      <c r="G831" s="336"/>
      <c r="H831" s="336"/>
      <c r="I831" s="336"/>
      <c r="J831" s="336"/>
      <c r="K831" s="336"/>
      <c r="L831" s="336"/>
      <c r="M831" s="336"/>
      <c r="N831" s="336"/>
      <c r="O831" s="336"/>
      <c r="P831" s="336"/>
      <c r="Q831" s="336"/>
    </row>
    <row r="832" ht="15.75" customHeight="1">
      <c r="A832" s="336"/>
      <c r="B832" s="336"/>
      <c r="C832" s="336"/>
      <c r="D832" s="336"/>
      <c r="E832" s="336"/>
      <c r="F832" s="336"/>
      <c r="G832" s="336"/>
      <c r="H832" s="336"/>
      <c r="I832" s="336"/>
      <c r="J832" s="336"/>
      <c r="K832" s="336"/>
      <c r="L832" s="336"/>
      <c r="M832" s="336"/>
      <c r="N832" s="336"/>
      <c r="O832" s="336"/>
      <c r="P832" s="336"/>
      <c r="Q832" s="336"/>
    </row>
    <row r="833" ht="15.75" customHeight="1">
      <c r="A833" s="336"/>
      <c r="B833" s="336"/>
      <c r="C833" s="336"/>
      <c r="D833" s="336"/>
      <c r="E833" s="336"/>
      <c r="F833" s="336"/>
      <c r="G833" s="336"/>
      <c r="H833" s="336"/>
      <c r="I833" s="336"/>
      <c r="J833" s="336"/>
      <c r="K833" s="336"/>
      <c r="L833" s="336"/>
      <c r="M833" s="336"/>
      <c r="N833" s="336"/>
      <c r="O833" s="336"/>
      <c r="P833" s="336"/>
      <c r="Q833" s="336"/>
    </row>
    <row r="834" ht="15.75" customHeight="1">
      <c r="A834" s="336"/>
      <c r="B834" s="336"/>
      <c r="C834" s="336"/>
      <c r="D834" s="336"/>
      <c r="E834" s="336"/>
      <c r="F834" s="336"/>
      <c r="G834" s="336"/>
      <c r="H834" s="336"/>
      <c r="I834" s="336"/>
      <c r="J834" s="336"/>
      <c r="K834" s="336"/>
      <c r="L834" s="336"/>
      <c r="M834" s="336"/>
      <c r="N834" s="336"/>
      <c r="O834" s="336"/>
      <c r="P834" s="336"/>
      <c r="Q834" s="336"/>
    </row>
    <row r="835" ht="15.75" customHeight="1">
      <c r="A835" s="336"/>
      <c r="B835" s="336"/>
      <c r="C835" s="336"/>
      <c r="D835" s="336"/>
      <c r="E835" s="336"/>
      <c r="F835" s="336"/>
      <c r="G835" s="336"/>
      <c r="H835" s="336"/>
      <c r="I835" s="336"/>
      <c r="J835" s="336"/>
      <c r="K835" s="336"/>
      <c r="L835" s="336"/>
      <c r="M835" s="336"/>
      <c r="N835" s="336"/>
      <c r="O835" s="336"/>
      <c r="P835" s="336"/>
      <c r="Q835" s="336"/>
    </row>
    <row r="836" ht="15.75" customHeight="1">
      <c r="A836" s="336"/>
      <c r="B836" s="336"/>
      <c r="C836" s="336"/>
      <c r="D836" s="336"/>
      <c r="E836" s="336"/>
      <c r="F836" s="336"/>
      <c r="G836" s="336"/>
      <c r="H836" s="336"/>
      <c r="I836" s="336"/>
      <c r="J836" s="336"/>
      <c r="K836" s="336"/>
      <c r="L836" s="336"/>
      <c r="M836" s="336"/>
      <c r="N836" s="336"/>
      <c r="O836" s="336"/>
      <c r="P836" s="336"/>
      <c r="Q836" s="336"/>
    </row>
    <row r="837" ht="15.75" customHeight="1">
      <c r="A837" s="336"/>
      <c r="B837" s="336"/>
      <c r="C837" s="336"/>
      <c r="D837" s="336"/>
      <c r="E837" s="336"/>
      <c r="F837" s="336"/>
      <c r="G837" s="336"/>
      <c r="H837" s="336"/>
      <c r="I837" s="336"/>
      <c r="J837" s="336"/>
      <c r="K837" s="336"/>
      <c r="L837" s="336"/>
      <c r="M837" s="336"/>
      <c r="N837" s="336"/>
      <c r="O837" s="336"/>
      <c r="P837" s="336"/>
      <c r="Q837" s="336"/>
    </row>
    <row r="838" ht="15.75" customHeight="1">
      <c r="A838" s="336"/>
      <c r="B838" s="336"/>
      <c r="C838" s="336"/>
      <c r="D838" s="336"/>
      <c r="E838" s="336"/>
      <c r="F838" s="336"/>
      <c r="G838" s="336"/>
      <c r="H838" s="336"/>
      <c r="I838" s="336"/>
      <c r="J838" s="336"/>
      <c r="K838" s="336"/>
      <c r="L838" s="336"/>
      <c r="M838" s="336"/>
      <c r="N838" s="336"/>
      <c r="O838" s="336"/>
      <c r="P838" s="336"/>
      <c r="Q838" s="336"/>
    </row>
    <row r="839" ht="15.75" customHeight="1">
      <c r="A839" s="336"/>
      <c r="B839" s="336"/>
      <c r="C839" s="336"/>
      <c r="D839" s="336"/>
      <c r="E839" s="336"/>
      <c r="F839" s="336"/>
      <c r="G839" s="336"/>
      <c r="H839" s="336"/>
      <c r="I839" s="336"/>
      <c r="J839" s="336"/>
      <c r="K839" s="336"/>
      <c r="L839" s="336"/>
      <c r="M839" s="336"/>
      <c r="N839" s="336"/>
      <c r="O839" s="336"/>
      <c r="P839" s="336"/>
      <c r="Q839" s="336"/>
    </row>
    <row r="840" ht="15.75" customHeight="1">
      <c r="A840" s="336"/>
      <c r="B840" s="336"/>
      <c r="C840" s="336"/>
      <c r="D840" s="336"/>
      <c r="E840" s="336"/>
      <c r="F840" s="336"/>
      <c r="G840" s="336"/>
      <c r="H840" s="336"/>
      <c r="I840" s="336"/>
      <c r="J840" s="336"/>
      <c r="K840" s="336"/>
      <c r="L840" s="336"/>
      <c r="M840" s="336"/>
      <c r="N840" s="336"/>
      <c r="O840" s="336"/>
      <c r="P840" s="336"/>
      <c r="Q840" s="336"/>
    </row>
    <row r="841" ht="15.75" customHeight="1">
      <c r="A841" s="336"/>
      <c r="B841" s="336"/>
      <c r="C841" s="336"/>
      <c r="D841" s="336"/>
      <c r="E841" s="336"/>
      <c r="F841" s="336"/>
      <c r="G841" s="336"/>
      <c r="H841" s="336"/>
      <c r="I841" s="336"/>
      <c r="J841" s="336"/>
      <c r="K841" s="336"/>
      <c r="L841" s="336"/>
      <c r="M841" s="336"/>
      <c r="N841" s="336"/>
      <c r="O841" s="336"/>
      <c r="P841" s="336"/>
      <c r="Q841" s="336"/>
    </row>
    <row r="842" ht="15.75" customHeight="1">
      <c r="A842" s="336"/>
      <c r="B842" s="336"/>
      <c r="C842" s="336"/>
      <c r="D842" s="336"/>
      <c r="E842" s="336"/>
      <c r="F842" s="336"/>
      <c r="G842" s="336"/>
      <c r="H842" s="336"/>
      <c r="I842" s="336"/>
      <c r="J842" s="336"/>
      <c r="K842" s="336"/>
      <c r="L842" s="336"/>
      <c r="M842" s="336"/>
      <c r="N842" s="336"/>
      <c r="O842" s="336"/>
      <c r="P842" s="336"/>
      <c r="Q842" s="336"/>
    </row>
    <row r="843" ht="15.75" customHeight="1">
      <c r="A843" s="336"/>
      <c r="B843" s="336"/>
      <c r="C843" s="336"/>
      <c r="D843" s="336"/>
      <c r="E843" s="336"/>
      <c r="F843" s="336"/>
      <c r="G843" s="336"/>
      <c r="H843" s="336"/>
      <c r="I843" s="336"/>
      <c r="J843" s="336"/>
      <c r="K843" s="336"/>
      <c r="L843" s="336"/>
      <c r="M843" s="336"/>
      <c r="N843" s="336"/>
      <c r="O843" s="336"/>
      <c r="P843" s="336"/>
      <c r="Q843" s="336"/>
    </row>
    <row r="844" ht="15.75" customHeight="1">
      <c r="A844" s="336"/>
      <c r="B844" s="336"/>
      <c r="C844" s="336"/>
      <c r="D844" s="336"/>
      <c r="E844" s="336"/>
      <c r="F844" s="336"/>
      <c r="G844" s="336"/>
      <c r="H844" s="336"/>
      <c r="I844" s="336"/>
      <c r="J844" s="336"/>
      <c r="K844" s="336"/>
      <c r="L844" s="336"/>
      <c r="M844" s="336"/>
      <c r="N844" s="336"/>
      <c r="O844" s="336"/>
      <c r="P844" s="336"/>
      <c r="Q844" s="336"/>
    </row>
    <row r="845" ht="15.75" customHeight="1">
      <c r="A845" s="336"/>
      <c r="B845" s="336"/>
      <c r="C845" s="336"/>
      <c r="D845" s="336"/>
      <c r="E845" s="336"/>
      <c r="F845" s="336"/>
      <c r="G845" s="336"/>
      <c r="H845" s="336"/>
      <c r="I845" s="336"/>
      <c r="J845" s="336"/>
      <c r="K845" s="336"/>
      <c r="L845" s="336"/>
      <c r="M845" s="336"/>
      <c r="N845" s="336"/>
      <c r="O845" s="336"/>
      <c r="P845" s="336"/>
      <c r="Q845" s="336"/>
    </row>
    <row r="846" ht="15.75" customHeight="1">
      <c r="A846" s="336"/>
      <c r="B846" s="336"/>
      <c r="C846" s="336"/>
      <c r="D846" s="336"/>
      <c r="E846" s="336"/>
      <c r="F846" s="336"/>
      <c r="G846" s="336"/>
      <c r="H846" s="336"/>
      <c r="I846" s="336"/>
      <c r="J846" s="336"/>
      <c r="K846" s="336"/>
      <c r="L846" s="336"/>
      <c r="M846" s="336"/>
      <c r="N846" s="336"/>
      <c r="O846" s="336"/>
      <c r="P846" s="336"/>
      <c r="Q846" s="336"/>
    </row>
    <row r="847" ht="15.75" customHeight="1">
      <c r="A847" s="336"/>
      <c r="B847" s="336"/>
      <c r="C847" s="336"/>
      <c r="D847" s="336"/>
      <c r="E847" s="336"/>
      <c r="F847" s="336"/>
      <c r="G847" s="336"/>
      <c r="H847" s="336"/>
      <c r="I847" s="336"/>
      <c r="J847" s="336"/>
      <c r="K847" s="336"/>
      <c r="L847" s="336"/>
      <c r="M847" s="336"/>
      <c r="N847" s="336"/>
      <c r="O847" s="336"/>
      <c r="P847" s="336"/>
      <c r="Q847" s="336"/>
    </row>
    <row r="848" ht="15.75" customHeight="1">
      <c r="A848" s="336"/>
      <c r="B848" s="336"/>
      <c r="C848" s="336"/>
      <c r="D848" s="336"/>
      <c r="E848" s="336"/>
      <c r="F848" s="336"/>
      <c r="G848" s="336"/>
      <c r="H848" s="336"/>
      <c r="I848" s="336"/>
      <c r="J848" s="336"/>
      <c r="K848" s="336"/>
      <c r="L848" s="336"/>
      <c r="M848" s="336"/>
      <c r="N848" s="336"/>
      <c r="O848" s="336"/>
      <c r="P848" s="336"/>
      <c r="Q848" s="336"/>
    </row>
    <row r="849" ht="15.75" customHeight="1">
      <c r="A849" s="336"/>
      <c r="B849" s="336"/>
      <c r="C849" s="336"/>
      <c r="D849" s="336"/>
      <c r="E849" s="336"/>
      <c r="F849" s="336"/>
      <c r="G849" s="336"/>
      <c r="H849" s="336"/>
      <c r="I849" s="336"/>
      <c r="J849" s="336"/>
      <c r="K849" s="336"/>
      <c r="L849" s="336"/>
      <c r="M849" s="336"/>
      <c r="N849" s="336"/>
      <c r="O849" s="336"/>
      <c r="P849" s="336"/>
      <c r="Q849" s="336"/>
    </row>
    <row r="850" ht="15.75" customHeight="1">
      <c r="A850" s="336"/>
      <c r="B850" s="336"/>
      <c r="C850" s="336"/>
      <c r="D850" s="336"/>
      <c r="E850" s="336"/>
      <c r="F850" s="336"/>
      <c r="G850" s="336"/>
      <c r="H850" s="336"/>
      <c r="I850" s="336"/>
      <c r="J850" s="336"/>
      <c r="K850" s="336"/>
      <c r="L850" s="336"/>
      <c r="M850" s="336"/>
      <c r="N850" s="336"/>
      <c r="O850" s="336"/>
      <c r="P850" s="336"/>
      <c r="Q850" s="336"/>
    </row>
    <row r="851" ht="15.75" customHeight="1">
      <c r="A851" s="336"/>
      <c r="B851" s="336"/>
      <c r="C851" s="336"/>
      <c r="D851" s="336"/>
      <c r="E851" s="336"/>
      <c r="F851" s="336"/>
      <c r="G851" s="336"/>
      <c r="H851" s="336"/>
      <c r="I851" s="336"/>
      <c r="J851" s="336"/>
      <c r="K851" s="336"/>
      <c r="L851" s="336"/>
      <c r="M851" s="336"/>
      <c r="N851" s="336"/>
      <c r="O851" s="336"/>
      <c r="P851" s="336"/>
      <c r="Q851" s="336"/>
    </row>
    <row r="852" ht="15.75" customHeight="1">
      <c r="A852" s="336"/>
      <c r="B852" s="336"/>
      <c r="C852" s="336"/>
      <c r="D852" s="336"/>
      <c r="E852" s="336"/>
      <c r="F852" s="336"/>
      <c r="G852" s="336"/>
      <c r="H852" s="336"/>
      <c r="I852" s="336"/>
      <c r="J852" s="336"/>
      <c r="K852" s="336"/>
      <c r="L852" s="336"/>
      <c r="M852" s="336"/>
      <c r="N852" s="336"/>
      <c r="O852" s="336"/>
      <c r="P852" s="336"/>
      <c r="Q852" s="336"/>
    </row>
    <row r="853" ht="15.75" customHeight="1">
      <c r="A853" s="336"/>
      <c r="B853" s="336"/>
      <c r="C853" s="336"/>
      <c r="D853" s="336"/>
      <c r="E853" s="336"/>
      <c r="F853" s="336"/>
      <c r="G853" s="336"/>
      <c r="H853" s="336"/>
      <c r="I853" s="336"/>
      <c r="J853" s="336"/>
      <c r="K853" s="336"/>
      <c r="L853" s="336"/>
      <c r="M853" s="336"/>
      <c r="N853" s="336"/>
      <c r="O853" s="336"/>
      <c r="P853" s="336"/>
      <c r="Q853" s="336"/>
    </row>
    <row r="854" ht="15.75" customHeight="1">
      <c r="A854" s="336"/>
      <c r="B854" s="336"/>
      <c r="C854" s="336"/>
      <c r="D854" s="336"/>
      <c r="E854" s="336"/>
      <c r="F854" s="336"/>
      <c r="G854" s="336"/>
      <c r="H854" s="336"/>
      <c r="I854" s="336"/>
      <c r="J854" s="336"/>
      <c r="K854" s="336"/>
      <c r="L854" s="336"/>
      <c r="M854" s="336"/>
      <c r="N854" s="336"/>
      <c r="O854" s="336"/>
      <c r="P854" s="336"/>
      <c r="Q854" s="336"/>
    </row>
    <row r="855" ht="15.75" customHeight="1">
      <c r="A855" s="336"/>
      <c r="B855" s="336"/>
      <c r="C855" s="336"/>
      <c r="D855" s="336"/>
      <c r="E855" s="336"/>
      <c r="F855" s="336"/>
      <c r="G855" s="336"/>
      <c r="H855" s="336"/>
      <c r="I855" s="336"/>
      <c r="J855" s="336"/>
      <c r="K855" s="336"/>
      <c r="L855" s="336"/>
      <c r="M855" s="336"/>
      <c r="N855" s="336"/>
      <c r="O855" s="336"/>
      <c r="P855" s="336"/>
      <c r="Q855" s="336"/>
    </row>
    <row r="856" ht="15.75" customHeight="1">
      <c r="A856" s="336"/>
      <c r="B856" s="336"/>
      <c r="C856" s="336"/>
      <c r="D856" s="336"/>
      <c r="E856" s="336"/>
      <c r="F856" s="336"/>
      <c r="G856" s="336"/>
      <c r="H856" s="336"/>
      <c r="I856" s="336"/>
      <c r="J856" s="336"/>
      <c r="K856" s="336"/>
      <c r="L856" s="336"/>
      <c r="M856" s="336"/>
      <c r="N856" s="336"/>
      <c r="O856" s="336"/>
      <c r="P856" s="336"/>
      <c r="Q856" s="336"/>
    </row>
    <row r="857" ht="15.75" customHeight="1">
      <c r="A857" s="336"/>
      <c r="B857" s="336"/>
      <c r="C857" s="336"/>
      <c r="D857" s="336"/>
      <c r="E857" s="336"/>
      <c r="F857" s="336"/>
      <c r="G857" s="336"/>
      <c r="H857" s="336"/>
      <c r="I857" s="336"/>
      <c r="J857" s="336"/>
      <c r="K857" s="336"/>
      <c r="L857" s="336"/>
      <c r="M857" s="336"/>
      <c r="N857" s="336"/>
      <c r="O857" s="336"/>
      <c r="P857" s="336"/>
      <c r="Q857" s="336"/>
    </row>
    <row r="858" ht="15.75" customHeight="1">
      <c r="A858" s="336"/>
      <c r="B858" s="336"/>
      <c r="C858" s="336"/>
      <c r="D858" s="336"/>
      <c r="E858" s="336"/>
      <c r="F858" s="336"/>
      <c r="G858" s="336"/>
      <c r="H858" s="336"/>
      <c r="I858" s="336"/>
      <c r="J858" s="336"/>
      <c r="K858" s="336"/>
      <c r="L858" s="336"/>
      <c r="M858" s="336"/>
      <c r="N858" s="336"/>
      <c r="O858" s="336"/>
      <c r="P858" s="336"/>
      <c r="Q858" s="336"/>
    </row>
    <row r="859" ht="15.75" customHeight="1">
      <c r="A859" s="336"/>
      <c r="B859" s="336"/>
      <c r="C859" s="336"/>
      <c r="D859" s="336"/>
      <c r="E859" s="336"/>
      <c r="F859" s="336"/>
      <c r="G859" s="336"/>
      <c r="H859" s="336"/>
      <c r="I859" s="336"/>
      <c r="J859" s="336"/>
      <c r="K859" s="336"/>
      <c r="L859" s="336"/>
      <c r="M859" s="336"/>
      <c r="N859" s="336"/>
      <c r="O859" s="336"/>
      <c r="P859" s="336"/>
      <c r="Q859" s="336"/>
    </row>
    <row r="860" ht="15.75" customHeight="1">
      <c r="A860" s="336"/>
      <c r="B860" s="336"/>
      <c r="C860" s="336"/>
      <c r="D860" s="336"/>
      <c r="E860" s="336"/>
      <c r="F860" s="336"/>
      <c r="G860" s="336"/>
      <c r="H860" s="336"/>
      <c r="I860" s="336"/>
      <c r="J860" s="336"/>
      <c r="K860" s="336"/>
      <c r="L860" s="336"/>
      <c r="M860" s="336"/>
      <c r="N860" s="336"/>
      <c r="O860" s="336"/>
      <c r="P860" s="336"/>
      <c r="Q860" s="336"/>
    </row>
    <row r="861" ht="15.75" customHeight="1">
      <c r="A861" s="336"/>
      <c r="B861" s="336"/>
      <c r="C861" s="336"/>
      <c r="D861" s="336"/>
      <c r="E861" s="336"/>
      <c r="F861" s="336"/>
      <c r="G861" s="336"/>
      <c r="H861" s="336"/>
      <c r="I861" s="336"/>
      <c r="J861" s="336"/>
      <c r="K861" s="336"/>
      <c r="L861" s="336"/>
      <c r="M861" s="336"/>
      <c r="N861" s="336"/>
      <c r="O861" s="336"/>
      <c r="P861" s="336"/>
      <c r="Q861" s="336"/>
    </row>
    <row r="862" ht="15.75" customHeight="1">
      <c r="A862" s="336"/>
      <c r="B862" s="336"/>
      <c r="C862" s="336"/>
      <c r="D862" s="336"/>
      <c r="E862" s="336"/>
      <c r="F862" s="336"/>
      <c r="G862" s="336"/>
      <c r="H862" s="336"/>
      <c r="I862" s="336"/>
      <c r="J862" s="336"/>
      <c r="K862" s="336"/>
      <c r="L862" s="336"/>
      <c r="M862" s="336"/>
      <c r="N862" s="336"/>
      <c r="O862" s="336"/>
      <c r="P862" s="336"/>
      <c r="Q862" s="336"/>
    </row>
    <row r="863" ht="15.75" customHeight="1">
      <c r="A863" s="336"/>
      <c r="B863" s="336"/>
      <c r="C863" s="336"/>
      <c r="D863" s="336"/>
      <c r="E863" s="336"/>
      <c r="F863" s="336"/>
      <c r="G863" s="336"/>
      <c r="H863" s="336"/>
      <c r="I863" s="336"/>
      <c r="J863" s="336"/>
      <c r="K863" s="336"/>
      <c r="L863" s="336"/>
      <c r="M863" s="336"/>
      <c r="N863" s="336"/>
      <c r="O863" s="336"/>
      <c r="P863" s="336"/>
      <c r="Q863" s="336"/>
    </row>
    <row r="864" ht="15.75" customHeight="1">
      <c r="A864" s="336"/>
      <c r="B864" s="336"/>
      <c r="C864" s="336"/>
      <c r="D864" s="336"/>
      <c r="E864" s="336"/>
      <c r="F864" s="336"/>
      <c r="G864" s="336"/>
      <c r="H864" s="336"/>
      <c r="I864" s="336"/>
      <c r="J864" s="336"/>
      <c r="K864" s="336"/>
      <c r="L864" s="336"/>
      <c r="M864" s="336"/>
      <c r="N864" s="336"/>
      <c r="O864" s="336"/>
      <c r="P864" s="336"/>
      <c r="Q864" s="336"/>
    </row>
    <row r="865" ht="15.75" customHeight="1">
      <c r="A865" s="336"/>
      <c r="B865" s="336"/>
      <c r="C865" s="336"/>
      <c r="D865" s="336"/>
      <c r="E865" s="336"/>
      <c r="F865" s="336"/>
      <c r="G865" s="336"/>
      <c r="H865" s="336"/>
      <c r="I865" s="336"/>
      <c r="J865" s="336"/>
      <c r="K865" s="336"/>
      <c r="L865" s="336"/>
      <c r="M865" s="336"/>
      <c r="N865" s="336"/>
      <c r="O865" s="336"/>
      <c r="P865" s="336"/>
      <c r="Q865" s="336"/>
    </row>
    <row r="866" ht="15.75" customHeight="1">
      <c r="A866" s="336"/>
      <c r="B866" s="336"/>
      <c r="C866" s="336"/>
      <c r="D866" s="336"/>
      <c r="E866" s="336"/>
      <c r="F866" s="336"/>
      <c r="G866" s="336"/>
      <c r="H866" s="336"/>
      <c r="I866" s="336"/>
      <c r="J866" s="336"/>
      <c r="K866" s="336"/>
      <c r="L866" s="336"/>
      <c r="M866" s="336"/>
      <c r="N866" s="336"/>
      <c r="O866" s="336"/>
      <c r="P866" s="336"/>
      <c r="Q866" s="336"/>
    </row>
    <row r="867" ht="15.75" customHeight="1">
      <c r="A867" s="336"/>
      <c r="B867" s="336"/>
      <c r="C867" s="336"/>
      <c r="D867" s="336"/>
      <c r="E867" s="336"/>
      <c r="F867" s="336"/>
      <c r="G867" s="336"/>
      <c r="H867" s="336"/>
      <c r="I867" s="336"/>
      <c r="J867" s="336"/>
      <c r="K867" s="336"/>
      <c r="L867" s="336"/>
      <c r="M867" s="336"/>
      <c r="N867" s="336"/>
      <c r="O867" s="336"/>
      <c r="P867" s="336"/>
      <c r="Q867" s="336"/>
    </row>
    <row r="868" ht="15.75" customHeight="1">
      <c r="A868" s="336"/>
      <c r="B868" s="336"/>
      <c r="C868" s="336"/>
      <c r="D868" s="336"/>
      <c r="E868" s="336"/>
      <c r="F868" s="336"/>
      <c r="G868" s="336"/>
      <c r="H868" s="336"/>
      <c r="I868" s="336"/>
      <c r="J868" s="336"/>
      <c r="K868" s="336"/>
      <c r="L868" s="336"/>
      <c r="M868" s="336"/>
      <c r="N868" s="336"/>
      <c r="O868" s="336"/>
      <c r="P868" s="336"/>
      <c r="Q868" s="336"/>
    </row>
    <row r="869" ht="15.75" customHeight="1">
      <c r="A869" s="336"/>
      <c r="B869" s="336"/>
      <c r="C869" s="336"/>
      <c r="D869" s="336"/>
      <c r="E869" s="336"/>
      <c r="F869" s="336"/>
      <c r="G869" s="336"/>
      <c r="H869" s="336"/>
      <c r="I869" s="336"/>
      <c r="J869" s="336"/>
      <c r="K869" s="336"/>
      <c r="L869" s="336"/>
      <c r="M869" s="336"/>
      <c r="N869" s="336"/>
      <c r="O869" s="336"/>
      <c r="P869" s="336"/>
      <c r="Q869" s="336"/>
    </row>
    <row r="870" ht="15.75" customHeight="1">
      <c r="A870" s="336"/>
      <c r="B870" s="336"/>
      <c r="C870" s="336"/>
      <c r="D870" s="336"/>
      <c r="E870" s="336"/>
      <c r="F870" s="336"/>
      <c r="G870" s="336"/>
      <c r="H870" s="336"/>
      <c r="I870" s="336"/>
      <c r="J870" s="336"/>
      <c r="K870" s="336"/>
      <c r="L870" s="336"/>
      <c r="M870" s="336"/>
      <c r="N870" s="336"/>
      <c r="O870" s="336"/>
      <c r="P870" s="336"/>
      <c r="Q870" s="336"/>
    </row>
    <row r="871" ht="15.75" customHeight="1">
      <c r="A871" s="336"/>
      <c r="B871" s="336"/>
      <c r="C871" s="336"/>
      <c r="D871" s="336"/>
      <c r="E871" s="336"/>
      <c r="F871" s="336"/>
      <c r="G871" s="336"/>
      <c r="H871" s="336"/>
      <c r="I871" s="336"/>
      <c r="J871" s="336"/>
      <c r="K871" s="336"/>
      <c r="L871" s="336"/>
      <c r="M871" s="336"/>
      <c r="N871" s="336"/>
      <c r="O871" s="336"/>
      <c r="P871" s="336"/>
      <c r="Q871" s="336"/>
    </row>
    <row r="872" ht="15.75" customHeight="1">
      <c r="A872" s="336"/>
      <c r="B872" s="336"/>
      <c r="C872" s="336"/>
      <c r="D872" s="336"/>
      <c r="E872" s="336"/>
      <c r="F872" s="336"/>
      <c r="G872" s="336"/>
      <c r="H872" s="336"/>
      <c r="I872" s="336"/>
      <c r="J872" s="336"/>
      <c r="K872" s="336"/>
      <c r="L872" s="336"/>
      <c r="M872" s="336"/>
      <c r="N872" s="336"/>
      <c r="O872" s="336"/>
      <c r="P872" s="336"/>
      <c r="Q872" s="336"/>
    </row>
    <row r="873" ht="15.75" customHeight="1">
      <c r="A873" s="336"/>
      <c r="B873" s="336"/>
      <c r="C873" s="336"/>
      <c r="D873" s="336"/>
      <c r="E873" s="336"/>
      <c r="F873" s="336"/>
      <c r="G873" s="336"/>
      <c r="H873" s="336"/>
      <c r="I873" s="336"/>
      <c r="J873" s="336"/>
      <c r="K873" s="336"/>
      <c r="L873" s="336"/>
      <c r="M873" s="336"/>
      <c r="N873" s="336"/>
      <c r="O873" s="336"/>
      <c r="P873" s="336"/>
      <c r="Q873" s="336"/>
    </row>
    <row r="874" ht="15.75" customHeight="1">
      <c r="A874" s="336"/>
      <c r="B874" s="336"/>
      <c r="C874" s="336"/>
      <c r="D874" s="336"/>
      <c r="E874" s="336"/>
      <c r="F874" s="336"/>
      <c r="G874" s="336"/>
      <c r="H874" s="336"/>
      <c r="I874" s="336"/>
      <c r="J874" s="336"/>
      <c r="K874" s="336"/>
      <c r="L874" s="336"/>
      <c r="M874" s="336"/>
      <c r="N874" s="336"/>
      <c r="O874" s="336"/>
      <c r="P874" s="336"/>
      <c r="Q874" s="336"/>
    </row>
    <row r="875" ht="15.75" customHeight="1">
      <c r="A875" s="336"/>
      <c r="B875" s="336"/>
      <c r="C875" s="336"/>
      <c r="D875" s="336"/>
      <c r="E875" s="336"/>
      <c r="F875" s="336"/>
      <c r="G875" s="336"/>
      <c r="H875" s="336"/>
      <c r="I875" s="336"/>
      <c r="J875" s="336"/>
      <c r="K875" s="336"/>
      <c r="L875" s="336"/>
      <c r="M875" s="336"/>
      <c r="N875" s="336"/>
      <c r="O875" s="336"/>
      <c r="P875" s="336"/>
      <c r="Q875" s="336"/>
    </row>
    <row r="876" ht="15.75" customHeight="1">
      <c r="A876" s="336"/>
      <c r="B876" s="336"/>
      <c r="C876" s="336"/>
      <c r="D876" s="336"/>
      <c r="E876" s="336"/>
      <c r="F876" s="336"/>
      <c r="G876" s="336"/>
      <c r="H876" s="336"/>
      <c r="I876" s="336"/>
      <c r="J876" s="336"/>
      <c r="K876" s="336"/>
      <c r="L876" s="336"/>
      <c r="M876" s="336"/>
      <c r="N876" s="336"/>
      <c r="O876" s="336"/>
      <c r="P876" s="336"/>
      <c r="Q876" s="336"/>
    </row>
    <row r="877" ht="15.75" customHeight="1">
      <c r="A877" s="336"/>
      <c r="B877" s="336"/>
      <c r="C877" s="336"/>
      <c r="D877" s="336"/>
      <c r="E877" s="336"/>
      <c r="F877" s="336"/>
      <c r="G877" s="336"/>
      <c r="H877" s="336"/>
      <c r="I877" s="336"/>
      <c r="J877" s="336"/>
      <c r="K877" s="336"/>
      <c r="L877" s="336"/>
      <c r="M877" s="336"/>
      <c r="N877" s="336"/>
      <c r="O877" s="336"/>
      <c r="P877" s="336"/>
      <c r="Q877" s="336"/>
    </row>
    <row r="878" ht="15.75" customHeight="1">
      <c r="A878" s="336"/>
      <c r="B878" s="336"/>
      <c r="C878" s="336"/>
      <c r="D878" s="336"/>
      <c r="E878" s="336"/>
      <c r="F878" s="336"/>
      <c r="G878" s="336"/>
      <c r="H878" s="336"/>
      <c r="I878" s="336"/>
      <c r="J878" s="336"/>
      <c r="K878" s="336"/>
      <c r="L878" s="336"/>
      <c r="M878" s="336"/>
      <c r="N878" s="336"/>
      <c r="O878" s="336"/>
      <c r="P878" s="336"/>
      <c r="Q878" s="336"/>
    </row>
    <row r="879" ht="15.75" customHeight="1">
      <c r="A879" s="336"/>
      <c r="B879" s="336"/>
      <c r="C879" s="336"/>
      <c r="D879" s="336"/>
      <c r="E879" s="336"/>
      <c r="F879" s="336"/>
      <c r="G879" s="336"/>
      <c r="H879" s="336"/>
      <c r="I879" s="336"/>
      <c r="J879" s="336"/>
      <c r="K879" s="336"/>
      <c r="L879" s="336"/>
      <c r="M879" s="336"/>
      <c r="N879" s="336"/>
      <c r="O879" s="336"/>
      <c r="P879" s="336"/>
      <c r="Q879" s="336"/>
    </row>
    <row r="880" ht="15.75" customHeight="1">
      <c r="A880" s="336"/>
      <c r="B880" s="336"/>
      <c r="C880" s="336"/>
      <c r="D880" s="336"/>
      <c r="E880" s="336"/>
      <c r="F880" s="336"/>
      <c r="G880" s="336"/>
      <c r="H880" s="336"/>
      <c r="I880" s="336"/>
      <c r="J880" s="336"/>
      <c r="K880" s="336"/>
      <c r="L880" s="336"/>
      <c r="M880" s="336"/>
      <c r="N880" s="336"/>
      <c r="O880" s="336"/>
      <c r="P880" s="336"/>
      <c r="Q880" s="336"/>
    </row>
    <row r="881" ht="15.75" customHeight="1">
      <c r="A881" s="336"/>
      <c r="B881" s="336"/>
      <c r="C881" s="336"/>
      <c r="D881" s="336"/>
      <c r="E881" s="336"/>
      <c r="F881" s="336"/>
      <c r="G881" s="336"/>
      <c r="H881" s="336"/>
      <c r="I881" s="336"/>
      <c r="J881" s="336"/>
      <c r="K881" s="336"/>
      <c r="L881" s="336"/>
      <c r="M881" s="336"/>
      <c r="N881" s="336"/>
      <c r="O881" s="336"/>
      <c r="P881" s="336"/>
      <c r="Q881" s="336"/>
    </row>
    <row r="882" ht="15.75" customHeight="1">
      <c r="A882" s="336"/>
      <c r="B882" s="336"/>
      <c r="C882" s="336"/>
      <c r="D882" s="336"/>
      <c r="E882" s="336"/>
      <c r="F882" s="336"/>
      <c r="G882" s="336"/>
      <c r="H882" s="336"/>
      <c r="I882" s="336"/>
      <c r="J882" s="336"/>
      <c r="K882" s="336"/>
      <c r="L882" s="336"/>
      <c r="M882" s="336"/>
      <c r="N882" s="336"/>
      <c r="O882" s="336"/>
      <c r="P882" s="336"/>
      <c r="Q882" s="336"/>
    </row>
    <row r="883" ht="15.75" customHeight="1">
      <c r="A883" s="336"/>
      <c r="B883" s="336"/>
      <c r="C883" s="336"/>
      <c r="D883" s="336"/>
      <c r="E883" s="336"/>
      <c r="F883" s="336"/>
      <c r="G883" s="336"/>
      <c r="H883" s="336"/>
      <c r="I883" s="336"/>
      <c r="J883" s="336"/>
      <c r="K883" s="336"/>
      <c r="L883" s="336"/>
      <c r="M883" s="336"/>
      <c r="N883" s="336"/>
      <c r="O883" s="336"/>
      <c r="P883" s="336"/>
      <c r="Q883" s="336"/>
    </row>
    <row r="884" ht="15.75" customHeight="1">
      <c r="A884" s="336"/>
      <c r="B884" s="336"/>
      <c r="C884" s="336"/>
      <c r="D884" s="336"/>
      <c r="E884" s="336"/>
      <c r="F884" s="336"/>
      <c r="G884" s="336"/>
      <c r="H884" s="336"/>
      <c r="I884" s="336"/>
      <c r="J884" s="336"/>
      <c r="K884" s="336"/>
      <c r="L884" s="336"/>
      <c r="M884" s="336"/>
      <c r="N884" s="336"/>
      <c r="O884" s="336"/>
      <c r="P884" s="336"/>
      <c r="Q884" s="336"/>
    </row>
    <row r="885" ht="15.75" customHeight="1">
      <c r="A885" s="336"/>
      <c r="B885" s="336"/>
      <c r="C885" s="336"/>
      <c r="D885" s="336"/>
      <c r="E885" s="336"/>
      <c r="F885" s="336"/>
      <c r="G885" s="336"/>
      <c r="H885" s="336"/>
      <c r="I885" s="336"/>
      <c r="J885" s="336"/>
      <c r="K885" s="336"/>
      <c r="L885" s="336"/>
      <c r="M885" s="336"/>
      <c r="N885" s="336"/>
      <c r="O885" s="336"/>
      <c r="P885" s="336"/>
      <c r="Q885" s="336"/>
    </row>
    <row r="886" ht="15.75" customHeight="1">
      <c r="A886" s="336"/>
      <c r="B886" s="336"/>
      <c r="C886" s="336"/>
      <c r="D886" s="336"/>
      <c r="E886" s="336"/>
      <c r="F886" s="336"/>
      <c r="G886" s="336"/>
      <c r="H886" s="336"/>
      <c r="I886" s="336"/>
      <c r="J886" s="336"/>
      <c r="K886" s="336"/>
      <c r="L886" s="336"/>
      <c r="M886" s="336"/>
      <c r="N886" s="336"/>
      <c r="O886" s="336"/>
      <c r="P886" s="336"/>
      <c r="Q886" s="336"/>
    </row>
    <row r="887" ht="15.75" customHeight="1">
      <c r="A887" s="336"/>
      <c r="B887" s="336"/>
      <c r="C887" s="336"/>
      <c r="D887" s="336"/>
      <c r="E887" s="336"/>
      <c r="F887" s="336"/>
      <c r="G887" s="336"/>
      <c r="H887" s="336"/>
      <c r="I887" s="336"/>
      <c r="J887" s="336"/>
      <c r="K887" s="336"/>
      <c r="L887" s="336"/>
      <c r="M887" s="336"/>
      <c r="N887" s="336"/>
      <c r="O887" s="336"/>
      <c r="P887" s="336"/>
      <c r="Q887" s="336"/>
    </row>
    <row r="888" ht="15.75" customHeight="1">
      <c r="A888" s="336"/>
      <c r="B888" s="336"/>
      <c r="C888" s="336"/>
      <c r="D888" s="336"/>
      <c r="E888" s="336"/>
      <c r="F888" s="336"/>
      <c r="G888" s="336"/>
      <c r="H888" s="336"/>
      <c r="I888" s="336"/>
      <c r="J888" s="336"/>
      <c r="K888" s="336"/>
      <c r="L888" s="336"/>
      <c r="M888" s="336"/>
      <c r="N888" s="336"/>
      <c r="O888" s="336"/>
      <c r="P888" s="336"/>
      <c r="Q888" s="336"/>
    </row>
    <row r="889" ht="15.75" customHeight="1">
      <c r="A889" s="336"/>
      <c r="B889" s="336"/>
      <c r="C889" s="336"/>
      <c r="D889" s="336"/>
      <c r="E889" s="336"/>
      <c r="F889" s="336"/>
      <c r="G889" s="336"/>
      <c r="H889" s="336"/>
      <c r="I889" s="336"/>
      <c r="J889" s="336"/>
      <c r="K889" s="336"/>
      <c r="L889" s="336"/>
      <c r="M889" s="336"/>
      <c r="N889" s="336"/>
      <c r="O889" s="336"/>
      <c r="P889" s="336"/>
      <c r="Q889" s="336"/>
    </row>
    <row r="890" ht="15.75" customHeight="1">
      <c r="A890" s="336"/>
      <c r="B890" s="336"/>
      <c r="C890" s="336"/>
      <c r="D890" s="336"/>
      <c r="E890" s="336"/>
      <c r="F890" s="336"/>
      <c r="G890" s="336"/>
      <c r="H890" s="336"/>
      <c r="I890" s="336"/>
      <c r="J890" s="336"/>
      <c r="K890" s="336"/>
      <c r="L890" s="336"/>
      <c r="M890" s="336"/>
      <c r="N890" s="336"/>
      <c r="O890" s="336"/>
      <c r="P890" s="336"/>
      <c r="Q890" s="336"/>
    </row>
    <row r="891" ht="15.75" customHeight="1">
      <c r="A891" s="336"/>
      <c r="B891" s="336"/>
      <c r="C891" s="336"/>
      <c r="D891" s="336"/>
      <c r="E891" s="336"/>
      <c r="F891" s="336"/>
      <c r="G891" s="336"/>
      <c r="H891" s="336"/>
      <c r="I891" s="336"/>
      <c r="J891" s="336"/>
      <c r="K891" s="336"/>
      <c r="L891" s="336"/>
      <c r="M891" s="336"/>
      <c r="N891" s="336"/>
      <c r="O891" s="336"/>
      <c r="P891" s="336"/>
      <c r="Q891" s="336"/>
    </row>
    <row r="892" ht="15.75" customHeight="1">
      <c r="A892" s="336"/>
      <c r="B892" s="336"/>
      <c r="C892" s="336"/>
      <c r="D892" s="336"/>
      <c r="E892" s="336"/>
      <c r="F892" s="336"/>
      <c r="G892" s="336"/>
      <c r="H892" s="336"/>
      <c r="I892" s="336"/>
      <c r="J892" s="336"/>
      <c r="K892" s="336"/>
      <c r="L892" s="336"/>
      <c r="M892" s="336"/>
      <c r="N892" s="336"/>
      <c r="O892" s="336"/>
      <c r="P892" s="336"/>
      <c r="Q892" s="336"/>
    </row>
    <row r="893" ht="15.75" customHeight="1">
      <c r="A893" s="336"/>
      <c r="B893" s="336"/>
      <c r="C893" s="336"/>
      <c r="D893" s="336"/>
      <c r="E893" s="336"/>
      <c r="F893" s="336"/>
      <c r="G893" s="336"/>
      <c r="H893" s="336"/>
      <c r="I893" s="336"/>
      <c r="J893" s="336"/>
      <c r="K893" s="336"/>
      <c r="L893" s="336"/>
      <c r="M893" s="336"/>
      <c r="N893" s="336"/>
      <c r="O893" s="336"/>
      <c r="P893" s="336"/>
      <c r="Q893" s="336"/>
    </row>
    <row r="894" ht="15.75" customHeight="1">
      <c r="A894" s="336"/>
      <c r="B894" s="336"/>
      <c r="C894" s="336"/>
      <c r="D894" s="336"/>
      <c r="E894" s="336"/>
      <c r="F894" s="336"/>
      <c r="G894" s="336"/>
      <c r="H894" s="336"/>
      <c r="I894" s="336"/>
      <c r="J894" s="336"/>
      <c r="K894" s="336"/>
      <c r="L894" s="336"/>
      <c r="M894" s="336"/>
      <c r="N894" s="336"/>
      <c r="O894" s="336"/>
      <c r="P894" s="336"/>
      <c r="Q894" s="336"/>
    </row>
    <row r="895" ht="15.75" customHeight="1">
      <c r="A895" s="336"/>
      <c r="B895" s="336"/>
      <c r="C895" s="336"/>
      <c r="D895" s="336"/>
      <c r="E895" s="336"/>
      <c r="F895" s="336"/>
      <c r="G895" s="336"/>
      <c r="H895" s="336"/>
      <c r="I895" s="336"/>
      <c r="J895" s="336"/>
      <c r="K895" s="336"/>
      <c r="L895" s="336"/>
      <c r="M895" s="336"/>
      <c r="N895" s="336"/>
      <c r="O895" s="336"/>
      <c r="P895" s="336"/>
      <c r="Q895" s="336"/>
    </row>
    <row r="896" ht="15.75" customHeight="1">
      <c r="A896" s="336"/>
      <c r="B896" s="336"/>
      <c r="C896" s="336"/>
      <c r="D896" s="336"/>
      <c r="E896" s="336"/>
      <c r="F896" s="336"/>
      <c r="G896" s="336"/>
      <c r="H896" s="336"/>
      <c r="I896" s="336"/>
      <c r="J896" s="336"/>
      <c r="K896" s="336"/>
      <c r="L896" s="336"/>
      <c r="M896" s="336"/>
      <c r="N896" s="336"/>
      <c r="O896" s="336"/>
      <c r="P896" s="336"/>
      <c r="Q896" s="336"/>
    </row>
    <row r="897" ht="15.75" customHeight="1">
      <c r="A897" s="336"/>
      <c r="B897" s="336"/>
      <c r="C897" s="336"/>
      <c r="D897" s="336"/>
      <c r="E897" s="336"/>
      <c r="F897" s="336"/>
      <c r="G897" s="336"/>
      <c r="H897" s="336"/>
      <c r="I897" s="336"/>
      <c r="J897" s="336"/>
      <c r="K897" s="336"/>
      <c r="L897" s="336"/>
      <c r="M897" s="336"/>
      <c r="N897" s="336"/>
      <c r="O897" s="336"/>
      <c r="P897" s="336"/>
      <c r="Q897" s="336"/>
    </row>
    <row r="898" ht="15.75" customHeight="1">
      <c r="A898" s="336"/>
      <c r="B898" s="336"/>
      <c r="C898" s="336"/>
      <c r="D898" s="336"/>
      <c r="E898" s="336"/>
      <c r="F898" s="336"/>
      <c r="G898" s="336"/>
      <c r="H898" s="336"/>
      <c r="I898" s="336"/>
      <c r="J898" s="336"/>
      <c r="K898" s="336"/>
      <c r="L898" s="336"/>
      <c r="M898" s="336"/>
      <c r="N898" s="336"/>
      <c r="O898" s="336"/>
      <c r="P898" s="336"/>
      <c r="Q898" s="336"/>
    </row>
    <row r="899" ht="15.75" customHeight="1">
      <c r="A899" s="336"/>
      <c r="B899" s="336"/>
      <c r="C899" s="336"/>
      <c r="D899" s="336"/>
      <c r="E899" s="336"/>
      <c r="F899" s="336"/>
      <c r="G899" s="336"/>
      <c r="H899" s="336"/>
      <c r="I899" s="336"/>
      <c r="J899" s="336"/>
      <c r="K899" s="336"/>
      <c r="L899" s="336"/>
      <c r="M899" s="336"/>
      <c r="N899" s="336"/>
      <c r="O899" s="336"/>
      <c r="P899" s="336"/>
      <c r="Q899" s="336"/>
    </row>
    <row r="900" ht="15.75" customHeight="1">
      <c r="A900" s="336"/>
      <c r="B900" s="336"/>
      <c r="C900" s="336"/>
      <c r="D900" s="336"/>
      <c r="E900" s="336"/>
      <c r="F900" s="336"/>
      <c r="G900" s="336"/>
      <c r="H900" s="336"/>
      <c r="I900" s="336"/>
      <c r="J900" s="336"/>
      <c r="K900" s="336"/>
      <c r="L900" s="336"/>
      <c r="M900" s="336"/>
      <c r="N900" s="336"/>
      <c r="O900" s="336"/>
      <c r="P900" s="336"/>
      <c r="Q900" s="336"/>
    </row>
    <row r="901" ht="15.75" customHeight="1">
      <c r="A901" s="336"/>
      <c r="B901" s="336"/>
      <c r="C901" s="336"/>
      <c r="D901" s="336"/>
      <c r="E901" s="336"/>
      <c r="F901" s="336"/>
      <c r="G901" s="336"/>
      <c r="H901" s="336"/>
      <c r="I901" s="336"/>
      <c r="J901" s="336"/>
      <c r="K901" s="336"/>
      <c r="L901" s="336"/>
      <c r="M901" s="336"/>
      <c r="N901" s="336"/>
      <c r="O901" s="336"/>
      <c r="P901" s="336"/>
      <c r="Q901" s="336"/>
    </row>
    <row r="902" ht="15.75" customHeight="1">
      <c r="A902" s="336"/>
      <c r="B902" s="336"/>
      <c r="C902" s="336"/>
      <c r="D902" s="336"/>
      <c r="E902" s="336"/>
      <c r="F902" s="336"/>
      <c r="G902" s="336"/>
      <c r="H902" s="336"/>
      <c r="I902" s="336"/>
      <c r="J902" s="336"/>
      <c r="K902" s="336"/>
      <c r="L902" s="336"/>
      <c r="M902" s="336"/>
      <c r="N902" s="336"/>
      <c r="O902" s="336"/>
      <c r="P902" s="336"/>
      <c r="Q902" s="336"/>
    </row>
    <row r="903" ht="15.75" customHeight="1">
      <c r="A903" s="336"/>
      <c r="B903" s="336"/>
      <c r="C903" s="336"/>
      <c r="D903" s="336"/>
      <c r="E903" s="336"/>
      <c r="F903" s="336"/>
      <c r="G903" s="336"/>
      <c r="H903" s="336"/>
      <c r="I903" s="336"/>
      <c r="J903" s="336"/>
      <c r="K903" s="336"/>
      <c r="L903" s="336"/>
      <c r="M903" s="336"/>
      <c r="N903" s="336"/>
      <c r="O903" s="336"/>
      <c r="P903" s="336"/>
      <c r="Q903" s="336"/>
    </row>
    <row r="904" ht="15.75" customHeight="1">
      <c r="A904" s="336"/>
      <c r="B904" s="336"/>
      <c r="C904" s="336"/>
      <c r="D904" s="336"/>
      <c r="E904" s="336"/>
      <c r="F904" s="336"/>
      <c r="G904" s="336"/>
      <c r="H904" s="336"/>
      <c r="I904" s="336"/>
      <c r="J904" s="336"/>
      <c r="K904" s="336"/>
      <c r="L904" s="336"/>
      <c r="M904" s="336"/>
      <c r="N904" s="336"/>
      <c r="O904" s="336"/>
      <c r="P904" s="336"/>
      <c r="Q904" s="336"/>
    </row>
    <row r="905" ht="15.75" customHeight="1">
      <c r="A905" s="336"/>
      <c r="B905" s="336"/>
      <c r="C905" s="336"/>
      <c r="D905" s="336"/>
      <c r="E905" s="336"/>
      <c r="F905" s="336"/>
      <c r="G905" s="336"/>
      <c r="H905" s="336"/>
      <c r="I905" s="336"/>
      <c r="J905" s="336"/>
      <c r="K905" s="336"/>
      <c r="L905" s="336"/>
      <c r="M905" s="336"/>
      <c r="N905" s="336"/>
      <c r="O905" s="336"/>
      <c r="P905" s="336"/>
      <c r="Q905" s="336"/>
    </row>
    <row r="906" ht="15.75" customHeight="1">
      <c r="A906" s="336"/>
      <c r="B906" s="336"/>
      <c r="C906" s="336"/>
      <c r="D906" s="336"/>
      <c r="E906" s="336"/>
      <c r="F906" s="336"/>
      <c r="G906" s="336"/>
      <c r="H906" s="336"/>
      <c r="I906" s="336"/>
      <c r="J906" s="336"/>
      <c r="K906" s="336"/>
      <c r="L906" s="336"/>
      <c r="M906" s="336"/>
      <c r="N906" s="336"/>
      <c r="O906" s="336"/>
      <c r="P906" s="336"/>
      <c r="Q906" s="336"/>
    </row>
    <row r="907" ht="15.75" customHeight="1">
      <c r="A907" s="336"/>
      <c r="B907" s="336"/>
      <c r="C907" s="336"/>
      <c r="D907" s="336"/>
      <c r="E907" s="336"/>
      <c r="F907" s="336"/>
      <c r="G907" s="336"/>
      <c r="H907" s="336"/>
      <c r="I907" s="336"/>
      <c r="J907" s="336"/>
      <c r="K907" s="336"/>
      <c r="L907" s="336"/>
      <c r="M907" s="336"/>
      <c r="N907" s="336"/>
      <c r="O907" s="336"/>
      <c r="P907" s="336"/>
      <c r="Q907" s="336"/>
    </row>
    <row r="908" ht="15.75" customHeight="1">
      <c r="A908" s="336"/>
      <c r="B908" s="336"/>
      <c r="C908" s="336"/>
      <c r="D908" s="336"/>
      <c r="E908" s="336"/>
      <c r="F908" s="336"/>
      <c r="G908" s="336"/>
      <c r="H908" s="336"/>
      <c r="I908" s="336"/>
      <c r="J908" s="336"/>
      <c r="K908" s="336"/>
      <c r="L908" s="336"/>
      <c r="M908" s="336"/>
      <c r="N908" s="336"/>
      <c r="O908" s="336"/>
      <c r="P908" s="336"/>
      <c r="Q908" s="336"/>
    </row>
    <row r="909" ht="15.75" customHeight="1">
      <c r="A909" s="336"/>
      <c r="B909" s="336"/>
      <c r="C909" s="336"/>
      <c r="D909" s="336"/>
      <c r="E909" s="336"/>
      <c r="F909" s="336"/>
      <c r="G909" s="336"/>
      <c r="H909" s="336"/>
      <c r="I909" s="336"/>
      <c r="J909" s="336"/>
      <c r="K909" s="336"/>
      <c r="L909" s="336"/>
      <c r="M909" s="336"/>
      <c r="N909" s="336"/>
      <c r="O909" s="336"/>
      <c r="P909" s="336"/>
      <c r="Q909" s="336"/>
    </row>
    <row r="910" ht="15.75" customHeight="1">
      <c r="A910" s="336"/>
      <c r="B910" s="336"/>
      <c r="C910" s="336"/>
      <c r="D910" s="336"/>
      <c r="E910" s="336"/>
      <c r="F910" s="336"/>
      <c r="G910" s="336"/>
      <c r="H910" s="336"/>
      <c r="I910" s="336"/>
      <c r="J910" s="336"/>
      <c r="K910" s="336"/>
      <c r="L910" s="336"/>
      <c r="M910" s="336"/>
      <c r="N910" s="336"/>
      <c r="O910" s="336"/>
      <c r="P910" s="336"/>
      <c r="Q910" s="336"/>
    </row>
    <row r="911" ht="15.75" customHeight="1">
      <c r="A911" s="336"/>
      <c r="B911" s="336"/>
      <c r="C911" s="336"/>
      <c r="D911" s="336"/>
      <c r="E911" s="336"/>
      <c r="F911" s="336"/>
      <c r="G911" s="336"/>
      <c r="H911" s="336"/>
      <c r="I911" s="336"/>
      <c r="J911" s="336"/>
      <c r="K911" s="336"/>
      <c r="L911" s="336"/>
      <c r="M911" s="336"/>
      <c r="N911" s="336"/>
      <c r="O911" s="336"/>
      <c r="P911" s="336"/>
      <c r="Q911" s="336"/>
    </row>
    <row r="912" ht="15.75" customHeight="1">
      <c r="A912" s="336"/>
      <c r="B912" s="336"/>
      <c r="C912" s="336"/>
      <c r="D912" s="336"/>
      <c r="E912" s="336"/>
      <c r="F912" s="336"/>
      <c r="G912" s="336"/>
      <c r="H912" s="336"/>
      <c r="I912" s="336"/>
      <c r="J912" s="336"/>
      <c r="K912" s="336"/>
      <c r="L912" s="336"/>
      <c r="M912" s="336"/>
      <c r="N912" s="336"/>
      <c r="O912" s="336"/>
      <c r="P912" s="336"/>
      <c r="Q912" s="336"/>
    </row>
    <row r="913" ht="15.75" customHeight="1">
      <c r="A913" s="336"/>
      <c r="B913" s="336"/>
      <c r="C913" s="336"/>
      <c r="D913" s="336"/>
      <c r="E913" s="336"/>
      <c r="F913" s="336"/>
      <c r="G913" s="336"/>
      <c r="H913" s="336"/>
      <c r="I913" s="336"/>
      <c r="J913" s="336"/>
      <c r="K913" s="336"/>
      <c r="L913" s="336"/>
      <c r="M913" s="336"/>
      <c r="N913" s="336"/>
      <c r="O913" s="336"/>
      <c r="P913" s="336"/>
      <c r="Q913" s="336"/>
    </row>
    <row r="914" ht="15.75" customHeight="1">
      <c r="A914" s="336"/>
      <c r="B914" s="336"/>
      <c r="C914" s="336"/>
      <c r="D914" s="336"/>
      <c r="E914" s="336"/>
      <c r="F914" s="336"/>
      <c r="G914" s="336"/>
      <c r="H914" s="336"/>
      <c r="I914" s="336"/>
      <c r="J914" s="336"/>
      <c r="K914" s="336"/>
      <c r="L914" s="336"/>
      <c r="M914" s="336"/>
      <c r="N914" s="336"/>
      <c r="O914" s="336"/>
      <c r="P914" s="336"/>
      <c r="Q914" s="336"/>
    </row>
    <row r="915" ht="15.75" customHeight="1">
      <c r="A915" s="336"/>
      <c r="B915" s="336"/>
      <c r="C915" s="336"/>
      <c r="D915" s="336"/>
      <c r="E915" s="336"/>
      <c r="F915" s="336"/>
      <c r="G915" s="336"/>
      <c r="H915" s="336"/>
      <c r="I915" s="336"/>
      <c r="J915" s="336"/>
      <c r="K915" s="336"/>
      <c r="L915" s="336"/>
      <c r="M915" s="336"/>
      <c r="N915" s="336"/>
      <c r="O915" s="336"/>
      <c r="P915" s="336"/>
      <c r="Q915" s="336"/>
    </row>
    <row r="916" ht="15.75" customHeight="1">
      <c r="A916" s="336"/>
      <c r="B916" s="336"/>
      <c r="C916" s="336"/>
      <c r="D916" s="336"/>
      <c r="E916" s="336"/>
      <c r="F916" s="336"/>
      <c r="G916" s="336"/>
      <c r="H916" s="336"/>
      <c r="I916" s="336"/>
      <c r="J916" s="336"/>
      <c r="K916" s="336"/>
      <c r="L916" s="336"/>
      <c r="M916" s="336"/>
      <c r="N916" s="336"/>
      <c r="O916" s="336"/>
      <c r="P916" s="336"/>
      <c r="Q916" s="336"/>
    </row>
    <row r="917" ht="15.75" customHeight="1">
      <c r="A917" s="336"/>
      <c r="B917" s="336"/>
      <c r="C917" s="336"/>
      <c r="D917" s="336"/>
      <c r="E917" s="336"/>
      <c r="F917" s="336"/>
      <c r="G917" s="336"/>
      <c r="H917" s="336"/>
      <c r="I917" s="336"/>
      <c r="J917" s="336"/>
      <c r="K917" s="336"/>
      <c r="L917" s="336"/>
      <c r="M917" s="336"/>
      <c r="N917" s="336"/>
      <c r="O917" s="336"/>
      <c r="P917" s="336"/>
      <c r="Q917" s="336"/>
    </row>
    <row r="918" ht="15.75" customHeight="1">
      <c r="A918" s="336"/>
      <c r="B918" s="336"/>
      <c r="C918" s="336"/>
      <c r="D918" s="336"/>
      <c r="E918" s="336"/>
      <c r="F918" s="336"/>
      <c r="G918" s="336"/>
      <c r="H918" s="336"/>
      <c r="I918" s="336"/>
      <c r="J918" s="336"/>
      <c r="K918" s="336"/>
      <c r="L918" s="336"/>
      <c r="M918" s="336"/>
      <c r="N918" s="336"/>
      <c r="O918" s="336"/>
      <c r="P918" s="336"/>
      <c r="Q918" s="336"/>
    </row>
    <row r="919" ht="15.75" customHeight="1">
      <c r="A919" s="336"/>
      <c r="B919" s="336"/>
      <c r="C919" s="336"/>
      <c r="D919" s="336"/>
      <c r="E919" s="336"/>
      <c r="F919" s="336"/>
      <c r="G919" s="336"/>
      <c r="H919" s="336"/>
      <c r="I919" s="336"/>
      <c r="J919" s="336"/>
      <c r="K919" s="336"/>
      <c r="L919" s="336"/>
      <c r="M919" s="336"/>
      <c r="N919" s="336"/>
      <c r="O919" s="336"/>
      <c r="P919" s="336"/>
      <c r="Q919" s="336"/>
    </row>
    <row r="920" ht="15.75" customHeight="1">
      <c r="A920" s="336"/>
      <c r="B920" s="336"/>
      <c r="C920" s="336"/>
      <c r="D920" s="336"/>
      <c r="E920" s="336"/>
      <c r="F920" s="336"/>
      <c r="G920" s="336"/>
      <c r="H920" s="336"/>
      <c r="I920" s="336"/>
      <c r="J920" s="336"/>
      <c r="K920" s="336"/>
      <c r="L920" s="336"/>
      <c r="M920" s="336"/>
      <c r="N920" s="336"/>
      <c r="O920" s="336"/>
      <c r="P920" s="336"/>
      <c r="Q920" s="336"/>
    </row>
    <row r="921" ht="15.75" customHeight="1">
      <c r="A921" s="336"/>
      <c r="B921" s="336"/>
      <c r="C921" s="336"/>
      <c r="D921" s="336"/>
      <c r="E921" s="336"/>
      <c r="F921" s="336"/>
      <c r="G921" s="336"/>
      <c r="H921" s="336"/>
      <c r="I921" s="336"/>
      <c r="J921" s="336"/>
      <c r="K921" s="336"/>
      <c r="L921" s="336"/>
      <c r="M921" s="336"/>
      <c r="N921" s="336"/>
      <c r="O921" s="336"/>
      <c r="P921" s="336"/>
      <c r="Q921" s="336"/>
    </row>
    <row r="922" ht="15.75" customHeight="1">
      <c r="A922" s="336"/>
      <c r="B922" s="336"/>
      <c r="C922" s="336"/>
      <c r="D922" s="336"/>
      <c r="E922" s="336"/>
      <c r="F922" s="336"/>
      <c r="G922" s="336"/>
      <c r="H922" s="336"/>
      <c r="I922" s="336"/>
      <c r="J922" s="336"/>
      <c r="K922" s="336"/>
      <c r="L922" s="336"/>
      <c r="M922" s="336"/>
      <c r="N922" s="336"/>
      <c r="O922" s="336"/>
      <c r="P922" s="336"/>
      <c r="Q922" s="336"/>
    </row>
    <row r="923" ht="15.75" customHeight="1">
      <c r="A923" s="336"/>
      <c r="B923" s="336"/>
      <c r="C923" s="336"/>
      <c r="D923" s="336"/>
      <c r="E923" s="336"/>
      <c r="F923" s="336"/>
      <c r="G923" s="336"/>
      <c r="H923" s="336"/>
      <c r="I923" s="336"/>
      <c r="J923" s="336"/>
      <c r="K923" s="336"/>
      <c r="L923" s="336"/>
      <c r="M923" s="336"/>
      <c r="N923" s="336"/>
      <c r="O923" s="336"/>
      <c r="P923" s="336"/>
      <c r="Q923" s="336"/>
    </row>
    <row r="924" ht="15.75" customHeight="1">
      <c r="A924" s="336"/>
      <c r="B924" s="336"/>
      <c r="C924" s="336"/>
      <c r="D924" s="336"/>
      <c r="E924" s="336"/>
      <c r="F924" s="336"/>
      <c r="G924" s="336"/>
      <c r="H924" s="336"/>
      <c r="I924" s="336"/>
      <c r="J924" s="336"/>
      <c r="K924" s="336"/>
      <c r="L924" s="336"/>
      <c r="M924" s="336"/>
      <c r="N924" s="336"/>
      <c r="O924" s="336"/>
      <c r="P924" s="336"/>
      <c r="Q924" s="336"/>
    </row>
    <row r="925" ht="15.75" customHeight="1">
      <c r="A925" s="336"/>
      <c r="B925" s="336"/>
      <c r="C925" s="336"/>
      <c r="D925" s="336"/>
      <c r="E925" s="336"/>
      <c r="F925" s="336"/>
      <c r="G925" s="336"/>
      <c r="H925" s="336"/>
      <c r="I925" s="336"/>
      <c r="J925" s="336"/>
      <c r="K925" s="336"/>
      <c r="L925" s="336"/>
      <c r="M925" s="336"/>
      <c r="N925" s="336"/>
      <c r="O925" s="336"/>
      <c r="P925" s="336"/>
      <c r="Q925" s="336"/>
    </row>
    <row r="926" ht="15.75" customHeight="1">
      <c r="A926" s="336"/>
      <c r="B926" s="336"/>
      <c r="C926" s="336"/>
      <c r="D926" s="336"/>
      <c r="E926" s="336"/>
      <c r="F926" s="336"/>
      <c r="G926" s="336"/>
      <c r="H926" s="336"/>
      <c r="I926" s="336"/>
      <c r="J926" s="336"/>
      <c r="K926" s="336"/>
      <c r="L926" s="336"/>
      <c r="M926" s="336"/>
      <c r="N926" s="336"/>
      <c r="O926" s="336"/>
      <c r="P926" s="336"/>
      <c r="Q926" s="336"/>
    </row>
    <row r="927" ht="15.75" customHeight="1">
      <c r="A927" s="336"/>
      <c r="B927" s="336"/>
      <c r="C927" s="336"/>
      <c r="D927" s="336"/>
      <c r="E927" s="336"/>
      <c r="F927" s="336"/>
      <c r="G927" s="336"/>
      <c r="H927" s="336"/>
      <c r="I927" s="336"/>
      <c r="J927" s="336"/>
      <c r="K927" s="336"/>
      <c r="L927" s="336"/>
      <c r="M927" s="336"/>
      <c r="N927" s="336"/>
      <c r="O927" s="336"/>
      <c r="P927" s="336"/>
      <c r="Q927" s="336"/>
    </row>
    <row r="928" ht="15.75" customHeight="1">
      <c r="A928" s="336"/>
      <c r="B928" s="336"/>
      <c r="C928" s="336"/>
      <c r="D928" s="336"/>
      <c r="E928" s="336"/>
      <c r="F928" s="336"/>
      <c r="G928" s="336"/>
      <c r="H928" s="336"/>
      <c r="I928" s="336"/>
      <c r="J928" s="336"/>
      <c r="K928" s="336"/>
      <c r="L928" s="336"/>
      <c r="M928" s="336"/>
      <c r="N928" s="336"/>
      <c r="O928" s="336"/>
      <c r="P928" s="336"/>
      <c r="Q928" s="336"/>
    </row>
  </sheetData>
  <mergeCells count="8">
    <mergeCell ref="B3:M3"/>
    <mergeCell ref="B5:H5"/>
    <mergeCell ref="J5:M5"/>
    <mergeCell ref="J10:L10"/>
    <mergeCell ref="B13:H13"/>
    <mergeCell ref="B34:H34"/>
    <mergeCell ref="J34:M34"/>
    <mergeCell ref="J39:L3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0"/>
    <col customWidth="1" min="3" max="3" width="20.0"/>
    <col customWidth="1" min="11" max="11" width="6.25"/>
    <col customWidth="1" min="12" max="12" width="15.63"/>
  </cols>
  <sheetData>
    <row r="1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5.75" customHeight="1">
      <c r="A2" s="5"/>
      <c r="B2" s="495" t="s">
        <v>288</v>
      </c>
      <c r="S2" s="5"/>
      <c r="T2" s="5"/>
      <c r="U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5.75" customHeight="1">
      <c r="A4" s="5"/>
      <c r="B4" s="474" t="s">
        <v>289</v>
      </c>
      <c r="C4" s="366"/>
      <c r="D4" s="366"/>
      <c r="E4" s="366"/>
      <c r="F4" s="366"/>
      <c r="G4" s="366"/>
      <c r="H4" s="5"/>
      <c r="I4" s="5"/>
      <c r="J4" s="5"/>
      <c r="K4" s="474" t="s">
        <v>290</v>
      </c>
      <c r="S4" s="5"/>
      <c r="T4" s="5"/>
      <c r="U4" s="5"/>
    </row>
    <row r="5" ht="15.75" customHeight="1">
      <c r="A5" s="5"/>
      <c r="B5" s="496" t="s">
        <v>291</v>
      </c>
      <c r="C5" s="213" t="s">
        <v>292</v>
      </c>
      <c r="D5" s="213" t="s">
        <v>424</v>
      </c>
      <c r="E5" s="497" t="s">
        <v>294</v>
      </c>
      <c r="F5" s="497" t="s">
        <v>295</v>
      </c>
      <c r="G5" s="497" t="s">
        <v>296</v>
      </c>
      <c r="H5" s="497" t="s">
        <v>297</v>
      </c>
      <c r="I5" s="5"/>
      <c r="J5" s="5"/>
      <c r="K5" s="213" t="s">
        <v>298</v>
      </c>
      <c r="M5" s="496" t="s">
        <v>299</v>
      </c>
      <c r="O5" s="496" t="s">
        <v>296</v>
      </c>
      <c r="Q5" s="496" t="s">
        <v>297</v>
      </c>
      <c r="S5" s="5"/>
      <c r="T5" s="5"/>
      <c r="U5" s="5"/>
    </row>
    <row r="6" ht="15.75" customHeight="1">
      <c r="A6" s="5"/>
      <c r="B6" s="409">
        <v>1.0</v>
      </c>
      <c r="C6" s="455" t="s">
        <v>428</v>
      </c>
      <c r="D6" s="412">
        <f>'Biomass Details'!L7</f>
        <v>128834</v>
      </c>
      <c r="E6" s="456">
        <v>1.0</v>
      </c>
      <c r="F6" s="456">
        <f>'Sys Volume &amp; Area'!B17</f>
        <v>69</v>
      </c>
      <c r="G6" s="412">
        <f>F6*D6</f>
        <v>8889546</v>
      </c>
      <c r="H6" s="457">
        <f>G6/F$8</f>
        <v>1</v>
      </c>
      <c r="I6" s="5"/>
      <c r="J6" s="5"/>
      <c r="M6" s="496" t="s">
        <v>21</v>
      </c>
      <c r="N6" s="496" t="s">
        <v>301</v>
      </c>
      <c r="O6" s="496" t="s">
        <v>21</v>
      </c>
      <c r="P6" s="496" t="s">
        <v>301</v>
      </c>
      <c r="Q6" s="496" t="s">
        <v>21</v>
      </c>
      <c r="R6" s="496" t="s">
        <v>301</v>
      </c>
      <c r="S6" s="5"/>
      <c r="T6" s="5"/>
      <c r="U6" s="5"/>
    </row>
    <row r="7" ht="15.75" customHeight="1">
      <c r="A7" s="5"/>
      <c r="B7" s="409"/>
      <c r="C7" s="5"/>
      <c r="D7" s="458"/>
      <c r="E7" s="258"/>
      <c r="F7" s="350"/>
      <c r="G7" s="412"/>
      <c r="H7" s="457"/>
      <c r="I7" s="5"/>
      <c r="J7" s="5"/>
      <c r="K7" s="498" t="s">
        <v>303</v>
      </c>
      <c r="L7" s="134"/>
      <c r="M7" s="499" t="s">
        <v>304</v>
      </c>
      <c r="N7" s="499" t="s">
        <v>304</v>
      </c>
      <c r="O7" s="135">
        <f>SUM(O8:O16)</f>
        <v>8889546</v>
      </c>
      <c r="P7" s="135">
        <f>SUM(P8:P16)+O8</f>
        <v>8889546</v>
      </c>
      <c r="Q7" s="500">
        <f t="shared" ref="Q7:R7" si="1">O7/O$23</f>
        <v>1</v>
      </c>
      <c r="R7" s="500">
        <f t="shared" si="1"/>
        <v>1</v>
      </c>
      <c r="S7" s="5"/>
      <c r="T7" s="5"/>
      <c r="U7" s="5"/>
    </row>
    <row r="8" ht="15.75" customHeight="1">
      <c r="A8" s="5"/>
      <c r="B8" s="501" t="s">
        <v>322</v>
      </c>
      <c r="E8" s="502"/>
      <c r="F8" s="502">
        <f>SUM(G6:G8)</f>
        <v>8889546</v>
      </c>
      <c r="I8" s="5"/>
      <c r="J8" s="5"/>
      <c r="K8" s="5"/>
      <c r="L8" s="378" t="s">
        <v>306</v>
      </c>
      <c r="M8" s="379" t="s">
        <v>304</v>
      </c>
      <c r="N8" s="379" t="s">
        <v>304</v>
      </c>
      <c r="O8" s="380">
        <f>F8</f>
        <v>8889546</v>
      </c>
      <c r="Q8" s="381">
        <f t="shared" ref="Q8:Q16" si="3">O8/O$7</f>
        <v>1</v>
      </c>
      <c r="R8" s="381">
        <f>O8/P$7</f>
        <v>1</v>
      </c>
      <c r="S8" s="5"/>
      <c r="T8" s="5"/>
      <c r="U8" s="5"/>
    </row>
    <row r="9" ht="15.75" customHeight="1">
      <c r="A9" s="5"/>
      <c r="B9" s="5"/>
      <c r="C9" s="5" t="s">
        <v>457</v>
      </c>
      <c r="D9" s="197">
        <f>D6+D7</f>
        <v>128834</v>
      </c>
      <c r="E9" s="5"/>
      <c r="F9" s="5"/>
      <c r="G9" s="5"/>
      <c r="H9" s="5"/>
      <c r="I9" s="5"/>
      <c r="J9" s="5"/>
      <c r="K9" s="5"/>
      <c r="L9" s="378" t="s">
        <v>308</v>
      </c>
      <c r="M9" s="379">
        <v>0.0</v>
      </c>
      <c r="N9" s="379">
        <v>0.0</v>
      </c>
      <c r="O9" s="383">
        <f t="shared" ref="O9:P9" si="2">M9*$O$8</f>
        <v>0</v>
      </c>
      <c r="P9" s="383">
        <f t="shared" si="2"/>
        <v>0</v>
      </c>
      <c r="Q9" s="381">
        <f t="shared" si="3"/>
        <v>0</v>
      </c>
      <c r="R9" s="381">
        <f t="shared" ref="R9:R16" si="5">P9/P$7</f>
        <v>0</v>
      </c>
      <c r="S9" s="5"/>
      <c r="T9" s="5"/>
      <c r="U9" s="5"/>
    </row>
    <row r="10" ht="15.75" customHeight="1">
      <c r="A10" s="5"/>
      <c r="B10" s="288"/>
      <c r="C10" s="5"/>
      <c r="D10" s="466"/>
      <c r="E10" s="5"/>
      <c r="F10" s="503"/>
      <c r="G10" s="5"/>
      <c r="H10" s="5"/>
      <c r="I10" s="5"/>
      <c r="J10" s="5"/>
      <c r="K10" s="5"/>
      <c r="L10" s="378" t="s">
        <v>310</v>
      </c>
      <c r="M10" s="379">
        <v>0.0</v>
      </c>
      <c r="N10" s="379">
        <v>0.0</v>
      </c>
      <c r="O10" s="383">
        <f t="shared" ref="O10:P10" si="4">M10*$O$8</f>
        <v>0</v>
      </c>
      <c r="P10" s="383">
        <f t="shared" si="4"/>
        <v>0</v>
      </c>
      <c r="Q10" s="381">
        <f t="shared" si="3"/>
        <v>0</v>
      </c>
      <c r="R10" s="381">
        <f t="shared" si="5"/>
        <v>0</v>
      </c>
      <c r="S10" s="5"/>
      <c r="T10" s="5"/>
      <c r="U10" s="5"/>
    </row>
    <row r="11" ht="15.75" customHeight="1">
      <c r="A11" s="5"/>
      <c r="B11" s="288"/>
      <c r="C11" s="5"/>
      <c r="D11" s="197"/>
      <c r="E11" s="5"/>
      <c r="F11" s="5"/>
      <c r="G11" s="5"/>
      <c r="H11" s="5"/>
      <c r="I11" s="5"/>
      <c r="J11" s="5"/>
      <c r="K11" s="5"/>
      <c r="L11" s="378" t="s">
        <v>312</v>
      </c>
      <c r="M11" s="379">
        <v>0.0</v>
      </c>
      <c r="N11" s="379">
        <v>0.0</v>
      </c>
      <c r="O11" s="383">
        <f t="shared" ref="O11:P11" si="6">M11*$O$8</f>
        <v>0</v>
      </c>
      <c r="P11" s="383">
        <f t="shared" si="6"/>
        <v>0</v>
      </c>
      <c r="Q11" s="381">
        <f t="shared" si="3"/>
        <v>0</v>
      </c>
      <c r="R11" s="381">
        <f t="shared" si="5"/>
        <v>0</v>
      </c>
      <c r="S11" s="5"/>
      <c r="T11" s="5"/>
      <c r="U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378" t="s">
        <v>314</v>
      </c>
      <c r="M12" s="379">
        <v>0.0</v>
      </c>
      <c r="N12" s="379">
        <v>0.0</v>
      </c>
      <c r="O12" s="383">
        <f t="shared" ref="O12:P12" si="7">M12*$O$8</f>
        <v>0</v>
      </c>
      <c r="P12" s="383">
        <f t="shared" si="7"/>
        <v>0</v>
      </c>
      <c r="Q12" s="381">
        <f t="shared" si="3"/>
        <v>0</v>
      </c>
      <c r="R12" s="381">
        <f t="shared" si="5"/>
        <v>0</v>
      </c>
      <c r="S12" s="5"/>
      <c r="T12" s="5"/>
      <c r="U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78" t="s">
        <v>316</v>
      </c>
      <c r="M13" s="379">
        <v>0.0</v>
      </c>
      <c r="N13" s="379">
        <v>0.0</v>
      </c>
      <c r="O13" s="383">
        <f t="shared" ref="O13:P13" si="8">M13*$O$8</f>
        <v>0</v>
      </c>
      <c r="P13" s="383">
        <f t="shared" si="8"/>
        <v>0</v>
      </c>
      <c r="Q13" s="381">
        <f t="shared" si="3"/>
        <v>0</v>
      </c>
      <c r="R13" s="381">
        <f t="shared" si="5"/>
        <v>0</v>
      </c>
      <c r="S13" s="5"/>
      <c r="T13" s="5"/>
      <c r="U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78" t="s">
        <v>318</v>
      </c>
      <c r="M14" s="379">
        <v>0.0</v>
      </c>
      <c r="N14" s="379">
        <v>0.0</v>
      </c>
      <c r="O14" s="383">
        <f t="shared" ref="O14:P14" si="9">M14*$O$8</f>
        <v>0</v>
      </c>
      <c r="P14" s="383">
        <f t="shared" si="9"/>
        <v>0</v>
      </c>
      <c r="Q14" s="381">
        <f t="shared" si="3"/>
        <v>0</v>
      </c>
      <c r="R14" s="381">
        <f t="shared" si="5"/>
        <v>0</v>
      </c>
      <c r="S14" s="5"/>
      <c r="T14" s="5"/>
      <c r="U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78" t="s">
        <v>320</v>
      </c>
      <c r="M15" s="379">
        <v>0.0</v>
      </c>
      <c r="N15" s="379">
        <v>0.0</v>
      </c>
      <c r="O15" s="383">
        <f t="shared" ref="O15:P15" si="10">M15*$O$8</f>
        <v>0</v>
      </c>
      <c r="P15" s="383">
        <f t="shared" si="10"/>
        <v>0</v>
      </c>
      <c r="Q15" s="381">
        <f t="shared" si="3"/>
        <v>0</v>
      </c>
      <c r="R15" s="381">
        <f t="shared" si="5"/>
        <v>0</v>
      </c>
      <c r="S15" s="5"/>
      <c r="T15" s="5"/>
      <c r="U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78" t="s">
        <v>321</v>
      </c>
      <c r="M16" s="379">
        <v>0.0</v>
      </c>
      <c r="N16" s="379">
        <v>0.0</v>
      </c>
      <c r="O16" s="383">
        <f t="shared" ref="O16:P16" si="11">M16*$O$8</f>
        <v>0</v>
      </c>
      <c r="P16" s="383">
        <f t="shared" si="11"/>
        <v>0</v>
      </c>
      <c r="Q16" s="381">
        <f t="shared" si="3"/>
        <v>0</v>
      </c>
      <c r="R16" s="381">
        <f t="shared" si="5"/>
        <v>0</v>
      </c>
      <c r="S16" s="5"/>
      <c r="T16" s="5"/>
      <c r="U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498" t="s">
        <v>323</v>
      </c>
      <c r="L17" s="134"/>
      <c r="M17" s="499" t="s">
        <v>304</v>
      </c>
      <c r="N17" s="504" t="s">
        <v>304</v>
      </c>
      <c r="O17" s="135">
        <f t="shared" ref="O17:P17" si="12">SUM(O18:O19)</f>
        <v>0</v>
      </c>
      <c r="P17" s="135">
        <f t="shared" si="12"/>
        <v>0</v>
      </c>
      <c r="Q17" s="500">
        <f t="shared" ref="Q17:R17" si="13">O17/O$23</f>
        <v>0</v>
      </c>
      <c r="R17" s="500">
        <f t="shared" si="13"/>
        <v>0</v>
      </c>
      <c r="S17" s="5"/>
      <c r="T17" s="5"/>
      <c r="U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78" t="s">
        <v>324</v>
      </c>
      <c r="M18" s="379">
        <v>0.0</v>
      </c>
      <c r="N18" s="379">
        <v>0.0</v>
      </c>
      <c r="O18" s="383">
        <f t="shared" ref="O18:P18" si="14">M18*$O$8</f>
        <v>0</v>
      </c>
      <c r="P18" s="383">
        <f t="shared" si="14"/>
        <v>0</v>
      </c>
      <c r="Q18" s="381" t="str">
        <f t="shared" ref="Q18:R18" si="15">O18/O$17</f>
        <v>#DIV/0!</v>
      </c>
      <c r="R18" s="381" t="str">
        <f t="shared" si="15"/>
        <v>#DIV/0!</v>
      </c>
      <c r="S18" s="5"/>
      <c r="T18" s="5"/>
      <c r="U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378" t="s">
        <v>325</v>
      </c>
      <c r="M19" s="379">
        <v>0.0</v>
      </c>
      <c r="N19" s="379">
        <v>0.0</v>
      </c>
      <c r="O19" s="383">
        <f t="shared" ref="O19:P19" si="16">M19*$O$8</f>
        <v>0</v>
      </c>
      <c r="P19" s="383">
        <f t="shared" si="16"/>
        <v>0</v>
      </c>
      <c r="Q19" s="381" t="str">
        <f t="shared" ref="Q19:R19" si="17">O19/O$17</f>
        <v>#DIV/0!</v>
      </c>
      <c r="R19" s="381" t="str">
        <f t="shared" si="17"/>
        <v>#DIV/0!</v>
      </c>
      <c r="S19" s="5"/>
      <c r="T19" s="5"/>
      <c r="U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05" t="s">
        <v>326</v>
      </c>
      <c r="L20" s="134"/>
      <c r="M20" s="499" t="s">
        <v>304</v>
      </c>
      <c r="N20" s="504" t="s">
        <v>304</v>
      </c>
      <c r="O20" s="135">
        <f t="shared" ref="O20:P20" si="18">SUM(O21:O22)</f>
        <v>0</v>
      </c>
      <c r="P20" s="135">
        <f t="shared" si="18"/>
        <v>0</v>
      </c>
      <c r="Q20" s="500">
        <f t="shared" ref="Q20:R20" si="19">O20/O$23</f>
        <v>0</v>
      </c>
      <c r="R20" s="500">
        <f t="shared" si="19"/>
        <v>0</v>
      </c>
      <c r="S20" s="5"/>
      <c r="T20" s="5"/>
      <c r="U20" s="5"/>
    </row>
    <row r="21" ht="15.75" customHeight="1">
      <c r="A21" s="5"/>
      <c r="B21" s="288"/>
      <c r="C21" s="5"/>
      <c r="D21" s="5"/>
      <c r="E21" s="5"/>
      <c r="F21" s="5"/>
      <c r="G21" s="5"/>
      <c r="H21" s="5"/>
      <c r="I21" s="5"/>
      <c r="J21" s="5"/>
      <c r="K21" s="5"/>
      <c r="L21" s="378" t="s">
        <v>327</v>
      </c>
      <c r="M21" s="379">
        <v>0.0</v>
      </c>
      <c r="N21" s="379">
        <v>0.0</v>
      </c>
      <c r="O21" s="383">
        <f t="shared" ref="O21:P21" si="20">M21*$O$8</f>
        <v>0</v>
      </c>
      <c r="P21" s="383">
        <f t="shared" si="20"/>
        <v>0</v>
      </c>
      <c r="Q21" s="381" t="str">
        <f t="shared" ref="Q21:R21" si="21">O21/O$20</f>
        <v>#DIV/0!</v>
      </c>
      <c r="R21" s="381" t="str">
        <f t="shared" si="21"/>
        <v>#DIV/0!</v>
      </c>
      <c r="S21" s="5"/>
      <c r="T21" s="5"/>
      <c r="U21" s="5"/>
    </row>
    <row r="22" ht="15.75" customHeight="1">
      <c r="A22" s="5"/>
      <c r="B22" s="288"/>
      <c r="C22" s="5"/>
      <c r="D22" s="5"/>
      <c r="E22" s="5"/>
      <c r="F22" s="5"/>
      <c r="G22" s="5"/>
      <c r="H22" s="5"/>
      <c r="I22" s="5"/>
      <c r="J22" s="5"/>
      <c r="K22" s="5"/>
      <c r="L22" s="378" t="s">
        <v>328</v>
      </c>
      <c r="M22" s="379">
        <v>0.0</v>
      </c>
      <c r="N22" s="379">
        <v>0.0</v>
      </c>
      <c r="O22" s="383">
        <f t="shared" ref="O22:P22" si="22">M22*$O$8</f>
        <v>0</v>
      </c>
      <c r="P22" s="383">
        <f t="shared" si="22"/>
        <v>0</v>
      </c>
      <c r="Q22" s="381" t="str">
        <f t="shared" ref="Q22:R22" si="23">O22/O$20</f>
        <v>#DIV/0!</v>
      </c>
      <c r="R22" s="381" t="str">
        <f t="shared" si="23"/>
        <v>#DIV/0!</v>
      </c>
      <c r="S22" s="5"/>
      <c r="T22" s="5"/>
      <c r="U22" s="5"/>
    </row>
    <row r="23" ht="15.75" customHeight="1">
      <c r="A23" s="5"/>
      <c r="B23" s="288"/>
      <c r="C23" s="5"/>
      <c r="D23" s="5"/>
      <c r="E23" s="5"/>
      <c r="F23" s="5"/>
      <c r="G23" s="5"/>
      <c r="H23" s="5"/>
      <c r="I23" s="283">
        <f>O8/O23</f>
        <v>1</v>
      </c>
      <c r="J23" s="283">
        <f>O8/P23</f>
        <v>1</v>
      </c>
      <c r="K23" s="501" t="s">
        <v>329</v>
      </c>
      <c r="O23" s="506">
        <f t="shared" ref="O23:P23" si="24">SUM(O7,O17,O20)</f>
        <v>8889546</v>
      </c>
      <c r="P23" s="506">
        <f t="shared" si="24"/>
        <v>8889546</v>
      </c>
      <c r="Q23" s="213" t="s">
        <v>304</v>
      </c>
      <c r="R23" s="213" t="s">
        <v>304</v>
      </c>
      <c r="S23" s="5"/>
      <c r="T23" s="5"/>
      <c r="U23" s="5"/>
    </row>
    <row r="24" ht="15.75" customHeight="1">
      <c r="A24" s="5"/>
      <c r="B24" s="28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07" t="s">
        <v>330</v>
      </c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213" t="s">
        <v>331</v>
      </c>
      <c r="M27" s="496" t="s">
        <v>332</v>
      </c>
      <c r="N27" s="5"/>
      <c r="O27" s="5"/>
      <c r="P27" s="5"/>
      <c r="Q27" s="5"/>
      <c r="R27" s="5"/>
      <c r="S27" s="5"/>
      <c r="T27" s="5"/>
      <c r="U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 t="s">
        <v>428</v>
      </c>
      <c r="M28" s="471">
        <f>'Sys Volume &amp; Area'!E23</f>
        <v>78.63447112</v>
      </c>
      <c r="N28" s="472"/>
      <c r="O28" s="5"/>
      <c r="P28" s="5"/>
      <c r="Q28" s="5"/>
      <c r="R28" s="5"/>
      <c r="S28" s="5"/>
      <c r="T28" s="5"/>
      <c r="U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288"/>
      <c r="N29" s="342"/>
      <c r="O29" s="5"/>
      <c r="P29" s="5"/>
      <c r="Q29" s="5"/>
      <c r="R29" s="5"/>
      <c r="S29" s="5"/>
      <c r="T29" s="5"/>
      <c r="U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213" t="s">
        <v>334</v>
      </c>
      <c r="M30" s="213" t="s">
        <v>335</v>
      </c>
      <c r="N30" s="496" t="s">
        <v>336</v>
      </c>
      <c r="O30" s="496" t="s">
        <v>296</v>
      </c>
      <c r="P30" s="5"/>
      <c r="Q30" s="5"/>
      <c r="R30" s="5"/>
      <c r="S30" s="5"/>
      <c r="T30" s="5"/>
      <c r="U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 t="s">
        <v>337</v>
      </c>
      <c r="M31" s="5" t="s">
        <v>338</v>
      </c>
      <c r="N31" s="393">
        <v>3010.0</v>
      </c>
      <c r="O31" s="394">
        <f t="shared" ref="O31:O34" si="25">N31*(M$28+M$29)</f>
        <v>236689.7581</v>
      </c>
      <c r="Q31" s="5"/>
      <c r="R31" s="5"/>
      <c r="S31" s="5"/>
      <c r="T31" s="5"/>
      <c r="U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 t="s">
        <v>339</v>
      </c>
      <c r="M32" s="5" t="s">
        <v>340</v>
      </c>
      <c r="N32" s="393">
        <v>3800.0</v>
      </c>
      <c r="O32" s="394">
        <f t="shared" si="25"/>
        <v>298810.9903</v>
      </c>
      <c r="P32" s="392" t="s">
        <v>341</v>
      </c>
      <c r="Q32" s="5"/>
      <c r="R32" s="5"/>
      <c r="S32" s="5"/>
      <c r="T32" s="5"/>
      <c r="U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 t="s">
        <v>342</v>
      </c>
      <c r="M33" s="5" t="s">
        <v>338</v>
      </c>
      <c r="N33" s="393">
        <v>417.0</v>
      </c>
      <c r="O33" s="394">
        <f t="shared" si="25"/>
        <v>32790.57446</v>
      </c>
      <c r="P33" s="5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 t="s">
        <v>343</v>
      </c>
      <c r="M34" s="5" t="s">
        <v>338</v>
      </c>
      <c r="N34" s="393">
        <v>1660.0</v>
      </c>
      <c r="O34" s="394">
        <f t="shared" si="25"/>
        <v>130533.2221</v>
      </c>
      <c r="P34" s="5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01" t="s">
        <v>344</v>
      </c>
      <c r="O35" s="508">
        <f>MIN(O31:O34)</f>
        <v>32790.57446</v>
      </c>
      <c r="P35" s="5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01" t="s">
        <v>345</v>
      </c>
      <c r="O36" s="508">
        <f>MAX(O31:O34)</f>
        <v>298810.9903</v>
      </c>
      <c r="P36" s="5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5"/>
      <c r="B39" s="395"/>
      <c r="C39" s="395"/>
      <c r="D39" s="395"/>
      <c r="E39" s="395"/>
      <c r="F39" s="395"/>
      <c r="G39" s="395"/>
      <c r="H39" s="395"/>
      <c r="I39" s="395"/>
      <c r="J39" s="395"/>
      <c r="K39" s="395"/>
      <c r="L39" s="395"/>
      <c r="M39" s="395"/>
      <c r="N39" s="395"/>
      <c r="O39" s="395"/>
      <c r="P39" s="5"/>
      <c r="Q39" s="5"/>
      <c r="R39" s="5"/>
      <c r="S39" s="5"/>
      <c r="T39" s="5"/>
      <c r="U39" s="5"/>
    </row>
    <row r="40" ht="15.75" customHeight="1">
      <c r="A40" s="5"/>
      <c r="B40" s="495" t="s">
        <v>346</v>
      </c>
      <c r="P40" s="5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5.75" customHeight="1">
      <c r="A42" s="5"/>
      <c r="B42" s="474" t="s">
        <v>347</v>
      </c>
      <c r="C42" s="366"/>
      <c r="D42" s="366"/>
      <c r="E42" s="366"/>
      <c r="F42" s="366"/>
      <c r="G42" s="5"/>
      <c r="H42" s="5"/>
      <c r="I42" s="5"/>
      <c r="J42" s="474" t="s">
        <v>348</v>
      </c>
      <c r="L42" s="5"/>
      <c r="M42" s="396" t="s">
        <v>429</v>
      </c>
      <c r="N42" s="475">
        <f>M28</f>
        <v>78.63447112</v>
      </c>
      <c r="O42" s="5"/>
      <c r="P42" s="5"/>
      <c r="Q42" s="5"/>
      <c r="R42" s="5"/>
      <c r="S42" s="5"/>
      <c r="T42" s="5"/>
    </row>
    <row r="43" ht="15.75" customHeight="1">
      <c r="A43" s="5"/>
      <c r="B43" s="496" t="s">
        <v>350</v>
      </c>
      <c r="C43" s="213" t="s">
        <v>292</v>
      </c>
      <c r="D43" s="213" t="s">
        <v>458</v>
      </c>
      <c r="E43" s="213" t="s">
        <v>431</v>
      </c>
      <c r="F43" s="497" t="s">
        <v>353</v>
      </c>
      <c r="G43" s="497" t="s">
        <v>297</v>
      </c>
      <c r="H43" s="5"/>
      <c r="I43" s="5"/>
      <c r="J43" s="213" t="s">
        <v>182</v>
      </c>
      <c r="L43" s="496" t="s">
        <v>354</v>
      </c>
      <c r="M43" s="496" t="s">
        <v>355</v>
      </c>
      <c r="N43" s="496" t="s">
        <v>356</v>
      </c>
      <c r="O43" s="5"/>
      <c r="P43" s="5"/>
      <c r="Q43" s="5"/>
      <c r="R43" s="5"/>
      <c r="S43" s="5"/>
      <c r="T43" s="5"/>
    </row>
    <row r="44" ht="15.75" customHeight="1">
      <c r="A44" s="5"/>
      <c r="B44" s="288"/>
      <c r="C44" s="5"/>
      <c r="D44" s="258"/>
      <c r="E44" s="258"/>
      <c r="F44" s="258"/>
      <c r="G44" s="356"/>
      <c r="H44" s="5"/>
      <c r="I44" s="5"/>
      <c r="J44" s="5" t="s">
        <v>459</v>
      </c>
      <c r="L44" s="288">
        <v>1.0</v>
      </c>
      <c r="M44" s="393">
        <f>M47*3</f>
        <v>219000</v>
      </c>
      <c r="N44" s="393">
        <f t="shared" ref="N44:N48" si="26">M44*L44</f>
        <v>219000</v>
      </c>
      <c r="O44" s="5"/>
      <c r="P44" s="5"/>
      <c r="Q44" s="5"/>
      <c r="R44" s="5"/>
      <c r="S44" s="5"/>
      <c r="T44" s="5"/>
    </row>
    <row r="45" ht="15.75" customHeight="1">
      <c r="A45" s="5"/>
      <c r="B45" s="501" t="s">
        <v>322</v>
      </c>
      <c r="E45" s="496">
        <f>SUM(F44)</f>
        <v>0</v>
      </c>
      <c r="H45" s="5"/>
      <c r="I45" s="5"/>
      <c r="J45" s="5" t="s">
        <v>460</v>
      </c>
      <c r="L45" s="288">
        <v>2.0</v>
      </c>
      <c r="M45" s="393">
        <f>M47*2.5</f>
        <v>182500</v>
      </c>
      <c r="N45" s="393">
        <f t="shared" si="26"/>
        <v>365000</v>
      </c>
      <c r="O45" s="5"/>
      <c r="P45" s="5"/>
      <c r="Q45" s="5"/>
      <c r="R45" s="5"/>
      <c r="S45" s="5"/>
      <c r="T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 t="s">
        <v>461</v>
      </c>
      <c r="L46" s="288">
        <v>1.0</v>
      </c>
      <c r="M46" s="393">
        <f>M47*2</f>
        <v>146000</v>
      </c>
      <c r="N46" s="393">
        <f t="shared" si="26"/>
        <v>146000</v>
      </c>
      <c r="O46" s="5"/>
      <c r="P46" s="5"/>
      <c r="Q46" s="5"/>
      <c r="R46" s="5"/>
      <c r="S46" s="5"/>
      <c r="T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396" t="s">
        <v>363</v>
      </c>
      <c r="J47" s="5" t="s">
        <v>131</v>
      </c>
      <c r="L47" s="403">
        <v>1.0</v>
      </c>
      <c r="M47" s="393">
        <f>'System Control &amp; Outputs'!$C$27*40*50</f>
        <v>73000</v>
      </c>
      <c r="N47" s="393">
        <f t="shared" si="26"/>
        <v>73000</v>
      </c>
      <c r="O47" s="392" t="s">
        <v>364</v>
      </c>
      <c r="P47" s="5"/>
      <c r="Q47" s="5"/>
      <c r="R47" s="5"/>
      <c r="S47" s="5"/>
      <c r="T47" s="5"/>
    </row>
    <row r="48" ht="15.75" customHeight="1">
      <c r="A48" s="5"/>
      <c r="B48" s="474" t="s">
        <v>367</v>
      </c>
      <c r="C48" s="366"/>
      <c r="D48" s="366"/>
      <c r="E48" s="366"/>
      <c r="F48" s="366"/>
      <c r="G48" s="5"/>
      <c r="H48" s="5"/>
      <c r="I48" s="396" t="s">
        <v>363</v>
      </c>
      <c r="J48" s="5" t="s">
        <v>135</v>
      </c>
      <c r="L48" s="403">
        <f>ROUNDUP(N42/10)</f>
        <v>8</v>
      </c>
      <c r="M48" s="393">
        <f>'System Control &amp; Outputs'!$C$27*40*50</f>
        <v>73000</v>
      </c>
      <c r="N48" s="393">
        <f t="shared" si="26"/>
        <v>584000</v>
      </c>
      <c r="O48" s="476" t="s">
        <v>435</v>
      </c>
      <c r="P48" s="5"/>
      <c r="Q48" s="5"/>
      <c r="R48" s="5"/>
      <c r="S48" s="5"/>
      <c r="T48" s="5"/>
    </row>
    <row r="49" ht="15.75" customHeight="1">
      <c r="A49" s="5"/>
      <c r="B49" s="496" t="s">
        <v>291</v>
      </c>
      <c r="C49" s="213" t="s">
        <v>292</v>
      </c>
      <c r="D49" s="213" t="s">
        <v>368</v>
      </c>
      <c r="E49" s="497" t="s">
        <v>352</v>
      </c>
      <c r="F49" s="497" t="s">
        <v>353</v>
      </c>
      <c r="G49" s="497" t="s">
        <v>297</v>
      </c>
      <c r="H49" s="5"/>
      <c r="I49" s="477"/>
      <c r="J49" s="501" t="s">
        <v>365</v>
      </c>
      <c r="L49" s="496">
        <f>SUM(L44:L48)</f>
        <v>13</v>
      </c>
      <c r="M49" s="509"/>
      <c r="N49" s="502">
        <f>SUM(N44:N48)</f>
        <v>1387000</v>
      </c>
      <c r="O49" s="5"/>
      <c r="P49" s="5"/>
      <c r="Q49" s="5"/>
      <c r="R49" s="5"/>
      <c r="S49" s="5"/>
      <c r="T49" s="5"/>
    </row>
    <row r="50" ht="15.75" customHeight="1">
      <c r="A50" s="5"/>
      <c r="B50" s="288">
        <f t="shared" ref="B50:C50" si="27">B6</f>
        <v>1</v>
      </c>
      <c r="C50" s="258" t="str">
        <f t="shared" si="27"/>
        <v>Ponds</v>
      </c>
      <c r="D50" s="5" t="s">
        <v>370</v>
      </c>
      <c r="E50" s="479">
        <f>'Biomass Details'!L37*'Sys Volume &amp; Area'!E17</f>
        <v>1656882.473</v>
      </c>
      <c r="F50" s="458">
        <f>'Biomass Details'!M37</f>
        <v>1656882.473</v>
      </c>
      <c r="G50" s="359"/>
      <c r="H50" s="5"/>
      <c r="I50" s="396" t="s">
        <v>363</v>
      </c>
      <c r="J50" s="5" t="s">
        <v>136</v>
      </c>
      <c r="L50" s="403">
        <f>L48*2</f>
        <v>16</v>
      </c>
      <c r="M50" s="393">
        <f>'System Control &amp; Outputs'!$C$27*40*50</f>
        <v>73000</v>
      </c>
      <c r="N50" s="393">
        <f>M50*L50</f>
        <v>1168000</v>
      </c>
      <c r="O50" s="476" t="s">
        <v>436</v>
      </c>
      <c r="P50" s="5"/>
      <c r="Q50" s="5"/>
      <c r="R50" s="5"/>
      <c r="S50" s="5"/>
      <c r="T50" s="5"/>
    </row>
    <row r="51" ht="15.75" customHeight="1">
      <c r="A51" s="5"/>
      <c r="B51" s="288" t="str">
        <f t="shared" ref="B51:C51" si="28">B7</f>
        <v/>
      </c>
      <c r="C51" s="258" t="str">
        <f t="shared" si="28"/>
        <v/>
      </c>
      <c r="H51" s="5"/>
      <c r="I51" s="5"/>
      <c r="J51" s="501" t="s">
        <v>366</v>
      </c>
      <c r="L51" s="496">
        <f>SUM(L44:L47)+L50</f>
        <v>21</v>
      </c>
      <c r="M51" s="509"/>
      <c r="N51" s="502">
        <f>SUM(N44:N47)+N50</f>
        <v>1971000</v>
      </c>
      <c r="P51" s="5"/>
      <c r="Q51" s="5"/>
      <c r="R51" s="5"/>
      <c r="S51" s="5"/>
      <c r="T51" s="5"/>
    </row>
    <row r="52" ht="15.75" customHeight="1">
      <c r="A52" s="5"/>
      <c r="B52" s="501" t="s">
        <v>322</v>
      </c>
      <c r="E52" s="502">
        <f>SUM(F50)</f>
        <v>1656882.473</v>
      </c>
      <c r="H52" s="5"/>
      <c r="I52" s="5"/>
      <c r="J52" s="5"/>
      <c r="K52" s="5"/>
      <c r="L52" s="5"/>
      <c r="M52" s="5"/>
      <c r="N52" s="5"/>
      <c r="O52" s="258"/>
      <c r="P52" s="5"/>
      <c r="Q52" s="5"/>
      <c r="R52" s="5"/>
      <c r="S52" s="5"/>
      <c r="T52" s="5"/>
    </row>
    <row r="53" ht="15.75" customHeight="1">
      <c r="A53" s="5"/>
      <c r="B53" s="5" t="s">
        <v>373</v>
      </c>
      <c r="E53" s="408">
        <f>E50</f>
        <v>1656882.473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5.75" customHeight="1">
      <c r="A54" s="5"/>
      <c r="B54" s="5" t="s">
        <v>100</v>
      </c>
      <c r="E54" s="5">
        <v>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5.75" customHeight="1">
      <c r="A55" s="5"/>
      <c r="B55" s="474"/>
      <c r="C55" s="366"/>
      <c r="D55" s="366"/>
      <c r="E55" s="366"/>
      <c r="F55" s="36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5.75" customHeight="1">
      <c r="A56" s="5"/>
      <c r="B56" s="474" t="s">
        <v>374</v>
      </c>
      <c r="C56" s="366"/>
      <c r="D56" s="366"/>
      <c r="E56" s="366"/>
      <c r="F56" s="36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5.75" customHeight="1">
      <c r="A57" s="5"/>
      <c r="B57" s="496" t="s">
        <v>291</v>
      </c>
      <c r="C57" s="213" t="s">
        <v>292</v>
      </c>
      <c r="D57" s="497" t="s">
        <v>375</v>
      </c>
      <c r="E57" s="497" t="s">
        <v>376</v>
      </c>
      <c r="F57" s="497" t="s">
        <v>353</v>
      </c>
      <c r="G57" s="497" t="s">
        <v>297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5.75" customHeight="1">
      <c r="A58" s="5"/>
      <c r="B58" s="288">
        <f t="shared" ref="B58:C58" si="29">B50</f>
        <v>1</v>
      </c>
      <c r="C58" s="258" t="str">
        <f t="shared" si="29"/>
        <v>Ponds</v>
      </c>
      <c r="D58" s="258" t="s">
        <v>377</v>
      </c>
      <c r="E58" s="356">
        <v>0.05</v>
      </c>
      <c r="F58" s="458">
        <f t="shared" ref="F58:F59" si="31">G6*E58</f>
        <v>444477.3</v>
      </c>
      <c r="G58" s="480">
        <f t="shared" ref="G58:G59" si="32">F58/E$60</f>
        <v>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5.75" customHeight="1">
      <c r="A59" s="5"/>
      <c r="B59" s="288" t="str">
        <f t="shared" ref="B59:C59" si="30">B51</f>
        <v/>
      </c>
      <c r="C59" s="258" t="str">
        <f t="shared" si="30"/>
        <v/>
      </c>
      <c r="D59" s="258" t="s">
        <v>377</v>
      </c>
      <c r="E59" s="356">
        <v>0.05</v>
      </c>
      <c r="F59" s="458">
        <f t="shared" si="31"/>
        <v>0</v>
      </c>
      <c r="G59" s="480">
        <f t="shared" si="32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5"/>
      <c r="B60" s="501" t="s">
        <v>322</v>
      </c>
      <c r="E60" s="502">
        <f>SUM(F58:F59)</f>
        <v>444477.3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5"/>
      <c r="B61" s="5"/>
      <c r="C61" s="5" t="s">
        <v>462</v>
      </c>
      <c r="D61" s="458" t="str">
        <f>E60/F7</f>
        <v>#DIV/0!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288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288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288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28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28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28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28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288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288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288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288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288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288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288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288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288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288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8">
    <mergeCell ref="B2:R2"/>
    <mergeCell ref="K4:R4"/>
    <mergeCell ref="K5:L6"/>
    <mergeCell ref="M5:N5"/>
    <mergeCell ref="Q5:R5"/>
    <mergeCell ref="B8:D8"/>
    <mergeCell ref="F8:H8"/>
    <mergeCell ref="O5:P5"/>
    <mergeCell ref="O8:P8"/>
    <mergeCell ref="K23:N23"/>
    <mergeCell ref="K27:L27"/>
    <mergeCell ref="K28:L28"/>
    <mergeCell ref="K30:L30"/>
    <mergeCell ref="K31:L31"/>
    <mergeCell ref="K32:L32"/>
    <mergeCell ref="K33:L33"/>
    <mergeCell ref="K34:L34"/>
    <mergeCell ref="K35:N35"/>
    <mergeCell ref="K36:N36"/>
    <mergeCell ref="B40:O40"/>
    <mergeCell ref="J42:K42"/>
    <mergeCell ref="J43:K43"/>
    <mergeCell ref="J44:K44"/>
    <mergeCell ref="B45:D45"/>
    <mergeCell ref="E45:G45"/>
    <mergeCell ref="J45:K45"/>
    <mergeCell ref="J46:K46"/>
    <mergeCell ref="J47:K47"/>
    <mergeCell ref="B54:D54"/>
    <mergeCell ref="B60:D60"/>
    <mergeCell ref="E60:G60"/>
    <mergeCell ref="J48:K48"/>
    <mergeCell ref="J49:K49"/>
    <mergeCell ref="J50:K50"/>
    <mergeCell ref="J51:K51"/>
    <mergeCell ref="B52:D52"/>
    <mergeCell ref="E52:G52"/>
    <mergeCell ref="B53:D5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.25"/>
    <col customWidth="1" min="3" max="4" width="18.25"/>
    <col customWidth="1" min="10" max="10" width="15.5"/>
    <col customWidth="1" min="11" max="12" width="18.25"/>
    <col customWidth="1" min="15" max="15" width="13.88"/>
  </cols>
  <sheetData>
    <row r="1" ht="15.75" customHeight="1">
      <c r="A1" s="334"/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6"/>
    </row>
    <row r="2" ht="15.75" customHeight="1">
      <c r="A2" s="334"/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</row>
    <row r="3" ht="15.75" customHeight="1">
      <c r="A3" s="334"/>
      <c r="B3" s="510" t="s">
        <v>381</v>
      </c>
      <c r="N3" s="334"/>
      <c r="O3" s="334"/>
      <c r="P3" s="334"/>
      <c r="Q3" s="334"/>
      <c r="R3" s="334"/>
    </row>
    <row r="4" ht="15.75" customHeight="1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</row>
    <row r="5" ht="15.75" customHeight="1">
      <c r="A5" s="334"/>
      <c r="B5" s="511" t="s">
        <v>437</v>
      </c>
      <c r="I5" s="425"/>
      <c r="J5" s="512" t="s">
        <v>438</v>
      </c>
      <c r="N5" s="425"/>
      <c r="O5" s="425"/>
      <c r="P5" s="334"/>
      <c r="Q5" s="336"/>
    </row>
    <row r="6" ht="33.75" customHeight="1">
      <c r="A6" s="334"/>
      <c r="B6" s="513" t="s">
        <v>29</v>
      </c>
      <c r="C6" s="513" t="s">
        <v>439</v>
      </c>
      <c r="D6" s="513" t="s">
        <v>440</v>
      </c>
      <c r="E6" s="513" t="s">
        <v>441</v>
      </c>
      <c r="F6" s="513" t="s">
        <v>442</v>
      </c>
      <c r="G6" s="513" t="s">
        <v>443</v>
      </c>
      <c r="H6" s="513" t="s">
        <v>444</v>
      </c>
      <c r="I6" s="425"/>
      <c r="J6" s="514" t="s">
        <v>29</v>
      </c>
      <c r="K6" s="514" t="s">
        <v>439</v>
      </c>
      <c r="L6" s="514" t="s">
        <v>445</v>
      </c>
      <c r="M6" s="515" t="s">
        <v>296</v>
      </c>
      <c r="N6" s="425"/>
      <c r="O6" s="425"/>
      <c r="P6" s="334"/>
      <c r="Q6" s="336"/>
    </row>
    <row r="7" ht="16.5" customHeight="1">
      <c r="A7" s="334"/>
      <c r="B7" s="486">
        <v>2.0</v>
      </c>
      <c r="C7" s="486" t="s">
        <v>446</v>
      </c>
      <c r="D7" s="487">
        <v>2.46531755E8</v>
      </c>
      <c r="E7" s="488">
        <f t="shared" ref="E7:E12" si="1">D7/5000</f>
        <v>49306.351</v>
      </c>
      <c r="F7" s="486">
        <f t="shared" ref="F7:F12" si="2">5000/B7</f>
        <v>2500</v>
      </c>
      <c r="G7" s="488">
        <f t="shared" ref="G7:G12" si="3">E7*B7</f>
        <v>98612.702</v>
      </c>
      <c r="H7" s="488">
        <f t="shared" ref="H7:H12" si="4">G7*1.24</f>
        <v>122279.7505</v>
      </c>
      <c r="I7" s="425"/>
      <c r="J7" s="516">
        <v>1.0</v>
      </c>
      <c r="K7" s="346" t="s">
        <v>447</v>
      </c>
      <c r="L7" s="428">
        <f t="shared" ref="L7:L10" si="5">60788*J7+68046</f>
        <v>128834</v>
      </c>
      <c r="M7" s="428">
        <f>L7*'Sys Volume &amp; Area'!$E$17</f>
        <v>8889546</v>
      </c>
      <c r="N7" s="425"/>
      <c r="O7" s="425"/>
      <c r="P7" s="334"/>
      <c r="Q7" s="336"/>
    </row>
    <row r="8" ht="16.5" customHeight="1">
      <c r="A8" s="334"/>
      <c r="B8" s="486">
        <v>10.0</v>
      </c>
      <c r="C8" s="486" t="s">
        <v>446</v>
      </c>
      <c r="D8" s="490">
        <v>1.5850691E8</v>
      </c>
      <c r="E8" s="488">
        <f t="shared" si="1"/>
        <v>31701.382</v>
      </c>
      <c r="F8" s="486">
        <f t="shared" si="2"/>
        <v>500</v>
      </c>
      <c r="G8" s="488">
        <f t="shared" si="3"/>
        <v>317013.82</v>
      </c>
      <c r="H8" s="488">
        <f t="shared" si="4"/>
        <v>393097.1368</v>
      </c>
      <c r="I8" s="334"/>
      <c r="J8" s="346">
        <v>2.5</v>
      </c>
      <c r="K8" s="346" t="s">
        <v>447</v>
      </c>
      <c r="L8" s="428">
        <f t="shared" si="5"/>
        <v>220016</v>
      </c>
      <c r="M8" s="428">
        <f>L8*'Sys Volume &amp; Area'!$E$17</f>
        <v>15181104</v>
      </c>
      <c r="N8" s="334"/>
      <c r="O8" s="334"/>
      <c r="P8" s="334"/>
      <c r="Q8" s="336"/>
    </row>
    <row r="9" ht="16.5" customHeight="1">
      <c r="A9" s="334"/>
      <c r="B9" s="486">
        <v>50.0</v>
      </c>
      <c r="C9" s="486" t="s">
        <v>446</v>
      </c>
      <c r="D9" s="487">
        <v>9.8673256E7</v>
      </c>
      <c r="E9" s="488">
        <f t="shared" si="1"/>
        <v>19734.6512</v>
      </c>
      <c r="F9" s="486">
        <f t="shared" si="2"/>
        <v>100</v>
      </c>
      <c r="G9" s="488">
        <f t="shared" si="3"/>
        <v>986732.56</v>
      </c>
      <c r="H9" s="488">
        <f t="shared" si="4"/>
        <v>1223548.374</v>
      </c>
      <c r="I9" s="334"/>
      <c r="J9" s="346">
        <v>5.0</v>
      </c>
      <c r="K9" s="346" t="s">
        <v>447</v>
      </c>
      <c r="L9" s="428">
        <f t="shared" si="5"/>
        <v>371986</v>
      </c>
      <c r="M9" s="428">
        <f>L9*'Sys Volume &amp; Area'!$E$17</f>
        <v>25667034</v>
      </c>
      <c r="N9" s="334"/>
      <c r="O9" s="334"/>
      <c r="P9" s="334"/>
      <c r="Q9" s="336"/>
    </row>
    <row r="10" ht="16.5" customHeight="1">
      <c r="A10" s="334"/>
      <c r="B10" s="486">
        <v>2.0</v>
      </c>
      <c r="C10" s="486" t="s">
        <v>447</v>
      </c>
      <c r="D10" s="487">
        <v>3.65691872E8</v>
      </c>
      <c r="E10" s="488">
        <f t="shared" si="1"/>
        <v>73138.3744</v>
      </c>
      <c r="F10" s="486">
        <f t="shared" si="2"/>
        <v>2500</v>
      </c>
      <c r="G10" s="488">
        <f t="shared" si="3"/>
        <v>146276.7488</v>
      </c>
      <c r="H10" s="488">
        <f t="shared" si="4"/>
        <v>181383.1685</v>
      </c>
      <c r="I10" s="334"/>
      <c r="J10" s="516">
        <v>10.0</v>
      </c>
      <c r="K10" s="346" t="s">
        <v>447</v>
      </c>
      <c r="L10" s="428">
        <f t="shared" si="5"/>
        <v>675926</v>
      </c>
      <c r="M10" s="428">
        <f>L10*'Sys Volume &amp; Area'!$E$17</f>
        <v>46638894</v>
      </c>
      <c r="N10" s="334"/>
      <c r="O10" s="334"/>
      <c r="P10" s="334"/>
      <c r="Q10" s="336"/>
    </row>
    <row r="11" ht="16.5" customHeight="1">
      <c r="A11" s="334"/>
      <c r="B11" s="486">
        <v>10.0</v>
      </c>
      <c r="C11" s="486" t="s">
        <v>447</v>
      </c>
      <c r="D11" s="490">
        <v>2.76539009E8</v>
      </c>
      <c r="E11" s="488">
        <f t="shared" si="1"/>
        <v>55307.8018</v>
      </c>
      <c r="F11" s="486">
        <f t="shared" si="2"/>
        <v>500</v>
      </c>
      <c r="G11" s="488">
        <f t="shared" si="3"/>
        <v>553078.018</v>
      </c>
      <c r="H11" s="488">
        <f t="shared" si="4"/>
        <v>685816.7423</v>
      </c>
      <c r="I11" s="334"/>
      <c r="J11" s="334"/>
      <c r="K11" s="334"/>
      <c r="L11" s="334"/>
      <c r="M11" s="334"/>
      <c r="N11" s="334"/>
      <c r="O11" s="334"/>
      <c r="P11" s="334"/>
      <c r="Q11" s="336"/>
    </row>
    <row r="12" ht="16.5" customHeight="1">
      <c r="A12" s="334"/>
      <c r="B12" s="493">
        <v>50.0</v>
      </c>
      <c r="C12" s="486" t="s">
        <v>447</v>
      </c>
      <c r="D12" s="487">
        <v>2.50468668E8</v>
      </c>
      <c r="E12" s="488">
        <f t="shared" si="1"/>
        <v>50093.7336</v>
      </c>
      <c r="F12" s="486">
        <f t="shared" si="2"/>
        <v>100</v>
      </c>
      <c r="G12" s="488">
        <f t="shared" si="3"/>
        <v>2504686.68</v>
      </c>
      <c r="H12" s="488">
        <f t="shared" si="4"/>
        <v>3105811.483</v>
      </c>
      <c r="I12" s="334"/>
      <c r="J12" s="346"/>
      <c r="K12" s="346"/>
      <c r="L12" s="346"/>
      <c r="M12" s="346"/>
      <c r="N12" s="346"/>
      <c r="O12" s="346"/>
      <c r="P12" s="346"/>
      <c r="Q12" s="336"/>
    </row>
    <row r="13" ht="15.75" customHeight="1">
      <c r="A13" s="334"/>
      <c r="B13" s="494" t="s">
        <v>452</v>
      </c>
      <c r="I13" s="334"/>
      <c r="J13" s="512"/>
      <c r="Q13" s="336"/>
    </row>
    <row r="14" ht="33.0" customHeight="1">
      <c r="A14" s="334"/>
      <c r="D14" s="334"/>
      <c r="E14" s="334"/>
      <c r="F14" s="334"/>
      <c r="G14" s="334"/>
      <c r="H14" s="334"/>
      <c r="I14" s="334"/>
      <c r="J14" s="514"/>
      <c r="K14" s="514"/>
      <c r="L14" s="514"/>
      <c r="M14" s="514"/>
      <c r="N14" s="514"/>
      <c r="O14" s="514"/>
      <c r="P14" s="514"/>
      <c r="Q14" s="336"/>
    </row>
    <row r="15" ht="15.75" customHeight="1">
      <c r="A15" s="334"/>
      <c r="D15" s="334"/>
      <c r="E15" s="334"/>
      <c r="F15" s="334"/>
      <c r="G15" s="334"/>
      <c r="H15" s="334"/>
      <c r="I15" s="334"/>
      <c r="J15" s="258"/>
      <c r="K15" s="258"/>
      <c r="L15" s="517"/>
      <c r="M15" s="346"/>
      <c r="N15" s="518"/>
      <c r="O15" s="428"/>
      <c r="P15" s="518"/>
      <c r="Q15" s="336"/>
    </row>
    <row r="16" ht="15.75" customHeight="1">
      <c r="A16" s="334"/>
      <c r="D16" s="334"/>
      <c r="E16" s="334"/>
      <c r="F16" s="334"/>
      <c r="G16" s="334"/>
      <c r="H16" s="334"/>
      <c r="I16" s="334"/>
      <c r="J16" s="346"/>
      <c r="K16" s="346"/>
      <c r="L16" s="430"/>
      <c r="M16" s="346"/>
      <c r="N16" s="346"/>
      <c r="O16" s="346"/>
      <c r="P16" s="346"/>
      <c r="Q16" s="336"/>
    </row>
    <row r="17" ht="15.75" customHeight="1">
      <c r="A17" s="334"/>
      <c r="I17" s="334"/>
      <c r="J17" s="512"/>
      <c r="Q17" s="336"/>
    </row>
    <row r="18" ht="33.0" customHeight="1">
      <c r="A18" s="334"/>
      <c r="I18" s="334"/>
      <c r="J18" s="514"/>
      <c r="K18" s="514"/>
      <c r="L18" s="514"/>
      <c r="M18" s="514"/>
      <c r="N18" s="514"/>
      <c r="O18" s="514"/>
      <c r="P18" s="514"/>
      <c r="Q18" s="336"/>
    </row>
    <row r="19" ht="15.75" customHeight="1">
      <c r="A19" s="334"/>
      <c r="I19" s="334"/>
      <c r="J19" s="258"/>
      <c r="K19" s="258"/>
      <c r="L19" s="517"/>
      <c r="M19" s="346"/>
      <c r="N19" s="518"/>
      <c r="O19" s="428"/>
      <c r="P19" s="518"/>
      <c r="Q19" s="336"/>
    </row>
    <row r="20" ht="15.75" customHeight="1">
      <c r="A20" s="334"/>
      <c r="B20" s="334"/>
      <c r="C20" s="334"/>
      <c r="D20" s="334"/>
      <c r="E20" s="334"/>
      <c r="F20" s="334"/>
      <c r="G20" s="334"/>
      <c r="H20" s="334"/>
      <c r="I20" s="334"/>
      <c r="J20" s="258"/>
      <c r="K20" s="258"/>
      <c r="L20" s="430"/>
      <c r="M20" s="346"/>
      <c r="N20" s="346"/>
      <c r="O20" s="346"/>
      <c r="P20" s="346"/>
      <c r="Q20" s="336"/>
    </row>
    <row r="21" ht="15.75" customHeight="1">
      <c r="A21" s="334"/>
      <c r="B21" s="334"/>
      <c r="C21" s="334"/>
      <c r="D21" s="334"/>
      <c r="E21" s="334"/>
      <c r="F21" s="334"/>
      <c r="G21" s="334"/>
      <c r="H21" s="334"/>
      <c r="I21" s="334"/>
      <c r="J21" s="512"/>
      <c r="P21" s="346"/>
      <c r="Q21" s="336"/>
    </row>
    <row r="22" ht="33.0" customHeight="1">
      <c r="A22" s="334"/>
      <c r="B22" s="334"/>
      <c r="C22" s="334"/>
      <c r="D22" s="334"/>
      <c r="E22" s="334"/>
      <c r="F22" s="334"/>
      <c r="G22" s="334"/>
      <c r="H22" s="334"/>
      <c r="I22" s="334"/>
      <c r="J22" s="514"/>
      <c r="K22" s="514"/>
      <c r="L22" s="514"/>
      <c r="M22" s="514"/>
      <c r="N22" s="514"/>
      <c r="O22" s="514"/>
      <c r="P22" s="346"/>
      <c r="Q22" s="336"/>
    </row>
    <row r="23" ht="15.75" customHeight="1">
      <c r="A23" s="334"/>
      <c r="B23" s="334"/>
      <c r="C23" s="334"/>
      <c r="D23" s="334"/>
      <c r="E23" s="334"/>
      <c r="F23" s="334"/>
      <c r="G23" s="334"/>
      <c r="H23" s="334"/>
      <c r="I23" s="334"/>
      <c r="J23" s="346"/>
      <c r="K23" s="347"/>
      <c r="L23" s="519"/>
      <c r="M23" s="346"/>
      <c r="N23" s="518"/>
      <c r="O23" s="428"/>
      <c r="P23" s="346"/>
      <c r="Q23" s="336"/>
    </row>
    <row r="24" ht="15.75" customHeight="1">
      <c r="A24" s="334"/>
      <c r="B24" s="334"/>
      <c r="C24" s="334"/>
      <c r="D24" s="334"/>
      <c r="E24" s="334"/>
      <c r="F24" s="334"/>
      <c r="G24" s="334"/>
      <c r="H24" s="334"/>
      <c r="I24" s="334"/>
      <c r="K24" s="520"/>
      <c r="M24" s="334"/>
      <c r="N24" s="334"/>
      <c r="O24" s="334"/>
      <c r="P24" s="334"/>
      <c r="Q24" s="336"/>
    </row>
    <row r="25" ht="15.75" customHeight="1">
      <c r="A25" s="334"/>
      <c r="B25" s="334"/>
      <c r="C25" s="334"/>
      <c r="D25" s="334"/>
      <c r="E25" s="334"/>
      <c r="F25" s="334"/>
      <c r="G25" s="334"/>
      <c r="H25" s="334"/>
      <c r="I25" s="334"/>
      <c r="J25" s="189"/>
      <c r="K25" s="521"/>
      <c r="M25" s="334"/>
      <c r="N25" s="334"/>
      <c r="O25" s="334"/>
      <c r="P25" s="334"/>
      <c r="Q25" s="336"/>
    </row>
    <row r="26" ht="15.75" customHeight="1">
      <c r="A26" s="334"/>
      <c r="B26" s="334"/>
      <c r="C26" s="334"/>
      <c r="D26" s="334"/>
      <c r="E26" s="334"/>
      <c r="F26" s="334"/>
      <c r="G26" s="334"/>
      <c r="H26" s="334"/>
      <c r="I26" s="334"/>
      <c r="J26" s="334"/>
      <c r="K26" s="522"/>
      <c r="L26" s="334"/>
      <c r="M26" s="523"/>
      <c r="N26" s="334"/>
      <c r="O26" s="334"/>
      <c r="P26" s="334"/>
      <c r="Q26" s="336"/>
    </row>
    <row r="27" ht="15.75" customHeight="1">
      <c r="A27" s="334"/>
      <c r="B27" s="334"/>
      <c r="C27" s="334"/>
      <c r="D27" s="334"/>
      <c r="E27" s="334"/>
      <c r="F27" s="334"/>
      <c r="G27" s="334"/>
      <c r="H27" s="334"/>
      <c r="I27" s="334"/>
      <c r="J27" s="334"/>
      <c r="K27" s="522"/>
      <c r="L27" s="334"/>
      <c r="M27" s="524"/>
      <c r="N27" s="525"/>
      <c r="O27" s="523"/>
      <c r="P27" s="334"/>
      <c r="Q27" s="336"/>
    </row>
    <row r="28" ht="15.75" customHeight="1">
      <c r="A28" s="334"/>
      <c r="B28" s="334"/>
      <c r="C28" s="334"/>
      <c r="D28" s="334"/>
      <c r="E28" s="334"/>
      <c r="F28" s="334"/>
      <c r="G28" s="334"/>
      <c r="H28" s="334"/>
      <c r="I28" s="334"/>
      <c r="J28" s="334"/>
      <c r="K28" s="526"/>
      <c r="L28" s="334"/>
      <c r="M28" s="334"/>
      <c r="N28" s="525"/>
      <c r="O28" s="523"/>
      <c r="P28" s="334"/>
      <c r="Q28" s="336"/>
    </row>
    <row r="29" ht="15.75" customHeight="1">
      <c r="A29" s="334"/>
      <c r="B29" s="334"/>
      <c r="C29" s="334"/>
      <c r="D29" s="334"/>
      <c r="E29" s="334"/>
      <c r="F29" s="334"/>
      <c r="G29" s="334"/>
      <c r="H29" s="334"/>
      <c r="I29" s="334"/>
      <c r="J29" s="334"/>
      <c r="K29" s="526"/>
      <c r="L29" s="334"/>
      <c r="M29" s="334"/>
      <c r="N29" s="334"/>
      <c r="O29" s="334"/>
      <c r="P29" s="334"/>
      <c r="Q29" s="336"/>
    </row>
    <row r="30" ht="15.75" customHeight="1">
      <c r="A30" s="334"/>
      <c r="B30" s="334"/>
      <c r="C30" s="334"/>
      <c r="D30" s="334"/>
      <c r="E30" s="334"/>
      <c r="F30" s="334"/>
      <c r="G30" s="334"/>
      <c r="H30" s="334"/>
      <c r="I30" s="334"/>
      <c r="J30" s="334"/>
      <c r="K30" s="334"/>
      <c r="L30" s="334"/>
      <c r="M30" s="334"/>
      <c r="N30" s="334"/>
      <c r="O30" s="334"/>
      <c r="P30" s="334"/>
      <c r="Q30" s="336"/>
    </row>
    <row r="31" ht="15.75" customHeight="1">
      <c r="A31" s="334"/>
      <c r="B31" s="334"/>
      <c r="C31" s="334"/>
      <c r="D31" s="334"/>
      <c r="E31" s="334"/>
      <c r="F31" s="334"/>
      <c r="G31" s="334"/>
      <c r="H31" s="334"/>
      <c r="I31" s="334"/>
      <c r="J31" s="334"/>
      <c r="K31" s="334"/>
      <c r="L31" s="334"/>
      <c r="M31" s="334"/>
      <c r="N31" s="334"/>
      <c r="O31" s="334"/>
      <c r="P31" s="334"/>
      <c r="Q31" s="336"/>
    </row>
    <row r="32" ht="15.75" customHeight="1">
      <c r="A32" s="334"/>
      <c r="B32" s="334"/>
      <c r="C32" s="334"/>
      <c r="D32" s="334"/>
      <c r="E32" s="334"/>
      <c r="F32" s="334"/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Q32" s="336"/>
    </row>
    <row r="33" ht="15.75" customHeight="1">
      <c r="A33" s="334"/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6"/>
    </row>
    <row r="34" ht="15.75" customHeight="1">
      <c r="A34" s="334"/>
      <c r="B34" s="511" t="s">
        <v>437</v>
      </c>
      <c r="I34" s="334"/>
      <c r="J34" s="512" t="s">
        <v>438</v>
      </c>
      <c r="N34" s="334"/>
      <c r="O34" s="334"/>
      <c r="P34" s="334"/>
      <c r="Q34" s="336"/>
    </row>
    <row r="35" ht="33.0" customHeight="1">
      <c r="A35" s="334"/>
      <c r="B35" s="513" t="s">
        <v>29</v>
      </c>
      <c r="C35" s="515" t="s">
        <v>453</v>
      </c>
      <c r="D35" s="515" t="s">
        <v>454</v>
      </c>
      <c r="E35" s="334"/>
      <c r="F35" s="334"/>
      <c r="G35" s="334"/>
      <c r="H35" s="334"/>
      <c r="I35" s="334"/>
      <c r="J35" s="514" t="s">
        <v>29</v>
      </c>
      <c r="K35" s="515" t="s">
        <v>454</v>
      </c>
      <c r="L35" s="515" t="s">
        <v>455</v>
      </c>
      <c r="M35" s="515" t="s">
        <v>456</v>
      </c>
      <c r="N35" s="334"/>
      <c r="O35" s="334"/>
      <c r="P35" s="334"/>
      <c r="Q35" s="336"/>
    </row>
    <row r="36" ht="15.75" customHeight="1">
      <c r="A36" s="334"/>
      <c r="B36" s="486">
        <v>2.0</v>
      </c>
      <c r="C36" s="346">
        <v>75.5</v>
      </c>
      <c r="D36" s="430">
        <f t="shared" ref="D36:D38" si="6">C36/2.47105</f>
        <v>30.55381316</v>
      </c>
      <c r="E36" s="334"/>
      <c r="F36" s="334"/>
      <c r="G36" s="334"/>
      <c r="H36" s="334"/>
      <c r="I36" s="334"/>
      <c r="J36" s="346">
        <v>1.0</v>
      </c>
      <c r="K36" s="430">
        <f t="shared" ref="K36:K39" si="7">34.2*(J36^-0.176)</f>
        <v>34.2</v>
      </c>
      <c r="L36" s="347">
        <f>K36*J36*'Sys Volume &amp; Area'!$B$12</f>
        <v>11286</v>
      </c>
      <c r="M36" s="428">
        <f>L36*'Sys Volume &amp; Area'!$E$17</f>
        <v>778734</v>
      </c>
      <c r="N36" s="334"/>
      <c r="O36" s="334"/>
      <c r="P36" s="334"/>
      <c r="Q36" s="336"/>
    </row>
    <row r="37" ht="15.75" customHeight="1">
      <c r="A37" s="334"/>
      <c r="B37" s="486">
        <v>10.0</v>
      </c>
      <c r="C37" s="346">
        <v>55.1</v>
      </c>
      <c r="D37" s="430">
        <f t="shared" si="6"/>
        <v>22.29821331</v>
      </c>
      <c r="E37" s="334"/>
      <c r="F37" s="334"/>
      <c r="G37" s="334"/>
      <c r="H37" s="334"/>
      <c r="I37" s="334"/>
      <c r="J37" s="346">
        <v>2.5</v>
      </c>
      <c r="K37" s="430">
        <f t="shared" si="7"/>
        <v>29.10641147</v>
      </c>
      <c r="L37" s="347">
        <f>K37*J37*'Sys Volume &amp; Area'!$B$12</f>
        <v>24012.78946</v>
      </c>
      <c r="M37" s="428">
        <f>L37*'Sys Volume &amp; Area'!$E$17</f>
        <v>1656882.473</v>
      </c>
      <c r="N37" s="334"/>
      <c r="O37" s="334"/>
      <c r="P37" s="334"/>
      <c r="Q37" s="336"/>
    </row>
    <row r="38" ht="15.75" customHeight="1">
      <c r="A38" s="334"/>
      <c r="B38" s="486">
        <v>50.0</v>
      </c>
      <c r="C38" s="346">
        <v>42.8</v>
      </c>
      <c r="D38" s="430">
        <f t="shared" si="6"/>
        <v>17.32057223</v>
      </c>
      <c r="E38" s="334"/>
      <c r="F38" s="334"/>
      <c r="G38" s="334"/>
      <c r="H38" s="334"/>
      <c r="I38" s="334"/>
      <c r="J38" s="346">
        <v>5.0</v>
      </c>
      <c r="K38" s="430">
        <f t="shared" si="7"/>
        <v>25.76364968</v>
      </c>
      <c r="L38" s="347">
        <f>K38*J38*'Sys Volume &amp; Area'!$B$12</f>
        <v>42510.02198</v>
      </c>
      <c r="M38" s="428">
        <f>L38*'Sys Volume &amp; Area'!$E$17</f>
        <v>2933191.517</v>
      </c>
      <c r="N38" s="334"/>
      <c r="O38" s="334"/>
      <c r="P38" s="334"/>
      <c r="Q38" s="336"/>
    </row>
    <row r="39" ht="15.75" customHeight="1">
      <c r="A39" s="334"/>
      <c r="B39" s="334"/>
      <c r="C39" s="334"/>
      <c r="D39" s="334"/>
      <c r="E39" s="334"/>
      <c r="F39" s="334"/>
      <c r="G39" s="334"/>
      <c r="H39" s="334"/>
      <c r="I39" s="334"/>
      <c r="J39" s="346">
        <v>10.0</v>
      </c>
      <c r="K39" s="430">
        <f t="shared" si="7"/>
        <v>22.80479151</v>
      </c>
      <c r="L39" s="347">
        <f>K39*J39*'Sys Volume &amp; Area'!$B$12</f>
        <v>75255.81197</v>
      </c>
      <c r="M39" s="428">
        <f>L39*'Sys Volume &amp; Area'!$E$17</f>
        <v>5192651.026</v>
      </c>
      <c r="N39" s="334"/>
      <c r="O39" s="334"/>
      <c r="P39" s="334"/>
      <c r="Q39" s="336"/>
    </row>
    <row r="40" ht="15.75" customHeight="1">
      <c r="A40" s="334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6"/>
    </row>
    <row r="41" ht="15.75" customHeight="1">
      <c r="A41" s="334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4"/>
      <c r="M41" s="334"/>
      <c r="N41" s="334"/>
      <c r="O41" s="334"/>
      <c r="P41" s="334"/>
      <c r="Q41" s="336"/>
    </row>
    <row r="42" ht="15.75" customHeight="1">
      <c r="A42" s="334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6"/>
    </row>
    <row r="43" ht="15.75" customHeight="1">
      <c r="A43" s="334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6"/>
    </row>
    <row r="44" ht="15.75" customHeight="1">
      <c r="A44" s="334"/>
      <c r="B44" s="334"/>
      <c r="C44" s="334"/>
      <c r="D44" s="334"/>
      <c r="E44" s="334"/>
      <c r="F44" s="334"/>
      <c r="G44" s="334"/>
      <c r="H44" s="334"/>
      <c r="I44" s="334"/>
      <c r="J44" s="334"/>
      <c r="K44" s="334"/>
      <c r="L44" s="334"/>
      <c r="M44" s="334"/>
      <c r="N44" s="334"/>
      <c r="O44" s="334"/>
      <c r="P44" s="334"/>
      <c r="Q44" s="336"/>
    </row>
    <row r="45" ht="15.75" customHeight="1">
      <c r="A45" s="334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6"/>
    </row>
    <row r="46" ht="15.75" customHeight="1">
      <c r="A46" s="334"/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6"/>
    </row>
    <row r="47" ht="15.75" customHeight="1">
      <c r="A47" s="334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6"/>
    </row>
    <row r="48" ht="15.75" customHeight="1">
      <c r="A48" s="334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N48" s="334"/>
      <c r="O48" s="334"/>
      <c r="P48" s="334"/>
      <c r="Q48" s="336"/>
    </row>
    <row r="49" ht="15.75" customHeight="1">
      <c r="A49" s="334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6"/>
    </row>
    <row r="50" ht="15.75" customHeight="1">
      <c r="A50" s="334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/>
      <c r="O50" s="334"/>
      <c r="P50" s="334"/>
      <c r="Q50" s="336"/>
    </row>
    <row r="51" ht="15.75" customHeight="1">
      <c r="A51" s="334"/>
      <c r="B51" s="334"/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6"/>
    </row>
    <row r="52" ht="15.75" customHeight="1">
      <c r="A52" s="334"/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334"/>
      <c r="P52" s="334"/>
      <c r="Q52" s="336"/>
    </row>
    <row r="53" ht="15.75" customHeight="1">
      <c r="A53" s="334"/>
      <c r="B53" s="334"/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6"/>
    </row>
    <row r="54" ht="15.75" customHeight="1">
      <c r="A54" s="334"/>
      <c r="B54" s="334"/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/>
      <c r="O54" s="334"/>
      <c r="P54" s="334"/>
      <c r="Q54" s="336"/>
    </row>
    <row r="55" ht="15.75" customHeight="1">
      <c r="A55" s="334"/>
      <c r="B55" s="334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6"/>
    </row>
    <row r="56" ht="15.75" customHeight="1">
      <c r="A56" s="334"/>
      <c r="B56" s="334"/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34"/>
      <c r="P56" s="334"/>
      <c r="Q56" s="336"/>
    </row>
    <row r="57" ht="15.75" customHeight="1">
      <c r="A57" s="334"/>
      <c r="B57" s="334"/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6"/>
    </row>
    <row r="58" ht="15.75" customHeight="1">
      <c r="A58" s="334"/>
      <c r="B58" s="334"/>
      <c r="C58" s="334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6"/>
    </row>
    <row r="59" ht="15.75" customHeight="1">
      <c r="A59" s="334"/>
      <c r="B59" s="334"/>
      <c r="C59" s="334"/>
      <c r="D59" s="334"/>
      <c r="E59" s="334"/>
      <c r="F59" s="334"/>
      <c r="G59" s="334"/>
      <c r="H59" s="334"/>
      <c r="I59" s="334"/>
      <c r="J59" s="334"/>
      <c r="K59" s="334"/>
      <c r="L59" s="334"/>
      <c r="M59" s="334"/>
      <c r="N59" s="334"/>
      <c r="O59" s="334"/>
      <c r="P59" s="334"/>
      <c r="Q59" s="336"/>
    </row>
    <row r="60" ht="15.75" customHeight="1">
      <c r="A60" s="334"/>
      <c r="B60" s="334"/>
      <c r="C60" s="334"/>
      <c r="D60" s="334"/>
      <c r="E60" s="334"/>
      <c r="F60" s="334"/>
      <c r="G60" s="334"/>
      <c r="H60" s="334"/>
      <c r="I60" s="334"/>
      <c r="J60" s="334"/>
      <c r="K60" s="334"/>
      <c r="L60" s="334"/>
      <c r="M60" s="334"/>
      <c r="N60" s="334"/>
      <c r="O60" s="334"/>
      <c r="P60" s="334"/>
      <c r="Q60" s="336"/>
    </row>
    <row r="61" ht="15.75" customHeight="1">
      <c r="A61" s="334"/>
      <c r="B61" s="334"/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4"/>
      <c r="O61" s="334"/>
      <c r="P61" s="334"/>
      <c r="Q61" s="336"/>
    </row>
    <row r="62" ht="15.75" customHeight="1">
      <c r="A62" s="334"/>
      <c r="B62" s="334"/>
      <c r="C62" s="334"/>
      <c r="D62" s="334"/>
      <c r="E62" s="334"/>
      <c r="F62" s="334"/>
      <c r="G62" s="334"/>
      <c r="H62" s="334"/>
      <c r="I62" s="334"/>
      <c r="J62" s="334"/>
      <c r="K62" s="334"/>
      <c r="L62" s="334"/>
      <c r="M62" s="334"/>
      <c r="N62" s="334"/>
      <c r="O62" s="334"/>
      <c r="P62" s="334"/>
      <c r="Q62" s="336"/>
    </row>
    <row r="63" ht="15.75" customHeight="1">
      <c r="A63" s="334"/>
      <c r="B63" s="334"/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6"/>
    </row>
    <row r="64" ht="15.75" customHeight="1">
      <c r="A64" s="334"/>
      <c r="B64" s="334"/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6"/>
    </row>
    <row r="65" ht="15.75" customHeight="1">
      <c r="A65" s="334"/>
      <c r="B65" s="334"/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34"/>
      <c r="P65" s="334"/>
      <c r="Q65" s="336"/>
    </row>
    <row r="66" ht="15.75" customHeight="1">
      <c r="A66" s="334"/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4"/>
      <c r="Q66" s="336"/>
    </row>
    <row r="67" ht="15.75" customHeight="1">
      <c r="A67" s="334"/>
      <c r="B67" s="334"/>
      <c r="C67" s="334"/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34"/>
      <c r="O67" s="334"/>
      <c r="P67" s="334"/>
      <c r="Q67" s="336"/>
    </row>
    <row r="68" ht="15.75" customHeight="1">
      <c r="A68" s="334"/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6"/>
    </row>
    <row r="69" ht="15.75" customHeight="1">
      <c r="A69" s="334"/>
      <c r="B69" s="334"/>
      <c r="C69" s="334"/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6"/>
    </row>
    <row r="70" ht="15.75" customHeight="1">
      <c r="A70" s="334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6"/>
    </row>
    <row r="71" ht="15.75" customHeight="1">
      <c r="A71" s="334"/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6"/>
    </row>
    <row r="72" ht="15.75" customHeight="1">
      <c r="A72" s="334"/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6"/>
    </row>
    <row r="73" ht="15.75" customHeight="1">
      <c r="A73" s="334"/>
      <c r="B73" s="334"/>
      <c r="C73" s="334"/>
      <c r="D73" s="334"/>
      <c r="E73" s="334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6"/>
    </row>
    <row r="74" ht="15.75" customHeight="1">
      <c r="A74" s="334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6"/>
    </row>
    <row r="75" ht="15.75" customHeight="1">
      <c r="A75" s="334"/>
      <c r="B75" s="334"/>
      <c r="C75" s="33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6"/>
    </row>
    <row r="76" ht="15.75" customHeight="1">
      <c r="A76" s="334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6"/>
    </row>
    <row r="77" ht="15.75" customHeight="1">
      <c r="A77" s="334"/>
      <c r="B77" s="334"/>
      <c r="C77" s="334"/>
      <c r="D77" s="334"/>
      <c r="E77" s="334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6"/>
    </row>
    <row r="78" ht="15.75" customHeight="1">
      <c r="A78" s="334"/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6"/>
    </row>
    <row r="79" ht="15.75" customHeight="1">
      <c r="A79" s="334"/>
      <c r="B79" s="334"/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6"/>
    </row>
    <row r="80" ht="15.75" customHeight="1">
      <c r="A80" s="334"/>
      <c r="B80" s="334"/>
      <c r="C80" s="334"/>
      <c r="D80" s="334"/>
      <c r="E80" s="334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6"/>
    </row>
    <row r="81" ht="15.75" customHeight="1">
      <c r="A81" s="334"/>
      <c r="B81" s="334"/>
      <c r="C81" s="334"/>
      <c r="D81" s="334"/>
      <c r="E81" s="334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6"/>
    </row>
    <row r="82" ht="15.75" customHeight="1">
      <c r="A82" s="334"/>
      <c r="B82" s="334"/>
      <c r="C82" s="334"/>
      <c r="D82" s="334"/>
      <c r="E82" s="334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6"/>
    </row>
    <row r="83" ht="15.75" customHeight="1">
      <c r="A83" s="334"/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6"/>
    </row>
    <row r="84" ht="15.75" customHeight="1">
      <c r="A84" s="334"/>
      <c r="B84" s="334"/>
      <c r="C84" s="334"/>
      <c r="D84" s="334"/>
      <c r="E84" s="334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6"/>
    </row>
    <row r="85" ht="15.75" customHeight="1">
      <c r="A85" s="334"/>
      <c r="B85" s="334"/>
      <c r="C85" s="334"/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6"/>
    </row>
    <row r="86" ht="15.75" customHeight="1">
      <c r="A86" s="334"/>
      <c r="B86" s="334"/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6"/>
    </row>
    <row r="87" ht="15.75" customHeight="1">
      <c r="A87" s="334"/>
      <c r="B87" s="334"/>
      <c r="C87" s="334"/>
      <c r="D87" s="334"/>
      <c r="E87" s="334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6"/>
    </row>
    <row r="88" ht="15.75" customHeight="1">
      <c r="A88" s="334"/>
      <c r="B88" s="334"/>
      <c r="C88" s="334"/>
      <c r="D88" s="334"/>
      <c r="E88" s="334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6"/>
    </row>
    <row r="89" ht="15.75" customHeight="1">
      <c r="A89" s="334"/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6"/>
    </row>
    <row r="90" ht="15.75" customHeight="1">
      <c r="A90" s="334"/>
      <c r="B90" s="334"/>
      <c r="C90" s="334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6"/>
    </row>
    <row r="91" ht="15.75" customHeight="1">
      <c r="A91" s="334"/>
      <c r="B91" s="334"/>
      <c r="C91" s="334"/>
      <c r="D91" s="334"/>
      <c r="E91" s="334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6"/>
    </row>
    <row r="92" ht="15.75" customHeight="1">
      <c r="A92" s="334"/>
      <c r="B92" s="334"/>
      <c r="C92" s="334"/>
      <c r="D92" s="334"/>
      <c r="E92" s="334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6"/>
    </row>
    <row r="93" ht="15.75" customHeight="1">
      <c r="A93" s="334"/>
      <c r="B93" s="334"/>
      <c r="C93" s="334"/>
      <c r="D93" s="334"/>
      <c r="E93" s="334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6"/>
    </row>
    <row r="94" ht="15.75" customHeight="1">
      <c r="A94" s="334"/>
      <c r="B94" s="334"/>
      <c r="C94" s="334"/>
      <c r="D94" s="334"/>
      <c r="E94" s="334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6"/>
    </row>
    <row r="95" ht="15.75" customHeight="1">
      <c r="A95" s="334"/>
      <c r="B95" s="334"/>
      <c r="C95" s="334"/>
      <c r="D95" s="334"/>
      <c r="E95" s="334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6"/>
    </row>
    <row r="96" ht="15.75" customHeight="1">
      <c r="A96" s="334"/>
      <c r="B96" s="334"/>
      <c r="C96" s="334"/>
      <c r="D96" s="334"/>
      <c r="E96" s="334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6"/>
    </row>
    <row r="97" ht="15.75" customHeight="1">
      <c r="A97" s="334"/>
      <c r="B97" s="334"/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6"/>
    </row>
    <row r="98" ht="15.75" customHeight="1">
      <c r="A98" s="334"/>
      <c r="B98" s="334"/>
      <c r="C98" s="334"/>
      <c r="D98" s="334"/>
      <c r="E98" s="334"/>
      <c r="F98" s="334"/>
      <c r="G98" s="334"/>
      <c r="H98" s="334"/>
      <c r="I98" s="334"/>
      <c r="J98" s="334"/>
      <c r="K98" s="334"/>
      <c r="L98" s="334"/>
      <c r="M98" s="334"/>
      <c r="N98" s="334"/>
      <c r="O98" s="334"/>
      <c r="P98" s="334"/>
      <c r="Q98" s="336"/>
    </row>
    <row r="99" ht="15.75" customHeight="1">
      <c r="A99" s="334"/>
      <c r="B99" s="334"/>
      <c r="C99" s="334"/>
      <c r="D99" s="334"/>
      <c r="E99" s="334"/>
      <c r="F99" s="334"/>
      <c r="G99" s="334"/>
      <c r="H99" s="334"/>
      <c r="I99" s="334"/>
      <c r="J99" s="334"/>
      <c r="K99" s="334"/>
      <c r="L99" s="334"/>
      <c r="M99" s="334"/>
      <c r="N99" s="334"/>
      <c r="O99" s="334"/>
      <c r="P99" s="334"/>
      <c r="Q99" s="336"/>
    </row>
    <row r="100" ht="15.75" customHeight="1">
      <c r="A100" s="334"/>
      <c r="B100" s="334"/>
      <c r="C100" s="334"/>
      <c r="D100" s="334"/>
      <c r="E100" s="334"/>
      <c r="F100" s="334"/>
      <c r="G100" s="334"/>
      <c r="H100" s="334"/>
      <c r="I100" s="334"/>
      <c r="J100" s="334"/>
      <c r="K100" s="334"/>
      <c r="L100" s="334"/>
      <c r="M100" s="334"/>
      <c r="N100" s="334"/>
      <c r="O100" s="334"/>
      <c r="P100" s="334"/>
      <c r="Q100" s="336"/>
    </row>
    <row r="101" ht="15.75" customHeight="1">
      <c r="A101" s="334"/>
      <c r="B101" s="334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6"/>
    </row>
    <row r="102" ht="15.75" customHeight="1">
      <c r="A102" s="334"/>
      <c r="B102" s="334"/>
      <c r="C102" s="334"/>
      <c r="D102" s="334"/>
      <c r="E102" s="334"/>
      <c r="F102" s="334"/>
      <c r="G102" s="334"/>
      <c r="H102" s="334"/>
      <c r="I102" s="334"/>
      <c r="J102" s="334"/>
      <c r="K102" s="334"/>
      <c r="L102" s="334"/>
      <c r="M102" s="334"/>
      <c r="N102" s="334"/>
      <c r="O102" s="334"/>
      <c r="P102" s="334"/>
      <c r="Q102" s="336"/>
    </row>
    <row r="103" ht="15.75" customHeight="1">
      <c r="A103" s="334"/>
      <c r="B103" s="334"/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334"/>
      <c r="O103" s="334"/>
      <c r="P103" s="334"/>
      <c r="Q103" s="336"/>
    </row>
    <row r="104" ht="15.75" customHeight="1">
      <c r="A104" s="334"/>
      <c r="B104" s="334"/>
      <c r="C104" s="334"/>
      <c r="D104" s="334"/>
      <c r="E104" s="334"/>
      <c r="F104" s="334"/>
      <c r="G104" s="334"/>
      <c r="H104" s="334"/>
      <c r="I104" s="334"/>
      <c r="J104" s="334"/>
      <c r="K104" s="334"/>
      <c r="L104" s="334"/>
      <c r="M104" s="334"/>
      <c r="N104" s="334"/>
      <c r="O104" s="334"/>
      <c r="P104" s="334"/>
      <c r="Q104" s="336"/>
    </row>
    <row r="105" ht="15.75" customHeight="1">
      <c r="A105" s="334"/>
      <c r="B105" s="334"/>
      <c r="C105" s="334"/>
      <c r="D105" s="334"/>
      <c r="E105" s="334"/>
      <c r="F105" s="334"/>
      <c r="G105" s="334"/>
      <c r="H105" s="334"/>
      <c r="I105" s="334"/>
      <c r="J105" s="334"/>
      <c r="K105" s="334"/>
      <c r="L105" s="334"/>
      <c r="M105" s="334"/>
      <c r="N105" s="334"/>
      <c r="O105" s="334"/>
      <c r="P105" s="334"/>
      <c r="Q105" s="336"/>
    </row>
    <row r="106" ht="15.75" customHeight="1">
      <c r="A106" s="334"/>
      <c r="B106" s="334"/>
      <c r="C106" s="334"/>
      <c r="D106" s="334"/>
      <c r="E106" s="334"/>
      <c r="F106" s="334"/>
      <c r="G106" s="334"/>
      <c r="H106" s="334"/>
      <c r="I106" s="334"/>
      <c r="J106" s="334"/>
      <c r="K106" s="334"/>
      <c r="L106" s="334"/>
      <c r="M106" s="334"/>
      <c r="N106" s="334"/>
      <c r="O106" s="334"/>
      <c r="P106" s="334"/>
      <c r="Q106" s="336"/>
    </row>
    <row r="107" ht="15.75" customHeight="1">
      <c r="A107" s="334"/>
      <c r="B107" s="334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334"/>
      <c r="P107" s="334"/>
      <c r="Q107" s="336"/>
    </row>
    <row r="108" ht="15.75" customHeight="1">
      <c r="A108" s="334"/>
      <c r="B108" s="334"/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/>
      <c r="N108" s="334"/>
      <c r="O108" s="334"/>
      <c r="P108" s="334"/>
      <c r="Q108" s="336"/>
    </row>
    <row r="109" ht="15.75" customHeight="1">
      <c r="A109" s="334"/>
      <c r="B109" s="334"/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4"/>
      <c r="Q109" s="336"/>
    </row>
    <row r="110" ht="15.75" customHeight="1">
      <c r="A110" s="334"/>
      <c r="B110" s="334"/>
      <c r="C110" s="334"/>
      <c r="D110" s="334"/>
      <c r="E110" s="334"/>
      <c r="F110" s="334"/>
      <c r="G110" s="334"/>
      <c r="H110" s="334"/>
      <c r="I110" s="334"/>
      <c r="J110" s="334"/>
      <c r="K110" s="334"/>
      <c r="L110" s="334"/>
      <c r="M110" s="334"/>
      <c r="N110" s="334"/>
      <c r="O110" s="334"/>
      <c r="P110" s="334"/>
      <c r="Q110" s="336"/>
    </row>
    <row r="111" ht="15.75" customHeight="1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6"/>
    </row>
    <row r="112" ht="15.75" customHeight="1">
      <c r="A112" s="334"/>
      <c r="B112" s="334"/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34"/>
      <c r="O112" s="334"/>
      <c r="P112" s="334"/>
      <c r="Q112" s="336"/>
    </row>
    <row r="113" ht="15.75" customHeight="1">
      <c r="A113" s="334"/>
      <c r="B113" s="334"/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34"/>
      <c r="O113" s="334"/>
      <c r="P113" s="334"/>
      <c r="Q113" s="336"/>
    </row>
    <row r="114" ht="15.75" customHeight="1">
      <c r="A114" s="334"/>
      <c r="B114" s="334"/>
      <c r="C114" s="334"/>
      <c r="D114" s="334"/>
      <c r="E114" s="334"/>
      <c r="F114" s="334"/>
      <c r="G114" s="334"/>
      <c r="H114" s="334"/>
      <c r="I114" s="334"/>
      <c r="J114" s="334"/>
      <c r="K114" s="334"/>
      <c r="L114" s="334"/>
      <c r="M114" s="334"/>
      <c r="N114" s="334"/>
      <c r="O114" s="334"/>
      <c r="P114" s="334"/>
      <c r="Q114" s="336"/>
    </row>
    <row r="115" ht="15.75" customHeight="1">
      <c r="A115" s="334"/>
      <c r="B115" s="334"/>
      <c r="C115" s="334"/>
      <c r="D115" s="334"/>
      <c r="E115" s="334"/>
      <c r="F115" s="334"/>
      <c r="G115" s="334"/>
      <c r="H115" s="334"/>
      <c r="I115" s="334"/>
      <c r="J115" s="334"/>
      <c r="K115" s="334"/>
      <c r="L115" s="334"/>
      <c r="M115" s="334"/>
      <c r="N115" s="334"/>
      <c r="O115" s="334"/>
      <c r="P115" s="334"/>
      <c r="Q115" s="336"/>
    </row>
    <row r="116" ht="15.75" customHeight="1">
      <c r="A116" s="334"/>
      <c r="B116" s="334"/>
      <c r="C116" s="334"/>
      <c r="D116" s="334"/>
      <c r="E116" s="334"/>
      <c r="F116" s="334"/>
      <c r="G116" s="334"/>
      <c r="H116" s="334"/>
      <c r="I116" s="334"/>
      <c r="J116" s="334"/>
      <c r="K116" s="334"/>
      <c r="L116" s="334"/>
      <c r="M116" s="334"/>
      <c r="N116" s="334"/>
      <c r="O116" s="334"/>
      <c r="P116" s="334"/>
      <c r="Q116" s="336"/>
    </row>
    <row r="117" ht="15.75" customHeight="1">
      <c r="A117" s="334"/>
      <c r="B117" s="334"/>
      <c r="C117" s="334"/>
      <c r="D117" s="334"/>
      <c r="E117" s="334"/>
      <c r="F117" s="334"/>
      <c r="G117" s="334"/>
      <c r="H117" s="334"/>
      <c r="I117" s="334"/>
      <c r="J117" s="334"/>
      <c r="K117" s="334"/>
      <c r="L117" s="334"/>
      <c r="M117" s="334"/>
      <c r="N117" s="334"/>
      <c r="O117" s="334"/>
      <c r="P117" s="334"/>
      <c r="Q117" s="336"/>
    </row>
    <row r="118" ht="15.75" customHeight="1">
      <c r="A118" s="334"/>
      <c r="B118" s="334"/>
      <c r="C118" s="334"/>
      <c r="D118" s="334"/>
      <c r="E118" s="334"/>
      <c r="F118" s="334"/>
      <c r="G118" s="334"/>
      <c r="H118" s="334"/>
      <c r="I118" s="334"/>
      <c r="J118" s="334"/>
      <c r="K118" s="334"/>
      <c r="L118" s="334"/>
      <c r="M118" s="334"/>
      <c r="N118" s="334"/>
      <c r="O118" s="334"/>
      <c r="P118" s="334"/>
      <c r="Q118" s="336"/>
    </row>
    <row r="119" ht="15.75" customHeight="1">
      <c r="A119" s="334"/>
      <c r="B119" s="334"/>
      <c r="C119" s="334"/>
      <c r="D119" s="334"/>
      <c r="E119" s="334"/>
      <c r="F119" s="334"/>
      <c r="G119" s="334"/>
      <c r="H119" s="334"/>
      <c r="I119" s="334"/>
      <c r="J119" s="334"/>
      <c r="K119" s="334"/>
      <c r="L119" s="334"/>
      <c r="M119" s="334"/>
      <c r="N119" s="334"/>
      <c r="O119" s="334"/>
      <c r="P119" s="334"/>
      <c r="Q119" s="336"/>
    </row>
    <row r="120" ht="15.75" customHeight="1">
      <c r="A120" s="334"/>
      <c r="B120" s="334"/>
      <c r="C120" s="334"/>
      <c r="D120" s="334"/>
      <c r="E120" s="334"/>
      <c r="F120" s="334"/>
      <c r="G120" s="334"/>
      <c r="H120" s="334"/>
      <c r="I120" s="334"/>
      <c r="J120" s="334"/>
      <c r="K120" s="334"/>
      <c r="L120" s="334"/>
      <c r="M120" s="334"/>
      <c r="N120" s="334"/>
      <c r="O120" s="334"/>
      <c r="P120" s="334"/>
      <c r="Q120" s="336"/>
    </row>
    <row r="121" ht="15.75" customHeight="1">
      <c r="A121" s="334"/>
      <c r="B121" s="334"/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334"/>
      <c r="O121" s="334"/>
      <c r="P121" s="334"/>
      <c r="Q121" s="336"/>
    </row>
    <row r="122" ht="15.75" customHeight="1">
      <c r="A122" s="334"/>
      <c r="B122" s="334"/>
      <c r="C122" s="334"/>
      <c r="D122" s="334"/>
      <c r="E122" s="334"/>
      <c r="F122" s="334"/>
      <c r="G122" s="334"/>
      <c r="H122" s="334"/>
      <c r="I122" s="334"/>
      <c r="J122" s="334"/>
      <c r="K122" s="334"/>
      <c r="L122" s="334"/>
      <c r="M122" s="334"/>
      <c r="N122" s="334"/>
      <c r="O122" s="334"/>
      <c r="P122" s="334"/>
      <c r="Q122" s="336"/>
    </row>
    <row r="123" ht="15.75" customHeight="1">
      <c r="A123" s="334"/>
      <c r="B123" s="334"/>
      <c r="C123" s="334"/>
      <c r="D123" s="334"/>
      <c r="E123" s="334"/>
      <c r="F123" s="334"/>
      <c r="G123" s="334"/>
      <c r="H123" s="334"/>
      <c r="I123" s="334"/>
      <c r="J123" s="334"/>
      <c r="K123" s="334"/>
      <c r="L123" s="334"/>
      <c r="M123" s="334"/>
      <c r="N123" s="334"/>
      <c r="O123" s="334"/>
      <c r="P123" s="334"/>
      <c r="Q123" s="336"/>
    </row>
    <row r="124" ht="15.75" customHeight="1">
      <c r="A124" s="334"/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34"/>
      <c r="Q124" s="336"/>
    </row>
    <row r="125" ht="15.75" customHeight="1">
      <c r="A125" s="334"/>
      <c r="B125" s="334"/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334"/>
      <c r="O125" s="334"/>
      <c r="P125" s="334"/>
      <c r="Q125" s="336"/>
    </row>
    <row r="126" ht="15.75" customHeight="1">
      <c r="A126" s="334"/>
      <c r="B126" s="334"/>
      <c r="C126" s="334"/>
      <c r="D126" s="334"/>
      <c r="E126" s="334"/>
      <c r="F126" s="334"/>
      <c r="G126" s="334"/>
      <c r="H126" s="334"/>
      <c r="I126" s="334"/>
      <c r="J126" s="334"/>
      <c r="K126" s="334"/>
      <c r="L126" s="334"/>
      <c r="M126" s="334"/>
      <c r="N126" s="334"/>
      <c r="O126" s="334"/>
      <c r="P126" s="334"/>
      <c r="Q126" s="336"/>
    </row>
    <row r="127" ht="15.75" customHeight="1">
      <c r="A127" s="334"/>
      <c r="B127" s="334"/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4"/>
      <c r="Q127" s="336"/>
    </row>
    <row r="128" ht="15.75" customHeight="1">
      <c r="A128" s="334"/>
      <c r="B128" s="334"/>
      <c r="C128" s="334"/>
      <c r="D128" s="334"/>
      <c r="E128" s="334"/>
      <c r="F128" s="334"/>
      <c r="G128" s="334"/>
      <c r="H128" s="334"/>
      <c r="I128" s="334"/>
      <c r="J128" s="334"/>
      <c r="K128" s="334"/>
      <c r="L128" s="334"/>
      <c r="M128" s="334"/>
      <c r="N128" s="334"/>
      <c r="O128" s="334"/>
      <c r="P128" s="334"/>
      <c r="Q128" s="336"/>
    </row>
    <row r="129" ht="15.75" customHeight="1">
      <c r="A129" s="334"/>
      <c r="B129" s="334"/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34"/>
      <c r="O129" s="334"/>
      <c r="P129" s="334"/>
      <c r="Q129" s="336"/>
    </row>
    <row r="130" ht="15.75" customHeight="1">
      <c r="A130" s="334"/>
      <c r="B130" s="334"/>
      <c r="C130" s="334"/>
      <c r="D130" s="334"/>
      <c r="E130" s="334"/>
      <c r="F130" s="334"/>
      <c r="G130" s="334"/>
      <c r="H130" s="334"/>
      <c r="I130" s="334"/>
      <c r="J130" s="334"/>
      <c r="K130" s="334"/>
      <c r="L130" s="334"/>
      <c r="M130" s="334"/>
      <c r="N130" s="334"/>
      <c r="O130" s="334"/>
      <c r="P130" s="334"/>
      <c r="Q130" s="336"/>
    </row>
    <row r="131" ht="15.75" customHeight="1">
      <c r="A131" s="334"/>
      <c r="B131" s="334"/>
      <c r="C131" s="334"/>
      <c r="D131" s="334"/>
      <c r="E131" s="334"/>
      <c r="F131" s="334"/>
      <c r="G131" s="334"/>
      <c r="H131" s="334"/>
      <c r="I131" s="334"/>
      <c r="J131" s="334"/>
      <c r="K131" s="334"/>
      <c r="L131" s="334"/>
      <c r="M131" s="334"/>
      <c r="N131" s="334"/>
      <c r="O131" s="334"/>
      <c r="P131" s="334"/>
      <c r="Q131" s="336"/>
    </row>
    <row r="132" ht="15.75" customHeight="1">
      <c r="A132" s="334"/>
      <c r="B132" s="334"/>
      <c r="C132" s="334"/>
      <c r="D132" s="334"/>
      <c r="E132" s="334"/>
      <c r="F132" s="334"/>
      <c r="G132" s="334"/>
      <c r="H132" s="334"/>
      <c r="I132" s="334"/>
      <c r="J132" s="334"/>
      <c r="K132" s="334"/>
      <c r="L132" s="334"/>
      <c r="M132" s="334"/>
      <c r="N132" s="334"/>
      <c r="O132" s="334"/>
      <c r="P132" s="334"/>
      <c r="Q132" s="336"/>
    </row>
    <row r="133" ht="15.75" customHeight="1">
      <c r="A133" s="334"/>
      <c r="B133" s="334"/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334"/>
      <c r="O133" s="334"/>
      <c r="P133" s="334"/>
      <c r="Q133" s="336"/>
    </row>
    <row r="134" ht="15.75" customHeight="1">
      <c r="A134" s="334"/>
      <c r="B134" s="334"/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6"/>
    </row>
    <row r="135" ht="15.75" customHeight="1">
      <c r="A135" s="334"/>
      <c r="B135" s="334"/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  <c r="M135" s="334"/>
      <c r="N135" s="334"/>
      <c r="O135" s="334"/>
      <c r="P135" s="334"/>
      <c r="Q135" s="336"/>
    </row>
    <row r="136" ht="15.75" customHeight="1">
      <c r="A136" s="334"/>
      <c r="B136" s="334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6"/>
    </row>
    <row r="137" ht="15.75" customHeight="1">
      <c r="A137" s="334"/>
      <c r="B137" s="334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34"/>
      <c r="O137" s="334"/>
      <c r="P137" s="334"/>
      <c r="Q137" s="336"/>
    </row>
    <row r="138" ht="15.75" customHeight="1">
      <c r="A138" s="334"/>
      <c r="B138" s="334"/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34"/>
      <c r="O138" s="334"/>
      <c r="P138" s="334"/>
      <c r="Q138" s="336"/>
    </row>
    <row r="139" ht="15.75" customHeight="1">
      <c r="A139" s="334"/>
      <c r="B139" s="334"/>
      <c r="C139" s="334"/>
      <c r="D139" s="334"/>
      <c r="E139" s="334"/>
      <c r="F139" s="334"/>
      <c r="G139" s="334"/>
      <c r="H139" s="334"/>
      <c r="I139" s="334"/>
      <c r="J139" s="334"/>
      <c r="K139" s="334"/>
      <c r="L139" s="334"/>
      <c r="M139" s="334"/>
      <c r="N139" s="334"/>
      <c r="O139" s="334"/>
      <c r="P139" s="334"/>
      <c r="Q139" s="336"/>
    </row>
    <row r="140" ht="15.75" customHeight="1">
      <c r="A140" s="334"/>
      <c r="B140" s="334"/>
      <c r="C140" s="334"/>
      <c r="D140" s="334"/>
      <c r="E140" s="334"/>
      <c r="F140" s="334"/>
      <c r="G140" s="334"/>
      <c r="H140" s="334"/>
      <c r="I140" s="334"/>
      <c r="J140" s="334"/>
      <c r="K140" s="334"/>
      <c r="L140" s="334"/>
      <c r="M140" s="334"/>
      <c r="N140" s="334"/>
      <c r="O140" s="334"/>
      <c r="P140" s="334"/>
      <c r="Q140" s="336"/>
    </row>
    <row r="141" ht="15.75" customHeight="1">
      <c r="A141" s="334"/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6"/>
    </row>
    <row r="142" ht="15.75" customHeight="1">
      <c r="A142" s="334"/>
      <c r="B142" s="334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34"/>
      <c r="O142" s="334"/>
      <c r="P142" s="334"/>
      <c r="Q142" s="336"/>
    </row>
    <row r="143" ht="15.75" customHeight="1">
      <c r="A143" s="334"/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6"/>
    </row>
    <row r="144" ht="15.75" customHeight="1">
      <c r="A144" s="334"/>
      <c r="B144" s="334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4"/>
      <c r="Q144" s="336"/>
    </row>
    <row r="145" ht="15.75" customHeight="1">
      <c r="A145" s="334"/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6"/>
    </row>
    <row r="146" ht="15.75" customHeight="1">
      <c r="A146" s="334"/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6"/>
    </row>
    <row r="147" ht="15.75" customHeight="1">
      <c r="A147" s="334"/>
      <c r="B147" s="334"/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6"/>
    </row>
    <row r="148" ht="15.75" customHeight="1">
      <c r="A148" s="334"/>
      <c r="B148" s="334"/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Q148" s="336"/>
    </row>
    <row r="149" ht="15.75" customHeight="1">
      <c r="A149" s="334"/>
      <c r="B149" s="334"/>
      <c r="C149" s="334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4"/>
      <c r="Q149" s="336"/>
    </row>
    <row r="150" ht="15.75" customHeight="1">
      <c r="A150" s="334"/>
      <c r="B150" s="334"/>
      <c r="C150" s="334"/>
      <c r="D150" s="334"/>
      <c r="E150" s="334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4"/>
      <c r="Q150" s="336"/>
    </row>
    <row r="151" ht="15.75" customHeight="1">
      <c r="A151" s="334"/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6"/>
    </row>
    <row r="152" ht="15.75" customHeight="1">
      <c r="A152" s="334"/>
      <c r="B152" s="334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6"/>
    </row>
    <row r="153" ht="15.75" customHeight="1">
      <c r="A153" s="334"/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4"/>
      <c r="Q153" s="336"/>
    </row>
    <row r="154" ht="15.75" customHeight="1">
      <c r="A154" s="334"/>
      <c r="B154" s="334"/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4"/>
      <c r="Q154" s="336"/>
    </row>
    <row r="155" ht="15.75" customHeight="1">
      <c r="A155" s="334"/>
      <c r="B155" s="334"/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6"/>
    </row>
    <row r="156" ht="15.75" customHeight="1">
      <c r="A156" s="334"/>
      <c r="B156" s="334"/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4"/>
      <c r="Q156" s="336"/>
    </row>
    <row r="157" ht="15.75" customHeight="1">
      <c r="A157" s="334"/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6"/>
    </row>
    <row r="158" ht="15.75" customHeight="1">
      <c r="A158" s="334"/>
      <c r="B158" s="334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4"/>
      <c r="Q158" s="336"/>
    </row>
    <row r="159" ht="15.75" customHeight="1">
      <c r="A159" s="334"/>
      <c r="B159" s="334"/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4"/>
      <c r="Q159" s="336"/>
    </row>
    <row r="160" ht="15.75" customHeight="1">
      <c r="A160" s="334"/>
      <c r="B160" s="334"/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4"/>
      <c r="Q160" s="336"/>
    </row>
    <row r="161" ht="15.75" customHeight="1">
      <c r="A161" s="334"/>
      <c r="B161" s="334"/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4"/>
      <c r="Q161" s="336"/>
    </row>
    <row r="162" ht="15.75" customHeight="1">
      <c r="A162" s="334"/>
      <c r="B162" s="334"/>
      <c r="C162" s="334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4"/>
      <c r="Q162" s="336"/>
    </row>
    <row r="163" ht="15.75" customHeight="1">
      <c r="A163" s="334"/>
      <c r="B163" s="334"/>
      <c r="C163" s="334"/>
      <c r="D163" s="334"/>
      <c r="E163" s="334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4"/>
      <c r="Q163" s="336"/>
    </row>
    <row r="164" ht="15.75" customHeight="1">
      <c r="A164" s="334"/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6"/>
    </row>
    <row r="165" ht="15.75" customHeight="1">
      <c r="A165" s="334"/>
      <c r="B165" s="334"/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6"/>
    </row>
    <row r="166" ht="15.75" customHeight="1">
      <c r="A166" s="334"/>
      <c r="B166" s="334"/>
      <c r="C166" s="334"/>
      <c r="D166" s="334"/>
      <c r="E166" s="334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4"/>
      <c r="Q166" s="336"/>
    </row>
    <row r="167" ht="15.75" customHeight="1">
      <c r="A167" s="334"/>
      <c r="B167" s="334"/>
      <c r="C167" s="334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6"/>
    </row>
    <row r="168" ht="15.75" customHeight="1">
      <c r="A168" s="334"/>
      <c r="B168" s="334"/>
      <c r="C168" s="334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4"/>
      <c r="Q168" s="336"/>
    </row>
    <row r="169" ht="15.75" customHeight="1">
      <c r="A169" s="334"/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6"/>
    </row>
    <row r="170" ht="15.75" customHeight="1">
      <c r="A170" s="334"/>
      <c r="B170" s="334"/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/>
      <c r="N170" s="334"/>
      <c r="O170" s="334"/>
      <c r="P170" s="334"/>
      <c r="Q170" s="336"/>
    </row>
    <row r="171" ht="15.75" customHeight="1">
      <c r="A171" s="334"/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6"/>
    </row>
    <row r="172" ht="15.75" customHeight="1">
      <c r="A172" s="334"/>
      <c r="B172" s="334"/>
      <c r="C172" s="334"/>
      <c r="D172" s="334"/>
      <c r="E172" s="334"/>
      <c r="F172" s="334"/>
      <c r="G172" s="334"/>
      <c r="H172" s="334"/>
      <c r="I172" s="334"/>
      <c r="J172" s="334"/>
      <c r="K172" s="334"/>
      <c r="L172" s="334"/>
      <c r="M172" s="334"/>
      <c r="N172" s="334"/>
      <c r="O172" s="334"/>
      <c r="P172" s="334"/>
      <c r="Q172" s="336"/>
    </row>
    <row r="173" ht="15.75" customHeight="1">
      <c r="A173" s="334"/>
      <c r="B173" s="334"/>
      <c r="C173" s="334"/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6"/>
    </row>
    <row r="174" ht="15.75" customHeight="1">
      <c r="A174" s="334"/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6"/>
    </row>
    <row r="175" ht="15.75" customHeight="1">
      <c r="A175" s="334"/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4"/>
      <c r="Q175" s="336"/>
    </row>
    <row r="176" ht="15.75" customHeight="1">
      <c r="A176" s="334"/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4"/>
      <c r="Q176" s="336"/>
    </row>
    <row r="177" ht="15.75" customHeight="1">
      <c r="A177" s="334"/>
      <c r="B177" s="334"/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34"/>
      <c r="Q177" s="336"/>
    </row>
    <row r="178" ht="15.75" customHeight="1">
      <c r="A178" s="334"/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4"/>
      <c r="Q178" s="336"/>
    </row>
    <row r="179" ht="15.75" customHeight="1">
      <c r="A179" s="334"/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6"/>
    </row>
    <row r="180" ht="15.75" customHeight="1">
      <c r="A180" s="334"/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6"/>
    </row>
    <row r="181" ht="15.75" customHeight="1">
      <c r="A181" s="334"/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6"/>
    </row>
    <row r="182" ht="15.75" customHeight="1">
      <c r="A182" s="334"/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6"/>
    </row>
    <row r="183" ht="15.75" customHeight="1">
      <c r="A183" s="334"/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6"/>
    </row>
    <row r="184" ht="15.75" customHeight="1">
      <c r="A184" s="334"/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6"/>
    </row>
    <row r="185" ht="15.75" customHeight="1">
      <c r="A185" s="334"/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6"/>
    </row>
    <row r="186" ht="15.75" customHeight="1">
      <c r="A186" s="334"/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6"/>
    </row>
    <row r="187" ht="15.75" customHeight="1">
      <c r="A187" s="334"/>
      <c r="B187" s="334"/>
      <c r="C187" s="334"/>
      <c r="D187" s="334"/>
      <c r="E187" s="334"/>
      <c r="F187" s="334"/>
      <c r="G187" s="334"/>
      <c r="H187" s="334"/>
      <c r="I187" s="334"/>
      <c r="J187" s="334"/>
      <c r="K187" s="334"/>
      <c r="L187" s="334"/>
      <c r="M187" s="334"/>
      <c r="N187" s="334"/>
      <c r="O187" s="334"/>
      <c r="P187" s="334"/>
      <c r="Q187" s="336"/>
    </row>
    <row r="188" ht="15.75" customHeight="1">
      <c r="A188" s="334"/>
      <c r="B188" s="334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4"/>
      <c r="Q188" s="336"/>
    </row>
    <row r="189" ht="15.75" customHeight="1">
      <c r="A189" s="334"/>
      <c r="B189" s="334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4"/>
      <c r="Q189" s="336"/>
    </row>
    <row r="190" ht="15.75" customHeight="1">
      <c r="A190" s="334"/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  <c r="M190" s="334"/>
      <c r="N190" s="334"/>
      <c r="O190" s="334"/>
      <c r="P190" s="334"/>
      <c r="Q190" s="336"/>
    </row>
    <row r="191" ht="15.75" customHeight="1">
      <c r="A191" s="334"/>
      <c r="B191" s="334"/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334"/>
      <c r="O191" s="334"/>
      <c r="P191" s="334"/>
      <c r="Q191" s="336"/>
    </row>
    <row r="192" ht="15.75" customHeight="1">
      <c r="A192" s="334"/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4"/>
      <c r="Q192" s="336"/>
    </row>
    <row r="193" ht="15.75" customHeight="1">
      <c r="A193" s="334"/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4"/>
      <c r="Q193" s="336"/>
    </row>
    <row r="194" ht="15.75" customHeight="1">
      <c r="A194" s="334"/>
      <c r="B194" s="334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334"/>
      <c r="O194" s="334"/>
      <c r="P194" s="334"/>
      <c r="Q194" s="336"/>
    </row>
    <row r="195" ht="15.75" customHeight="1">
      <c r="A195" s="334"/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6"/>
    </row>
    <row r="196" ht="15.75" customHeight="1">
      <c r="A196" s="334"/>
      <c r="B196" s="334"/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4"/>
      <c r="Q196" s="336"/>
    </row>
    <row r="197" ht="15.75" customHeight="1">
      <c r="A197" s="334"/>
      <c r="B197" s="334"/>
      <c r="C197" s="334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4"/>
      <c r="Q197" s="336"/>
    </row>
    <row r="198" ht="15.75" customHeight="1">
      <c r="A198" s="334"/>
      <c r="B198" s="334"/>
      <c r="C198" s="334"/>
      <c r="D198" s="334"/>
      <c r="E198" s="334"/>
      <c r="F198" s="334"/>
      <c r="G198" s="334"/>
      <c r="H198" s="334"/>
      <c r="I198" s="334"/>
      <c r="J198" s="334"/>
      <c r="K198" s="334"/>
      <c r="L198" s="334"/>
      <c r="M198" s="334"/>
      <c r="N198" s="334"/>
      <c r="O198" s="334"/>
      <c r="P198" s="334"/>
      <c r="Q198" s="336"/>
    </row>
    <row r="199" ht="15.75" customHeight="1">
      <c r="A199" s="334"/>
      <c r="B199" s="334"/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4"/>
      <c r="Q199" s="336"/>
    </row>
    <row r="200" ht="15.75" customHeight="1">
      <c r="A200" s="334"/>
      <c r="B200" s="334"/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4"/>
      <c r="Q200" s="336"/>
    </row>
    <row r="201" ht="15.75" customHeight="1">
      <c r="A201" s="336"/>
      <c r="B201" s="336"/>
      <c r="C201" s="336"/>
      <c r="D201" s="336"/>
      <c r="E201" s="336"/>
      <c r="F201" s="336"/>
      <c r="G201" s="336"/>
      <c r="H201" s="336"/>
      <c r="I201" s="336"/>
      <c r="J201" s="336"/>
      <c r="K201" s="336"/>
      <c r="L201" s="336"/>
      <c r="M201" s="336"/>
      <c r="N201" s="336"/>
      <c r="O201" s="336"/>
      <c r="P201" s="336"/>
      <c r="Q201" s="336"/>
    </row>
    <row r="202" ht="15.75" customHeight="1">
      <c r="A202" s="336"/>
      <c r="B202" s="336"/>
      <c r="C202" s="336"/>
      <c r="D202" s="336"/>
      <c r="E202" s="336"/>
      <c r="F202" s="336"/>
      <c r="G202" s="336"/>
      <c r="H202" s="336"/>
      <c r="I202" s="336"/>
      <c r="J202" s="336"/>
      <c r="K202" s="336"/>
      <c r="L202" s="336"/>
      <c r="M202" s="336"/>
      <c r="N202" s="336"/>
      <c r="O202" s="336"/>
      <c r="P202" s="336"/>
      <c r="Q202" s="336"/>
    </row>
    <row r="203" ht="15.75" customHeight="1">
      <c r="A203" s="336"/>
      <c r="B203" s="336"/>
      <c r="C203" s="336"/>
      <c r="D203" s="336"/>
      <c r="E203" s="336"/>
      <c r="F203" s="336"/>
      <c r="G203" s="336"/>
      <c r="H203" s="336"/>
      <c r="I203" s="336"/>
      <c r="J203" s="336"/>
      <c r="K203" s="336"/>
      <c r="L203" s="336"/>
      <c r="M203" s="336"/>
      <c r="N203" s="336"/>
      <c r="O203" s="336"/>
      <c r="P203" s="336"/>
      <c r="Q203" s="336"/>
    </row>
    <row r="204" ht="15.75" customHeight="1">
      <c r="A204" s="336"/>
      <c r="B204" s="336"/>
      <c r="C204" s="336"/>
      <c r="D204" s="336"/>
      <c r="E204" s="336"/>
      <c r="F204" s="336"/>
      <c r="G204" s="336"/>
      <c r="H204" s="336"/>
      <c r="I204" s="336"/>
      <c r="J204" s="336"/>
      <c r="K204" s="336"/>
      <c r="L204" s="336"/>
      <c r="M204" s="336"/>
      <c r="N204" s="336"/>
      <c r="O204" s="336"/>
      <c r="P204" s="336"/>
      <c r="Q204" s="336"/>
    </row>
    <row r="205" ht="15.75" customHeight="1">
      <c r="A205" s="336"/>
      <c r="B205" s="336"/>
      <c r="C205" s="336"/>
      <c r="D205" s="336"/>
      <c r="E205" s="336"/>
      <c r="F205" s="336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  <c r="Q205" s="336"/>
    </row>
    <row r="206" ht="15.75" customHeight="1">
      <c r="A206" s="336"/>
      <c r="B206" s="336"/>
      <c r="C206" s="336"/>
      <c r="D206" s="336"/>
      <c r="E206" s="336"/>
      <c r="F206" s="336"/>
      <c r="G206" s="336"/>
      <c r="H206" s="336"/>
      <c r="I206" s="336"/>
      <c r="J206" s="336"/>
      <c r="K206" s="336"/>
      <c r="L206" s="336"/>
      <c r="M206" s="336"/>
      <c r="N206" s="336"/>
      <c r="O206" s="336"/>
      <c r="P206" s="336"/>
      <c r="Q206" s="336"/>
    </row>
    <row r="207" ht="15.75" customHeight="1">
      <c r="A207" s="336"/>
      <c r="B207" s="336"/>
      <c r="C207" s="336"/>
      <c r="D207" s="336"/>
      <c r="E207" s="336"/>
      <c r="F207" s="336"/>
      <c r="G207" s="336"/>
      <c r="H207" s="336"/>
      <c r="I207" s="336"/>
      <c r="J207" s="336"/>
      <c r="K207" s="336"/>
      <c r="L207" s="336"/>
      <c r="M207" s="336"/>
      <c r="N207" s="336"/>
      <c r="O207" s="336"/>
      <c r="P207" s="336"/>
      <c r="Q207" s="336"/>
    </row>
    <row r="208" ht="15.75" customHeight="1">
      <c r="A208" s="336"/>
      <c r="B208" s="336"/>
      <c r="C208" s="336"/>
      <c r="D208" s="336"/>
      <c r="E208" s="336"/>
      <c r="F208" s="336"/>
      <c r="G208" s="336"/>
      <c r="H208" s="336"/>
      <c r="I208" s="336"/>
      <c r="J208" s="336"/>
      <c r="K208" s="336"/>
      <c r="L208" s="336"/>
      <c r="M208" s="336"/>
      <c r="N208" s="336"/>
      <c r="O208" s="336"/>
      <c r="P208" s="336"/>
      <c r="Q208" s="336"/>
    </row>
    <row r="209" ht="15.75" customHeight="1">
      <c r="A209" s="336"/>
      <c r="B209" s="336"/>
      <c r="C209" s="336"/>
      <c r="D209" s="336"/>
      <c r="E209" s="336"/>
      <c r="F209" s="336"/>
      <c r="G209" s="336"/>
      <c r="H209" s="336"/>
      <c r="I209" s="336"/>
      <c r="J209" s="336"/>
      <c r="K209" s="336"/>
      <c r="L209" s="336"/>
      <c r="M209" s="336"/>
      <c r="N209" s="336"/>
      <c r="O209" s="336"/>
      <c r="P209" s="336"/>
      <c r="Q209" s="336"/>
    </row>
    <row r="210" ht="15.75" customHeight="1">
      <c r="A210" s="336"/>
      <c r="B210" s="336"/>
      <c r="C210" s="336"/>
      <c r="D210" s="336"/>
      <c r="E210" s="336"/>
      <c r="F210" s="336"/>
      <c r="G210" s="336"/>
      <c r="H210" s="336"/>
      <c r="I210" s="336"/>
      <c r="J210" s="336"/>
      <c r="K210" s="336"/>
      <c r="L210" s="336"/>
      <c r="M210" s="336"/>
      <c r="N210" s="336"/>
      <c r="O210" s="336"/>
      <c r="P210" s="336"/>
      <c r="Q210" s="336"/>
    </row>
    <row r="211" ht="15.75" customHeight="1">
      <c r="A211" s="336"/>
      <c r="B211" s="336"/>
      <c r="C211" s="336"/>
      <c r="D211" s="336"/>
      <c r="E211" s="336"/>
      <c r="F211" s="336"/>
      <c r="G211" s="336"/>
      <c r="H211" s="336"/>
      <c r="I211" s="336"/>
      <c r="J211" s="336"/>
      <c r="K211" s="336"/>
      <c r="L211" s="336"/>
      <c r="M211" s="336"/>
      <c r="N211" s="336"/>
      <c r="O211" s="336"/>
      <c r="P211" s="336"/>
      <c r="Q211" s="336"/>
    </row>
    <row r="212" ht="15.75" customHeight="1">
      <c r="A212" s="336"/>
      <c r="B212" s="336"/>
      <c r="C212" s="336"/>
      <c r="D212" s="336"/>
      <c r="E212" s="336"/>
      <c r="F212" s="336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  <c r="Q212" s="336"/>
    </row>
    <row r="213" ht="15.75" customHeight="1">
      <c r="A213" s="336"/>
      <c r="B213" s="336"/>
      <c r="C213" s="336"/>
      <c r="D213" s="336"/>
      <c r="E213" s="336"/>
      <c r="F213" s="336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  <c r="Q213" s="336"/>
    </row>
    <row r="214" ht="15.75" customHeight="1">
      <c r="A214" s="336"/>
      <c r="B214" s="336"/>
      <c r="C214" s="336"/>
      <c r="D214" s="336"/>
      <c r="E214" s="336"/>
      <c r="F214" s="336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  <c r="Q214" s="336"/>
    </row>
    <row r="215" ht="15.75" customHeight="1">
      <c r="A215" s="336"/>
      <c r="B215" s="336"/>
      <c r="C215" s="336"/>
      <c r="D215" s="336"/>
      <c r="E215" s="336"/>
      <c r="F215" s="336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</row>
    <row r="216" ht="15.75" customHeight="1">
      <c r="A216" s="336"/>
      <c r="B216" s="336"/>
      <c r="C216" s="336"/>
      <c r="D216" s="336"/>
      <c r="E216" s="336"/>
      <c r="F216" s="336"/>
      <c r="G216" s="336"/>
      <c r="H216" s="336"/>
      <c r="I216" s="336"/>
      <c r="J216" s="336"/>
      <c r="K216" s="336"/>
      <c r="L216" s="336"/>
      <c r="M216" s="336"/>
      <c r="N216" s="336"/>
      <c r="O216" s="336"/>
      <c r="P216" s="336"/>
      <c r="Q216" s="336"/>
    </row>
    <row r="217" ht="15.75" customHeight="1">
      <c r="A217" s="336"/>
      <c r="B217" s="336"/>
      <c r="C217" s="336"/>
      <c r="D217" s="336"/>
      <c r="E217" s="336"/>
      <c r="F217" s="336"/>
      <c r="G217" s="336"/>
      <c r="H217" s="336"/>
      <c r="I217" s="336"/>
      <c r="J217" s="336"/>
      <c r="K217" s="336"/>
      <c r="L217" s="336"/>
      <c r="M217" s="336"/>
      <c r="N217" s="336"/>
      <c r="O217" s="336"/>
      <c r="P217" s="336"/>
      <c r="Q217" s="336"/>
    </row>
    <row r="218" ht="15.75" customHeight="1">
      <c r="A218" s="336"/>
      <c r="B218" s="336"/>
      <c r="C218" s="336"/>
      <c r="D218" s="336"/>
      <c r="E218" s="336"/>
      <c r="F218" s="336"/>
      <c r="G218" s="336"/>
      <c r="H218" s="336"/>
      <c r="I218" s="336"/>
      <c r="J218" s="336"/>
      <c r="K218" s="336"/>
      <c r="L218" s="336"/>
      <c r="M218" s="336"/>
      <c r="N218" s="336"/>
      <c r="O218" s="336"/>
      <c r="P218" s="336"/>
      <c r="Q218" s="336"/>
    </row>
    <row r="219" ht="15.75" customHeight="1">
      <c r="A219" s="336"/>
      <c r="B219" s="336"/>
      <c r="C219" s="336"/>
      <c r="D219" s="336"/>
      <c r="E219" s="336"/>
      <c r="F219" s="336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  <c r="Q219" s="336"/>
    </row>
    <row r="220" ht="15.75" customHeight="1">
      <c r="A220" s="336"/>
      <c r="B220" s="336"/>
      <c r="C220" s="336"/>
      <c r="D220" s="336"/>
      <c r="E220" s="336"/>
      <c r="F220" s="336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  <c r="Q220" s="336"/>
    </row>
    <row r="221" ht="15.75" customHeight="1">
      <c r="A221" s="336"/>
      <c r="B221" s="336"/>
      <c r="C221" s="336"/>
      <c r="D221" s="336"/>
      <c r="E221" s="336"/>
      <c r="F221" s="336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  <c r="Q221" s="336"/>
    </row>
    <row r="222" ht="15.75" customHeight="1">
      <c r="A222" s="336"/>
      <c r="B222" s="336"/>
      <c r="C222" s="336"/>
      <c r="D222" s="336"/>
      <c r="E222" s="336"/>
      <c r="F222" s="336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  <c r="Q222" s="336"/>
    </row>
    <row r="223" ht="15.75" customHeight="1">
      <c r="A223" s="336"/>
      <c r="B223" s="336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</row>
    <row r="224" ht="15.75" customHeight="1">
      <c r="A224" s="336"/>
      <c r="B224" s="336"/>
      <c r="C224" s="336"/>
      <c r="D224" s="336"/>
      <c r="E224" s="336"/>
      <c r="F224" s="336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  <c r="Q224" s="336"/>
    </row>
    <row r="225" ht="15.75" customHeight="1">
      <c r="A225" s="336"/>
      <c r="B225" s="336"/>
      <c r="C225" s="336"/>
      <c r="D225" s="336"/>
      <c r="E225" s="336"/>
      <c r="F225" s="336"/>
      <c r="G225" s="336"/>
      <c r="H225" s="336"/>
      <c r="I225" s="336"/>
      <c r="J225" s="336"/>
      <c r="K225" s="336"/>
      <c r="L225" s="336"/>
      <c r="M225" s="336"/>
      <c r="N225" s="336"/>
      <c r="O225" s="336"/>
      <c r="P225" s="336"/>
      <c r="Q225" s="336"/>
    </row>
    <row r="226" ht="15.75" customHeight="1">
      <c r="A226" s="336"/>
      <c r="B226" s="336"/>
      <c r="C226" s="336"/>
      <c r="D226" s="336"/>
      <c r="E226" s="336"/>
      <c r="F226" s="336"/>
      <c r="G226" s="336"/>
      <c r="H226" s="336"/>
      <c r="I226" s="336"/>
      <c r="J226" s="336"/>
      <c r="K226" s="336"/>
      <c r="L226" s="336"/>
      <c r="M226" s="336"/>
      <c r="N226" s="336"/>
      <c r="O226" s="336"/>
      <c r="P226" s="336"/>
      <c r="Q226" s="336"/>
    </row>
    <row r="227" ht="15.75" customHeight="1">
      <c r="A227" s="336"/>
      <c r="B227" s="336"/>
      <c r="C227" s="336"/>
      <c r="D227" s="336"/>
      <c r="E227" s="336"/>
      <c r="F227" s="336"/>
      <c r="G227" s="336"/>
      <c r="H227" s="336"/>
      <c r="I227" s="336"/>
      <c r="J227" s="336"/>
      <c r="K227" s="336"/>
      <c r="L227" s="336"/>
      <c r="M227" s="336"/>
      <c r="N227" s="336"/>
      <c r="O227" s="336"/>
      <c r="P227" s="336"/>
      <c r="Q227" s="336"/>
    </row>
    <row r="228" ht="15.75" customHeight="1">
      <c r="A228" s="336"/>
      <c r="B228" s="336"/>
      <c r="C228" s="336"/>
      <c r="D228" s="336"/>
      <c r="E228" s="336"/>
      <c r="F228" s="336"/>
      <c r="G228" s="336"/>
      <c r="H228" s="336"/>
      <c r="I228" s="336"/>
      <c r="J228" s="336"/>
      <c r="K228" s="336"/>
      <c r="L228" s="336"/>
      <c r="M228" s="336"/>
      <c r="N228" s="336"/>
      <c r="O228" s="336"/>
      <c r="P228" s="336"/>
      <c r="Q228" s="336"/>
    </row>
    <row r="229" ht="15.75" customHeight="1">
      <c r="A229" s="336"/>
      <c r="B229" s="336"/>
      <c r="C229" s="336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  <c r="Q229" s="336"/>
    </row>
    <row r="230" ht="15.75" customHeight="1">
      <c r="A230" s="336"/>
      <c r="B230" s="336"/>
      <c r="C230" s="336"/>
      <c r="D230" s="336"/>
      <c r="E230" s="336"/>
      <c r="F230" s="336"/>
      <c r="G230" s="336"/>
      <c r="H230" s="336"/>
      <c r="I230" s="336"/>
      <c r="J230" s="336"/>
      <c r="K230" s="336"/>
      <c r="L230" s="336"/>
      <c r="M230" s="336"/>
      <c r="N230" s="336"/>
      <c r="O230" s="336"/>
      <c r="P230" s="336"/>
      <c r="Q230" s="336"/>
    </row>
    <row r="231" ht="15.75" customHeight="1">
      <c r="A231" s="336"/>
      <c r="B231" s="336"/>
      <c r="C231" s="336"/>
      <c r="D231" s="336"/>
      <c r="E231" s="336"/>
      <c r="F231" s="336"/>
      <c r="G231" s="336"/>
      <c r="H231" s="336"/>
      <c r="I231" s="336"/>
      <c r="J231" s="336"/>
      <c r="K231" s="336"/>
      <c r="L231" s="336"/>
      <c r="M231" s="336"/>
      <c r="N231" s="336"/>
      <c r="O231" s="336"/>
      <c r="P231" s="336"/>
      <c r="Q231" s="336"/>
    </row>
    <row r="232" ht="15.75" customHeight="1">
      <c r="A232" s="336"/>
      <c r="B232" s="336"/>
      <c r="C232" s="336"/>
      <c r="D232" s="336"/>
      <c r="E232" s="336"/>
      <c r="F232" s="336"/>
      <c r="G232" s="336"/>
      <c r="H232" s="336"/>
      <c r="I232" s="336"/>
      <c r="J232" s="336"/>
      <c r="K232" s="336"/>
      <c r="L232" s="336"/>
      <c r="M232" s="336"/>
      <c r="N232" s="336"/>
      <c r="O232" s="336"/>
      <c r="P232" s="336"/>
      <c r="Q232" s="336"/>
    </row>
    <row r="233" ht="15.75" customHeight="1">
      <c r="A233" s="336"/>
      <c r="B233" s="336"/>
      <c r="C233" s="336"/>
      <c r="D233" s="336"/>
      <c r="E233" s="336"/>
      <c r="F233" s="336"/>
      <c r="G233" s="336"/>
      <c r="H233" s="336"/>
      <c r="I233" s="336"/>
      <c r="J233" s="336"/>
      <c r="K233" s="336"/>
      <c r="L233" s="336"/>
      <c r="M233" s="336"/>
      <c r="N233" s="336"/>
      <c r="O233" s="336"/>
      <c r="P233" s="336"/>
      <c r="Q233" s="336"/>
    </row>
    <row r="234" ht="15.75" customHeight="1">
      <c r="A234" s="336"/>
      <c r="B234" s="336"/>
      <c r="C234" s="336"/>
      <c r="D234" s="336"/>
      <c r="E234" s="336"/>
      <c r="F234" s="336"/>
      <c r="G234" s="336"/>
      <c r="H234" s="336"/>
      <c r="I234" s="336"/>
      <c r="J234" s="336"/>
      <c r="K234" s="336"/>
      <c r="L234" s="336"/>
      <c r="M234" s="336"/>
      <c r="N234" s="336"/>
      <c r="O234" s="336"/>
      <c r="P234" s="336"/>
      <c r="Q234" s="336"/>
    </row>
    <row r="235" ht="15.75" customHeight="1">
      <c r="A235" s="336"/>
      <c r="B235" s="336"/>
      <c r="C235" s="336"/>
      <c r="D235" s="336"/>
      <c r="E235" s="336"/>
      <c r="F235" s="336"/>
      <c r="G235" s="336"/>
      <c r="H235" s="336"/>
      <c r="I235" s="336"/>
      <c r="J235" s="336"/>
      <c r="K235" s="336"/>
      <c r="L235" s="336"/>
      <c r="M235" s="336"/>
      <c r="N235" s="336"/>
      <c r="O235" s="336"/>
      <c r="P235" s="336"/>
      <c r="Q235" s="336"/>
    </row>
    <row r="236" ht="15.75" customHeight="1">
      <c r="A236" s="336"/>
      <c r="B236" s="336"/>
      <c r="C236" s="336"/>
      <c r="D236" s="336"/>
      <c r="E236" s="336"/>
      <c r="F236" s="336"/>
      <c r="G236" s="336"/>
      <c r="H236" s="336"/>
      <c r="I236" s="336"/>
      <c r="J236" s="336"/>
      <c r="K236" s="336"/>
      <c r="L236" s="336"/>
      <c r="M236" s="336"/>
      <c r="N236" s="336"/>
      <c r="O236" s="336"/>
      <c r="P236" s="336"/>
      <c r="Q236" s="336"/>
    </row>
    <row r="237" ht="15.75" customHeight="1">
      <c r="A237" s="336"/>
      <c r="B237" s="336"/>
      <c r="C237" s="336"/>
      <c r="D237" s="336"/>
      <c r="E237" s="336"/>
      <c r="F237" s="336"/>
      <c r="G237" s="336"/>
      <c r="H237" s="336"/>
      <c r="I237" s="336"/>
      <c r="J237" s="336"/>
      <c r="K237" s="336"/>
      <c r="L237" s="336"/>
      <c r="M237" s="336"/>
      <c r="N237" s="336"/>
      <c r="O237" s="336"/>
      <c r="P237" s="336"/>
      <c r="Q237" s="336"/>
    </row>
    <row r="238" ht="15.75" customHeight="1">
      <c r="A238" s="336"/>
      <c r="B238" s="336"/>
      <c r="C238" s="336"/>
      <c r="D238" s="336"/>
      <c r="E238" s="336"/>
      <c r="F238" s="336"/>
      <c r="G238" s="336"/>
      <c r="H238" s="336"/>
      <c r="I238" s="336"/>
      <c r="J238" s="336"/>
      <c r="K238" s="336"/>
      <c r="L238" s="336"/>
      <c r="M238" s="336"/>
      <c r="N238" s="336"/>
      <c r="O238" s="336"/>
      <c r="P238" s="336"/>
      <c r="Q238" s="336"/>
    </row>
    <row r="239" ht="15.75" customHeight="1">
      <c r="A239" s="336"/>
      <c r="B239" s="336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  <c r="Q239" s="336"/>
    </row>
    <row r="240" ht="15.75" customHeight="1">
      <c r="A240" s="336"/>
      <c r="B240" s="336"/>
      <c r="C240" s="336"/>
      <c r="D240" s="336"/>
      <c r="E240" s="336"/>
      <c r="F240" s="336"/>
      <c r="G240" s="336"/>
      <c r="H240" s="336"/>
      <c r="I240" s="336"/>
      <c r="J240" s="336"/>
      <c r="K240" s="336"/>
      <c r="L240" s="336"/>
      <c r="M240" s="336"/>
      <c r="N240" s="336"/>
      <c r="O240" s="336"/>
      <c r="P240" s="336"/>
      <c r="Q240" s="336"/>
    </row>
    <row r="241" ht="15.75" customHeight="1">
      <c r="A241" s="336"/>
      <c r="B241" s="336"/>
      <c r="C241" s="336"/>
      <c r="D241" s="336"/>
      <c r="E241" s="336"/>
      <c r="F241" s="336"/>
      <c r="G241" s="336"/>
      <c r="H241" s="336"/>
      <c r="I241" s="336"/>
      <c r="J241" s="336"/>
      <c r="K241" s="336"/>
      <c r="L241" s="336"/>
      <c r="M241" s="336"/>
      <c r="N241" s="336"/>
      <c r="O241" s="336"/>
      <c r="P241" s="336"/>
      <c r="Q241" s="336"/>
    </row>
    <row r="242" ht="15.75" customHeight="1">
      <c r="A242" s="336"/>
      <c r="B242" s="336"/>
      <c r="C242" s="336"/>
      <c r="D242" s="336"/>
      <c r="E242" s="336"/>
      <c r="F242" s="336"/>
      <c r="G242" s="336"/>
      <c r="H242" s="336"/>
      <c r="I242" s="336"/>
      <c r="J242" s="336"/>
      <c r="K242" s="336"/>
      <c r="L242" s="336"/>
      <c r="M242" s="336"/>
      <c r="N242" s="336"/>
      <c r="O242" s="336"/>
      <c r="P242" s="336"/>
      <c r="Q242" s="336"/>
    </row>
    <row r="243" ht="15.75" customHeight="1">
      <c r="A243" s="336"/>
      <c r="B243" s="336"/>
      <c r="C243" s="336"/>
      <c r="D243" s="336"/>
      <c r="E243" s="336"/>
      <c r="F243" s="336"/>
      <c r="G243" s="336"/>
      <c r="H243" s="336"/>
      <c r="I243" s="336"/>
      <c r="J243" s="336"/>
      <c r="K243" s="336"/>
      <c r="L243" s="336"/>
      <c r="M243" s="336"/>
      <c r="N243" s="336"/>
      <c r="O243" s="336"/>
      <c r="P243" s="336"/>
      <c r="Q243" s="336"/>
    </row>
    <row r="244" ht="15.75" customHeight="1">
      <c r="A244" s="336"/>
      <c r="B244" s="336"/>
      <c r="C244" s="336"/>
      <c r="D244" s="336"/>
      <c r="E244" s="336"/>
      <c r="F244" s="336"/>
      <c r="G244" s="336"/>
      <c r="H244" s="336"/>
      <c r="I244" s="336"/>
      <c r="J244" s="336"/>
      <c r="K244" s="336"/>
      <c r="L244" s="336"/>
      <c r="M244" s="336"/>
      <c r="N244" s="336"/>
      <c r="O244" s="336"/>
      <c r="P244" s="336"/>
      <c r="Q244" s="336"/>
    </row>
    <row r="245" ht="15.75" customHeight="1">
      <c r="A245" s="336"/>
      <c r="B245" s="336"/>
      <c r="C245" s="336"/>
      <c r="D245" s="336"/>
      <c r="E245" s="336"/>
      <c r="F245" s="336"/>
      <c r="G245" s="336"/>
      <c r="H245" s="336"/>
      <c r="I245" s="336"/>
      <c r="J245" s="336"/>
      <c r="K245" s="336"/>
      <c r="L245" s="336"/>
      <c r="M245" s="336"/>
      <c r="N245" s="336"/>
      <c r="O245" s="336"/>
      <c r="P245" s="336"/>
      <c r="Q245" s="336"/>
    </row>
    <row r="246" ht="15.75" customHeight="1">
      <c r="A246" s="336"/>
      <c r="B246" s="336"/>
      <c r="C246" s="336"/>
      <c r="D246" s="336"/>
      <c r="E246" s="336"/>
      <c r="F246" s="336"/>
      <c r="G246" s="336"/>
      <c r="H246" s="336"/>
      <c r="I246" s="336"/>
      <c r="J246" s="336"/>
      <c r="K246" s="336"/>
      <c r="L246" s="336"/>
      <c r="M246" s="336"/>
      <c r="N246" s="336"/>
      <c r="O246" s="336"/>
      <c r="P246" s="336"/>
      <c r="Q246" s="336"/>
    </row>
    <row r="247" ht="15.75" customHeight="1">
      <c r="A247" s="336"/>
      <c r="B247" s="336"/>
      <c r="C247" s="336"/>
      <c r="D247" s="336"/>
      <c r="E247" s="336"/>
      <c r="F247" s="336"/>
      <c r="G247" s="336"/>
      <c r="H247" s="336"/>
      <c r="I247" s="336"/>
      <c r="J247" s="336"/>
      <c r="K247" s="336"/>
      <c r="L247" s="336"/>
      <c r="M247" s="336"/>
      <c r="N247" s="336"/>
      <c r="O247" s="336"/>
      <c r="P247" s="336"/>
      <c r="Q247" s="336"/>
    </row>
    <row r="248" ht="15.75" customHeight="1">
      <c r="A248" s="336"/>
      <c r="B248" s="336"/>
      <c r="C248" s="336"/>
      <c r="D248" s="336"/>
      <c r="E248" s="336"/>
      <c r="F248" s="336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  <c r="Q248" s="336"/>
    </row>
    <row r="249" ht="15.75" customHeight="1">
      <c r="A249" s="336"/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</row>
    <row r="250" ht="15.75" customHeight="1">
      <c r="A250" s="336"/>
      <c r="B250" s="336"/>
      <c r="C250" s="336"/>
      <c r="D250" s="336"/>
      <c r="E250" s="336"/>
      <c r="F250" s="336"/>
      <c r="G250" s="336"/>
      <c r="H250" s="336"/>
      <c r="I250" s="336"/>
      <c r="J250" s="336"/>
      <c r="K250" s="336"/>
      <c r="L250" s="336"/>
      <c r="M250" s="336"/>
      <c r="N250" s="336"/>
      <c r="O250" s="336"/>
      <c r="P250" s="336"/>
      <c r="Q250" s="336"/>
    </row>
    <row r="251" ht="15.75" customHeight="1">
      <c r="A251" s="336"/>
      <c r="B251" s="336"/>
      <c r="C251" s="336"/>
      <c r="D251" s="336"/>
      <c r="E251" s="336"/>
      <c r="F251" s="336"/>
      <c r="G251" s="336"/>
      <c r="H251" s="336"/>
      <c r="I251" s="336"/>
      <c r="J251" s="336"/>
      <c r="K251" s="336"/>
      <c r="L251" s="336"/>
      <c r="M251" s="336"/>
      <c r="N251" s="336"/>
      <c r="O251" s="336"/>
      <c r="P251" s="336"/>
      <c r="Q251" s="336"/>
    </row>
    <row r="252" ht="15.75" customHeight="1">
      <c r="A252" s="336"/>
      <c r="B252" s="336"/>
      <c r="C252" s="336"/>
      <c r="D252" s="336"/>
      <c r="E252" s="336"/>
      <c r="F252" s="336"/>
      <c r="G252" s="336"/>
      <c r="H252" s="336"/>
      <c r="I252" s="336"/>
      <c r="J252" s="336"/>
      <c r="K252" s="336"/>
      <c r="L252" s="336"/>
      <c r="M252" s="336"/>
      <c r="N252" s="336"/>
      <c r="O252" s="336"/>
      <c r="P252" s="336"/>
      <c r="Q252" s="336"/>
    </row>
    <row r="253" ht="15.75" customHeight="1">
      <c r="A253" s="336"/>
      <c r="B253" s="336"/>
      <c r="C253" s="336"/>
      <c r="D253" s="336"/>
      <c r="E253" s="336"/>
      <c r="F253" s="336"/>
      <c r="G253" s="336"/>
      <c r="H253" s="336"/>
      <c r="I253" s="336"/>
      <c r="J253" s="336"/>
      <c r="K253" s="336"/>
      <c r="L253" s="336"/>
      <c r="M253" s="336"/>
      <c r="N253" s="336"/>
      <c r="O253" s="336"/>
      <c r="P253" s="336"/>
      <c r="Q253" s="336"/>
    </row>
    <row r="254" ht="15.75" customHeight="1">
      <c r="A254" s="336"/>
      <c r="B254" s="336"/>
      <c r="C254" s="336"/>
      <c r="D254" s="336"/>
      <c r="E254" s="336"/>
      <c r="F254" s="336"/>
      <c r="G254" s="336"/>
      <c r="H254" s="336"/>
      <c r="I254" s="336"/>
      <c r="J254" s="336"/>
      <c r="K254" s="336"/>
      <c r="L254" s="336"/>
      <c r="M254" s="336"/>
      <c r="N254" s="336"/>
      <c r="O254" s="336"/>
      <c r="P254" s="336"/>
      <c r="Q254" s="336"/>
    </row>
    <row r="255" ht="15.75" customHeight="1">
      <c r="A255" s="336"/>
      <c r="B255" s="336"/>
      <c r="C255" s="336"/>
      <c r="D255" s="336"/>
      <c r="E255" s="336"/>
      <c r="F255" s="336"/>
      <c r="G255" s="336"/>
      <c r="H255" s="336"/>
      <c r="I255" s="336"/>
      <c r="J255" s="336"/>
      <c r="K255" s="336"/>
      <c r="L255" s="336"/>
      <c r="M255" s="336"/>
      <c r="N255" s="336"/>
      <c r="O255" s="336"/>
      <c r="P255" s="336"/>
      <c r="Q255" s="336"/>
    </row>
    <row r="256" ht="15.75" customHeight="1">
      <c r="A256" s="336"/>
      <c r="B256" s="336"/>
      <c r="C256" s="336"/>
      <c r="D256" s="336"/>
      <c r="E256" s="336"/>
      <c r="F256" s="336"/>
      <c r="G256" s="336"/>
      <c r="H256" s="336"/>
      <c r="I256" s="336"/>
      <c r="J256" s="336"/>
      <c r="K256" s="336"/>
      <c r="L256" s="336"/>
      <c r="M256" s="336"/>
      <c r="N256" s="336"/>
      <c r="O256" s="336"/>
      <c r="P256" s="336"/>
      <c r="Q256" s="336"/>
    </row>
    <row r="257" ht="15.75" customHeight="1">
      <c r="A257" s="336"/>
      <c r="B257" s="336"/>
      <c r="C257" s="336"/>
      <c r="D257" s="336"/>
      <c r="E257" s="336"/>
      <c r="F257" s="336"/>
      <c r="G257" s="336"/>
      <c r="H257" s="336"/>
      <c r="I257" s="336"/>
      <c r="J257" s="336"/>
      <c r="K257" s="336"/>
      <c r="L257" s="336"/>
      <c r="M257" s="336"/>
      <c r="N257" s="336"/>
      <c r="O257" s="336"/>
      <c r="P257" s="336"/>
      <c r="Q257" s="336"/>
    </row>
    <row r="258" ht="15.75" customHeight="1">
      <c r="A258" s="336"/>
      <c r="B258" s="336"/>
      <c r="C258" s="336"/>
      <c r="D258" s="336"/>
      <c r="E258" s="336"/>
      <c r="F258" s="336"/>
      <c r="G258" s="336"/>
      <c r="H258" s="336"/>
      <c r="I258" s="336"/>
      <c r="J258" s="336"/>
      <c r="K258" s="336"/>
      <c r="L258" s="336"/>
      <c r="M258" s="336"/>
      <c r="N258" s="336"/>
      <c r="O258" s="336"/>
      <c r="P258" s="336"/>
      <c r="Q258" s="336"/>
    </row>
    <row r="259" ht="15.75" customHeight="1">
      <c r="A259" s="336"/>
      <c r="B259" s="336"/>
      <c r="C259" s="336"/>
      <c r="D259" s="336"/>
      <c r="E259" s="336"/>
      <c r="F259" s="336"/>
      <c r="G259" s="336"/>
      <c r="H259" s="336"/>
      <c r="I259" s="336"/>
      <c r="J259" s="336"/>
      <c r="K259" s="336"/>
      <c r="L259" s="336"/>
      <c r="M259" s="336"/>
      <c r="N259" s="336"/>
      <c r="O259" s="336"/>
      <c r="P259" s="336"/>
      <c r="Q259" s="336"/>
    </row>
    <row r="260" ht="15.75" customHeight="1">
      <c r="A260" s="336"/>
      <c r="B260" s="336"/>
      <c r="C260" s="336"/>
      <c r="D260" s="336"/>
      <c r="E260" s="336"/>
      <c r="F260" s="336"/>
      <c r="G260" s="336"/>
      <c r="H260" s="336"/>
      <c r="I260" s="336"/>
      <c r="J260" s="336"/>
      <c r="K260" s="336"/>
      <c r="L260" s="336"/>
      <c r="M260" s="336"/>
      <c r="N260" s="336"/>
      <c r="O260" s="336"/>
      <c r="P260" s="336"/>
      <c r="Q260" s="336"/>
    </row>
    <row r="261" ht="15.75" customHeight="1">
      <c r="A261" s="336"/>
      <c r="B261" s="336"/>
      <c r="C261" s="336"/>
      <c r="D261" s="336"/>
      <c r="E261" s="336"/>
      <c r="F261" s="336"/>
      <c r="G261" s="336"/>
      <c r="H261" s="336"/>
      <c r="I261" s="336"/>
      <c r="J261" s="336"/>
      <c r="K261" s="336"/>
      <c r="L261" s="336"/>
      <c r="M261" s="336"/>
      <c r="N261" s="336"/>
      <c r="O261" s="336"/>
      <c r="P261" s="336"/>
      <c r="Q261" s="336"/>
    </row>
    <row r="262" ht="15.75" customHeight="1">
      <c r="A262" s="336"/>
      <c r="B262" s="336"/>
      <c r="C262" s="336"/>
      <c r="D262" s="336"/>
      <c r="E262" s="336"/>
      <c r="F262" s="336"/>
      <c r="G262" s="336"/>
      <c r="H262" s="336"/>
      <c r="I262" s="336"/>
      <c r="J262" s="336"/>
      <c r="K262" s="336"/>
      <c r="L262" s="336"/>
      <c r="M262" s="336"/>
      <c r="N262" s="336"/>
      <c r="O262" s="336"/>
      <c r="P262" s="336"/>
      <c r="Q262" s="336"/>
    </row>
    <row r="263" ht="15.75" customHeight="1">
      <c r="A263" s="336"/>
      <c r="B263" s="336"/>
      <c r="C263" s="336"/>
      <c r="D263" s="336"/>
      <c r="E263" s="336"/>
      <c r="F263" s="336"/>
      <c r="G263" s="336"/>
      <c r="H263" s="336"/>
      <c r="I263" s="336"/>
      <c r="J263" s="336"/>
      <c r="K263" s="336"/>
      <c r="L263" s="336"/>
      <c r="M263" s="336"/>
      <c r="N263" s="336"/>
      <c r="O263" s="336"/>
      <c r="P263" s="336"/>
      <c r="Q263" s="336"/>
    </row>
    <row r="264" ht="15.75" customHeight="1">
      <c r="A264" s="336"/>
      <c r="B264" s="336"/>
      <c r="C264" s="336"/>
      <c r="D264" s="336"/>
      <c r="E264" s="336"/>
      <c r="F264" s="336"/>
      <c r="G264" s="336"/>
      <c r="H264" s="336"/>
      <c r="I264" s="336"/>
      <c r="J264" s="336"/>
      <c r="K264" s="336"/>
      <c r="L264" s="336"/>
      <c r="M264" s="336"/>
      <c r="N264" s="336"/>
      <c r="O264" s="336"/>
      <c r="P264" s="336"/>
      <c r="Q264" s="336"/>
    </row>
    <row r="265" ht="15.75" customHeight="1">
      <c r="A265" s="336"/>
      <c r="B265" s="336"/>
      <c r="C265" s="336"/>
      <c r="D265" s="336"/>
      <c r="E265" s="336"/>
      <c r="F265" s="336"/>
      <c r="G265" s="336"/>
      <c r="H265" s="336"/>
      <c r="I265" s="336"/>
      <c r="J265" s="336"/>
      <c r="K265" s="336"/>
      <c r="L265" s="336"/>
      <c r="M265" s="336"/>
      <c r="N265" s="336"/>
      <c r="O265" s="336"/>
      <c r="P265" s="336"/>
      <c r="Q265" s="336"/>
    </row>
    <row r="266" ht="15.75" customHeight="1">
      <c r="A266" s="336"/>
      <c r="B266" s="336"/>
      <c r="C266" s="336"/>
      <c r="D266" s="336"/>
      <c r="E266" s="336"/>
      <c r="F266" s="336"/>
      <c r="G266" s="336"/>
      <c r="H266" s="336"/>
      <c r="I266" s="336"/>
      <c r="J266" s="336"/>
      <c r="K266" s="336"/>
      <c r="L266" s="336"/>
      <c r="M266" s="336"/>
      <c r="N266" s="336"/>
      <c r="O266" s="336"/>
      <c r="P266" s="336"/>
      <c r="Q266" s="336"/>
    </row>
    <row r="267" ht="15.75" customHeight="1">
      <c r="A267" s="336"/>
      <c r="B267" s="336"/>
      <c r="C267" s="336"/>
      <c r="D267" s="336"/>
      <c r="E267" s="336"/>
      <c r="F267" s="336"/>
      <c r="G267" s="336"/>
      <c r="H267" s="336"/>
      <c r="I267" s="336"/>
      <c r="J267" s="336"/>
      <c r="K267" s="336"/>
      <c r="L267" s="336"/>
      <c r="M267" s="336"/>
      <c r="N267" s="336"/>
      <c r="O267" s="336"/>
      <c r="P267" s="336"/>
      <c r="Q267" s="336"/>
    </row>
    <row r="268" ht="15.75" customHeight="1">
      <c r="A268" s="336"/>
      <c r="B268" s="336"/>
      <c r="C268" s="336"/>
      <c r="D268" s="336"/>
      <c r="E268" s="336"/>
      <c r="F268" s="336"/>
      <c r="G268" s="336"/>
      <c r="H268" s="336"/>
      <c r="I268" s="336"/>
      <c r="J268" s="336"/>
      <c r="K268" s="336"/>
      <c r="L268" s="336"/>
      <c r="M268" s="336"/>
      <c r="N268" s="336"/>
      <c r="O268" s="336"/>
      <c r="P268" s="336"/>
      <c r="Q268" s="336"/>
    </row>
    <row r="269" ht="15.75" customHeight="1">
      <c r="A269" s="336"/>
      <c r="B269" s="336"/>
      <c r="C269" s="336"/>
      <c r="D269" s="336"/>
      <c r="E269" s="336"/>
      <c r="F269" s="336"/>
      <c r="G269" s="336"/>
      <c r="H269" s="336"/>
      <c r="I269" s="336"/>
      <c r="J269" s="336"/>
      <c r="K269" s="336"/>
      <c r="L269" s="336"/>
      <c r="M269" s="336"/>
      <c r="N269" s="336"/>
      <c r="O269" s="336"/>
      <c r="P269" s="336"/>
      <c r="Q269" s="336"/>
    </row>
    <row r="270" ht="15.75" customHeight="1">
      <c r="A270" s="336"/>
      <c r="B270" s="336"/>
      <c r="C270" s="336"/>
      <c r="D270" s="336"/>
      <c r="E270" s="336"/>
      <c r="F270" s="336"/>
      <c r="G270" s="336"/>
      <c r="H270" s="336"/>
      <c r="I270" s="336"/>
      <c r="J270" s="336"/>
      <c r="K270" s="336"/>
      <c r="L270" s="336"/>
      <c r="M270" s="336"/>
      <c r="N270" s="336"/>
      <c r="O270" s="336"/>
      <c r="P270" s="336"/>
      <c r="Q270" s="336"/>
    </row>
    <row r="271" ht="15.75" customHeight="1">
      <c r="A271" s="336"/>
      <c r="B271" s="336"/>
      <c r="C271" s="336"/>
      <c r="D271" s="336"/>
      <c r="E271" s="336"/>
      <c r="F271" s="336"/>
      <c r="G271" s="336"/>
      <c r="H271" s="336"/>
      <c r="I271" s="336"/>
      <c r="J271" s="336"/>
      <c r="K271" s="336"/>
      <c r="L271" s="336"/>
      <c r="M271" s="336"/>
      <c r="N271" s="336"/>
      <c r="O271" s="336"/>
      <c r="P271" s="336"/>
      <c r="Q271" s="336"/>
    </row>
    <row r="272" ht="15.75" customHeight="1">
      <c r="A272" s="336"/>
      <c r="B272" s="336"/>
      <c r="C272" s="336"/>
      <c r="D272" s="336"/>
      <c r="E272" s="336"/>
      <c r="F272" s="336"/>
      <c r="G272" s="336"/>
      <c r="H272" s="336"/>
      <c r="I272" s="336"/>
      <c r="J272" s="336"/>
      <c r="K272" s="336"/>
      <c r="L272" s="336"/>
      <c r="M272" s="336"/>
      <c r="N272" s="336"/>
      <c r="O272" s="336"/>
      <c r="P272" s="336"/>
      <c r="Q272" s="336"/>
    </row>
    <row r="273" ht="15.75" customHeight="1">
      <c r="A273" s="336"/>
      <c r="B273" s="336"/>
      <c r="C273" s="336"/>
      <c r="D273" s="336"/>
      <c r="E273" s="336"/>
      <c r="F273" s="336"/>
      <c r="G273" s="336"/>
      <c r="H273" s="336"/>
      <c r="I273" s="336"/>
      <c r="J273" s="336"/>
      <c r="K273" s="336"/>
      <c r="L273" s="336"/>
      <c r="M273" s="336"/>
      <c r="N273" s="336"/>
      <c r="O273" s="336"/>
      <c r="P273" s="336"/>
      <c r="Q273" s="336"/>
    </row>
    <row r="274" ht="15.75" customHeight="1">
      <c r="A274" s="336"/>
      <c r="B274" s="336"/>
      <c r="C274" s="336"/>
      <c r="D274" s="336"/>
      <c r="E274" s="336"/>
      <c r="F274" s="336"/>
      <c r="G274" s="336"/>
      <c r="H274" s="336"/>
      <c r="I274" s="336"/>
      <c r="J274" s="336"/>
      <c r="K274" s="336"/>
      <c r="L274" s="336"/>
      <c r="M274" s="336"/>
      <c r="N274" s="336"/>
      <c r="O274" s="336"/>
      <c r="P274" s="336"/>
      <c r="Q274" s="336"/>
    </row>
    <row r="275" ht="15.75" customHeight="1">
      <c r="A275" s="336"/>
      <c r="B275" s="336"/>
      <c r="C275" s="336"/>
      <c r="D275" s="336"/>
      <c r="E275" s="336"/>
      <c r="F275" s="336"/>
      <c r="G275" s="336"/>
      <c r="H275" s="336"/>
      <c r="I275" s="336"/>
      <c r="J275" s="336"/>
      <c r="K275" s="336"/>
      <c r="L275" s="336"/>
      <c r="M275" s="336"/>
      <c r="N275" s="336"/>
      <c r="O275" s="336"/>
      <c r="P275" s="336"/>
      <c r="Q275" s="336"/>
    </row>
    <row r="276" ht="15.75" customHeight="1">
      <c r="A276" s="336"/>
      <c r="B276" s="336"/>
      <c r="C276" s="336"/>
      <c r="D276" s="336"/>
      <c r="E276" s="336"/>
      <c r="F276" s="336"/>
      <c r="G276" s="336"/>
      <c r="H276" s="336"/>
      <c r="I276" s="336"/>
      <c r="J276" s="336"/>
      <c r="K276" s="336"/>
      <c r="L276" s="336"/>
      <c r="M276" s="336"/>
      <c r="N276" s="336"/>
      <c r="O276" s="336"/>
      <c r="P276" s="336"/>
      <c r="Q276" s="336"/>
    </row>
    <row r="277" ht="15.75" customHeight="1">
      <c r="A277" s="336"/>
      <c r="B277" s="336"/>
      <c r="C277" s="336"/>
      <c r="D277" s="336"/>
      <c r="E277" s="336"/>
      <c r="F277" s="336"/>
      <c r="G277" s="336"/>
      <c r="H277" s="336"/>
      <c r="I277" s="336"/>
      <c r="J277" s="336"/>
      <c r="K277" s="336"/>
      <c r="L277" s="336"/>
      <c r="M277" s="336"/>
      <c r="N277" s="336"/>
      <c r="O277" s="336"/>
      <c r="P277" s="336"/>
      <c r="Q277" s="336"/>
    </row>
    <row r="278" ht="15.75" customHeight="1">
      <c r="A278" s="336"/>
      <c r="B278" s="336"/>
      <c r="C278" s="336"/>
      <c r="D278" s="336"/>
      <c r="E278" s="336"/>
      <c r="F278" s="336"/>
      <c r="G278" s="336"/>
      <c r="H278" s="336"/>
      <c r="I278" s="336"/>
      <c r="J278" s="336"/>
      <c r="K278" s="336"/>
      <c r="L278" s="336"/>
      <c r="M278" s="336"/>
      <c r="N278" s="336"/>
      <c r="O278" s="336"/>
      <c r="P278" s="336"/>
      <c r="Q278" s="336"/>
    </row>
    <row r="279" ht="15.75" customHeight="1">
      <c r="A279" s="336"/>
      <c r="B279" s="336"/>
      <c r="C279" s="336"/>
      <c r="D279" s="336"/>
      <c r="E279" s="336"/>
      <c r="F279" s="336"/>
      <c r="G279" s="336"/>
      <c r="H279" s="336"/>
      <c r="I279" s="336"/>
      <c r="J279" s="336"/>
      <c r="K279" s="336"/>
      <c r="L279" s="336"/>
      <c r="M279" s="336"/>
      <c r="N279" s="336"/>
      <c r="O279" s="336"/>
      <c r="P279" s="336"/>
      <c r="Q279" s="336"/>
    </row>
    <row r="280" ht="15.75" customHeight="1">
      <c r="A280" s="336"/>
      <c r="B280" s="336"/>
      <c r="C280" s="336"/>
      <c r="D280" s="336"/>
      <c r="E280" s="336"/>
      <c r="F280" s="336"/>
      <c r="G280" s="336"/>
      <c r="H280" s="336"/>
      <c r="I280" s="336"/>
      <c r="J280" s="336"/>
      <c r="K280" s="336"/>
      <c r="L280" s="336"/>
      <c r="M280" s="336"/>
      <c r="N280" s="336"/>
      <c r="O280" s="336"/>
      <c r="P280" s="336"/>
      <c r="Q280" s="336"/>
    </row>
    <row r="281" ht="15.75" customHeight="1">
      <c r="A281" s="336"/>
      <c r="B281" s="336"/>
      <c r="C281" s="336"/>
      <c r="D281" s="336"/>
      <c r="E281" s="336"/>
      <c r="F281" s="336"/>
      <c r="G281" s="336"/>
      <c r="H281" s="336"/>
      <c r="I281" s="336"/>
      <c r="J281" s="336"/>
      <c r="K281" s="336"/>
      <c r="L281" s="336"/>
      <c r="M281" s="336"/>
      <c r="N281" s="336"/>
      <c r="O281" s="336"/>
      <c r="P281" s="336"/>
      <c r="Q281" s="336"/>
    </row>
    <row r="282" ht="15.75" customHeight="1">
      <c r="A282" s="336"/>
      <c r="B282" s="336"/>
      <c r="C282" s="336"/>
      <c r="D282" s="336"/>
      <c r="E282" s="336"/>
      <c r="F282" s="336"/>
      <c r="G282" s="336"/>
      <c r="H282" s="336"/>
      <c r="I282" s="336"/>
      <c r="J282" s="336"/>
      <c r="K282" s="336"/>
      <c r="L282" s="336"/>
      <c r="M282" s="336"/>
      <c r="N282" s="336"/>
      <c r="O282" s="336"/>
      <c r="P282" s="336"/>
      <c r="Q282" s="336"/>
    </row>
    <row r="283" ht="15.75" customHeight="1">
      <c r="A283" s="336"/>
      <c r="B283" s="336"/>
      <c r="C283" s="336"/>
      <c r="D283" s="336"/>
      <c r="E283" s="336"/>
      <c r="F283" s="336"/>
      <c r="G283" s="336"/>
      <c r="H283" s="336"/>
      <c r="I283" s="336"/>
      <c r="J283" s="336"/>
      <c r="K283" s="336"/>
      <c r="L283" s="336"/>
      <c r="M283" s="336"/>
      <c r="N283" s="336"/>
      <c r="O283" s="336"/>
      <c r="P283" s="336"/>
      <c r="Q283" s="336"/>
    </row>
    <row r="284" ht="15.75" customHeight="1">
      <c r="A284" s="336"/>
      <c r="B284" s="336"/>
      <c r="C284" s="336"/>
      <c r="D284" s="336"/>
      <c r="E284" s="336"/>
      <c r="F284" s="336"/>
      <c r="G284" s="336"/>
      <c r="H284" s="336"/>
      <c r="I284" s="336"/>
      <c r="J284" s="336"/>
      <c r="K284" s="336"/>
      <c r="L284" s="336"/>
      <c r="M284" s="336"/>
      <c r="N284" s="336"/>
      <c r="O284" s="336"/>
      <c r="P284" s="336"/>
      <c r="Q284" s="336"/>
    </row>
    <row r="285" ht="15.75" customHeight="1">
      <c r="A285" s="336"/>
      <c r="B285" s="336"/>
      <c r="C285" s="336"/>
      <c r="D285" s="336"/>
      <c r="E285" s="336"/>
      <c r="F285" s="336"/>
      <c r="G285" s="336"/>
      <c r="H285" s="336"/>
      <c r="I285" s="336"/>
      <c r="J285" s="336"/>
      <c r="K285" s="336"/>
      <c r="L285" s="336"/>
      <c r="M285" s="336"/>
      <c r="N285" s="336"/>
      <c r="O285" s="336"/>
      <c r="P285" s="336"/>
      <c r="Q285" s="336"/>
    </row>
    <row r="286" ht="15.75" customHeight="1">
      <c r="A286" s="336"/>
      <c r="B286" s="336"/>
      <c r="C286" s="336"/>
      <c r="D286" s="336"/>
      <c r="E286" s="336"/>
      <c r="F286" s="336"/>
      <c r="G286" s="336"/>
      <c r="H286" s="336"/>
      <c r="I286" s="336"/>
      <c r="J286" s="336"/>
      <c r="K286" s="336"/>
      <c r="L286" s="336"/>
      <c r="M286" s="336"/>
      <c r="N286" s="336"/>
      <c r="O286" s="336"/>
      <c r="P286" s="336"/>
      <c r="Q286" s="336"/>
    </row>
    <row r="287" ht="15.75" customHeight="1">
      <c r="A287" s="336"/>
      <c r="B287" s="336"/>
      <c r="C287" s="336"/>
      <c r="D287" s="336"/>
      <c r="E287" s="336"/>
      <c r="F287" s="336"/>
      <c r="G287" s="336"/>
      <c r="H287" s="336"/>
      <c r="I287" s="336"/>
      <c r="J287" s="336"/>
      <c r="K287" s="336"/>
      <c r="L287" s="336"/>
      <c r="M287" s="336"/>
      <c r="N287" s="336"/>
      <c r="O287" s="336"/>
      <c r="P287" s="336"/>
      <c r="Q287" s="336"/>
    </row>
    <row r="288" ht="15.75" customHeight="1">
      <c r="A288" s="336"/>
      <c r="B288" s="336"/>
      <c r="C288" s="336"/>
      <c r="D288" s="336"/>
      <c r="E288" s="336"/>
      <c r="F288" s="336"/>
      <c r="G288" s="336"/>
      <c r="H288" s="336"/>
      <c r="I288" s="336"/>
      <c r="J288" s="336"/>
      <c r="K288" s="336"/>
      <c r="L288" s="336"/>
      <c r="M288" s="336"/>
      <c r="N288" s="336"/>
      <c r="O288" s="336"/>
      <c r="P288" s="336"/>
      <c r="Q288" s="336"/>
    </row>
    <row r="289" ht="15.75" customHeight="1">
      <c r="A289" s="336"/>
      <c r="B289" s="336"/>
      <c r="C289" s="336"/>
      <c r="D289" s="336"/>
      <c r="E289" s="336"/>
      <c r="F289" s="336"/>
      <c r="G289" s="336"/>
      <c r="H289" s="336"/>
      <c r="I289" s="336"/>
      <c r="J289" s="336"/>
      <c r="K289" s="336"/>
      <c r="L289" s="336"/>
      <c r="M289" s="336"/>
      <c r="N289" s="336"/>
      <c r="O289" s="336"/>
      <c r="P289" s="336"/>
      <c r="Q289" s="336"/>
    </row>
    <row r="290" ht="15.75" customHeight="1">
      <c r="A290" s="336"/>
      <c r="B290" s="336"/>
      <c r="C290" s="336"/>
      <c r="D290" s="336"/>
      <c r="E290" s="336"/>
      <c r="F290" s="336"/>
      <c r="G290" s="336"/>
      <c r="H290" s="336"/>
      <c r="I290" s="336"/>
      <c r="J290" s="336"/>
      <c r="K290" s="336"/>
      <c r="L290" s="336"/>
      <c r="M290" s="336"/>
      <c r="N290" s="336"/>
      <c r="O290" s="336"/>
      <c r="P290" s="336"/>
      <c r="Q290" s="336"/>
    </row>
    <row r="291" ht="15.75" customHeight="1">
      <c r="A291" s="336"/>
      <c r="B291" s="336"/>
      <c r="C291" s="336"/>
      <c r="D291" s="336"/>
      <c r="E291" s="336"/>
      <c r="F291" s="336"/>
      <c r="G291" s="336"/>
      <c r="H291" s="336"/>
      <c r="I291" s="336"/>
      <c r="J291" s="336"/>
      <c r="K291" s="336"/>
      <c r="L291" s="336"/>
      <c r="M291" s="336"/>
      <c r="N291" s="336"/>
      <c r="O291" s="336"/>
      <c r="P291" s="336"/>
      <c r="Q291" s="336"/>
    </row>
    <row r="292" ht="15.75" customHeight="1">
      <c r="A292" s="336"/>
      <c r="B292" s="336"/>
      <c r="C292" s="336"/>
      <c r="D292" s="336"/>
      <c r="E292" s="336"/>
      <c r="F292" s="336"/>
      <c r="G292" s="336"/>
      <c r="H292" s="336"/>
      <c r="I292" s="336"/>
      <c r="J292" s="336"/>
      <c r="K292" s="336"/>
      <c r="L292" s="336"/>
      <c r="M292" s="336"/>
      <c r="N292" s="336"/>
      <c r="O292" s="336"/>
      <c r="P292" s="336"/>
      <c r="Q292" s="336"/>
    </row>
    <row r="293" ht="15.75" customHeight="1">
      <c r="A293" s="336"/>
      <c r="B293" s="336"/>
      <c r="C293" s="336"/>
      <c r="D293" s="336"/>
      <c r="E293" s="336"/>
      <c r="F293" s="336"/>
      <c r="G293" s="336"/>
      <c r="H293" s="336"/>
      <c r="I293" s="336"/>
      <c r="J293" s="336"/>
      <c r="K293" s="336"/>
      <c r="L293" s="336"/>
      <c r="M293" s="336"/>
      <c r="N293" s="336"/>
      <c r="O293" s="336"/>
      <c r="P293" s="336"/>
      <c r="Q293" s="336"/>
    </row>
    <row r="294" ht="15.75" customHeight="1">
      <c r="A294" s="336"/>
      <c r="B294" s="336"/>
      <c r="C294" s="336"/>
      <c r="D294" s="336"/>
      <c r="E294" s="336"/>
      <c r="F294" s="336"/>
      <c r="G294" s="336"/>
      <c r="H294" s="336"/>
      <c r="I294" s="336"/>
      <c r="J294" s="336"/>
      <c r="K294" s="336"/>
      <c r="L294" s="336"/>
      <c r="M294" s="336"/>
      <c r="N294" s="336"/>
      <c r="O294" s="336"/>
      <c r="P294" s="336"/>
      <c r="Q294" s="336"/>
    </row>
    <row r="295" ht="15.75" customHeight="1">
      <c r="A295" s="336"/>
      <c r="B295" s="336"/>
      <c r="C295" s="336"/>
      <c r="D295" s="336"/>
      <c r="E295" s="336"/>
      <c r="F295" s="336"/>
      <c r="G295" s="336"/>
      <c r="H295" s="336"/>
      <c r="I295" s="336"/>
      <c r="J295" s="336"/>
      <c r="K295" s="336"/>
      <c r="L295" s="336"/>
      <c r="M295" s="336"/>
      <c r="N295" s="336"/>
      <c r="O295" s="336"/>
      <c r="P295" s="336"/>
      <c r="Q295" s="336"/>
    </row>
    <row r="296" ht="15.75" customHeight="1">
      <c r="A296" s="336"/>
      <c r="B296" s="336"/>
      <c r="C296" s="336"/>
      <c r="D296" s="336"/>
      <c r="E296" s="336"/>
      <c r="F296" s="336"/>
      <c r="G296" s="336"/>
      <c r="H296" s="336"/>
      <c r="I296" s="336"/>
      <c r="J296" s="336"/>
      <c r="K296" s="336"/>
      <c r="L296" s="336"/>
      <c r="M296" s="336"/>
      <c r="N296" s="336"/>
      <c r="O296" s="336"/>
      <c r="P296" s="336"/>
      <c r="Q296" s="336"/>
    </row>
    <row r="297" ht="15.75" customHeight="1">
      <c r="A297" s="336"/>
      <c r="B297" s="336"/>
      <c r="C297" s="336"/>
      <c r="D297" s="336"/>
      <c r="E297" s="336"/>
      <c r="F297" s="336"/>
      <c r="G297" s="336"/>
      <c r="H297" s="336"/>
      <c r="I297" s="336"/>
      <c r="J297" s="336"/>
      <c r="K297" s="336"/>
      <c r="L297" s="336"/>
      <c r="M297" s="336"/>
      <c r="N297" s="336"/>
      <c r="O297" s="336"/>
      <c r="P297" s="336"/>
      <c r="Q297" s="336"/>
    </row>
    <row r="298" ht="15.75" customHeight="1">
      <c r="A298" s="336"/>
      <c r="B298" s="336"/>
      <c r="C298" s="336"/>
      <c r="D298" s="336"/>
      <c r="E298" s="336"/>
      <c r="F298" s="336"/>
      <c r="G298" s="336"/>
      <c r="H298" s="336"/>
      <c r="I298" s="336"/>
      <c r="J298" s="336"/>
      <c r="K298" s="336"/>
      <c r="L298" s="336"/>
      <c r="M298" s="336"/>
      <c r="N298" s="336"/>
      <c r="O298" s="336"/>
      <c r="P298" s="336"/>
      <c r="Q298" s="336"/>
    </row>
    <row r="299" ht="15.75" customHeight="1">
      <c r="A299" s="336"/>
      <c r="B299" s="336"/>
      <c r="C299" s="336"/>
      <c r="D299" s="336"/>
      <c r="E299" s="336"/>
      <c r="F299" s="336"/>
      <c r="G299" s="336"/>
      <c r="H299" s="336"/>
      <c r="I299" s="336"/>
      <c r="J299" s="336"/>
      <c r="K299" s="336"/>
      <c r="L299" s="336"/>
      <c r="M299" s="336"/>
      <c r="N299" s="336"/>
      <c r="O299" s="336"/>
      <c r="P299" s="336"/>
      <c r="Q299" s="336"/>
    </row>
    <row r="300" ht="15.75" customHeight="1">
      <c r="A300" s="336"/>
      <c r="B300" s="336"/>
      <c r="C300" s="336"/>
      <c r="D300" s="336"/>
      <c r="E300" s="336"/>
      <c r="F300" s="336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  <c r="Q300" s="336"/>
    </row>
    <row r="301" ht="15.75" customHeight="1">
      <c r="A301" s="336"/>
      <c r="B301" s="336"/>
      <c r="C301" s="336"/>
      <c r="D301" s="336"/>
      <c r="E301" s="336"/>
      <c r="F301" s="336"/>
      <c r="G301" s="336"/>
      <c r="H301" s="336"/>
      <c r="I301" s="336"/>
      <c r="J301" s="336"/>
      <c r="K301" s="336"/>
      <c r="L301" s="336"/>
      <c r="M301" s="336"/>
      <c r="N301" s="336"/>
      <c r="O301" s="336"/>
      <c r="P301" s="336"/>
      <c r="Q301" s="336"/>
    </row>
    <row r="302" ht="15.75" customHeight="1">
      <c r="A302" s="336"/>
      <c r="B302" s="336"/>
      <c r="C302" s="336"/>
      <c r="D302" s="336"/>
      <c r="E302" s="336"/>
      <c r="F302" s="336"/>
      <c r="G302" s="336"/>
      <c r="H302" s="336"/>
      <c r="I302" s="336"/>
      <c r="J302" s="336"/>
      <c r="K302" s="336"/>
      <c r="L302" s="336"/>
      <c r="M302" s="336"/>
      <c r="N302" s="336"/>
      <c r="O302" s="336"/>
      <c r="P302" s="336"/>
      <c r="Q302" s="336"/>
    </row>
    <row r="303" ht="15.75" customHeight="1">
      <c r="A303" s="336"/>
      <c r="B303" s="336"/>
      <c r="C303" s="336"/>
      <c r="D303" s="336"/>
      <c r="E303" s="336"/>
      <c r="F303" s="336"/>
      <c r="G303" s="336"/>
      <c r="H303" s="336"/>
      <c r="I303" s="336"/>
      <c r="J303" s="336"/>
      <c r="K303" s="336"/>
      <c r="L303" s="336"/>
      <c r="M303" s="336"/>
      <c r="N303" s="336"/>
      <c r="O303" s="336"/>
      <c r="P303" s="336"/>
      <c r="Q303" s="336"/>
    </row>
    <row r="304" ht="15.75" customHeight="1">
      <c r="A304" s="336"/>
      <c r="B304" s="336"/>
      <c r="C304" s="336"/>
      <c r="D304" s="336"/>
      <c r="E304" s="336"/>
      <c r="F304" s="336"/>
      <c r="G304" s="336"/>
      <c r="H304" s="336"/>
      <c r="I304" s="336"/>
      <c r="J304" s="336"/>
      <c r="K304" s="336"/>
      <c r="L304" s="336"/>
      <c r="M304" s="336"/>
      <c r="N304" s="336"/>
      <c r="O304" s="336"/>
      <c r="P304" s="336"/>
      <c r="Q304" s="336"/>
    </row>
    <row r="305" ht="15.75" customHeight="1">
      <c r="A305" s="336"/>
      <c r="B305" s="336"/>
      <c r="C305" s="336"/>
      <c r="D305" s="336"/>
      <c r="E305" s="336"/>
      <c r="F305" s="336"/>
      <c r="G305" s="336"/>
      <c r="H305" s="336"/>
      <c r="I305" s="336"/>
      <c r="J305" s="336"/>
      <c r="K305" s="336"/>
      <c r="L305" s="336"/>
      <c r="M305" s="336"/>
      <c r="N305" s="336"/>
      <c r="O305" s="336"/>
      <c r="P305" s="336"/>
      <c r="Q305" s="336"/>
    </row>
    <row r="306" ht="15.75" customHeight="1">
      <c r="A306" s="336"/>
      <c r="B306" s="336"/>
      <c r="C306" s="336"/>
      <c r="D306" s="336"/>
      <c r="E306" s="336"/>
      <c r="F306" s="336"/>
      <c r="G306" s="336"/>
      <c r="H306" s="336"/>
      <c r="I306" s="336"/>
      <c r="J306" s="336"/>
      <c r="K306" s="336"/>
      <c r="L306" s="336"/>
      <c r="M306" s="336"/>
      <c r="N306" s="336"/>
      <c r="O306" s="336"/>
      <c r="P306" s="336"/>
      <c r="Q306" s="336"/>
    </row>
    <row r="307" ht="15.75" customHeight="1">
      <c r="A307" s="336"/>
      <c r="B307" s="336"/>
      <c r="C307" s="336"/>
      <c r="D307" s="336"/>
      <c r="E307" s="336"/>
      <c r="F307" s="336"/>
      <c r="G307" s="336"/>
      <c r="H307" s="336"/>
      <c r="I307" s="336"/>
      <c r="J307" s="336"/>
      <c r="K307" s="336"/>
      <c r="L307" s="336"/>
      <c r="M307" s="336"/>
      <c r="N307" s="336"/>
      <c r="O307" s="336"/>
      <c r="P307" s="336"/>
      <c r="Q307" s="336"/>
    </row>
    <row r="308" ht="15.75" customHeight="1">
      <c r="A308" s="336"/>
      <c r="B308" s="336"/>
      <c r="C308" s="336"/>
      <c r="D308" s="336"/>
      <c r="E308" s="336"/>
      <c r="F308" s="336"/>
      <c r="G308" s="336"/>
      <c r="H308" s="336"/>
      <c r="I308" s="336"/>
      <c r="J308" s="336"/>
      <c r="K308" s="336"/>
      <c r="L308" s="336"/>
      <c r="M308" s="336"/>
      <c r="N308" s="336"/>
      <c r="O308" s="336"/>
      <c r="P308" s="336"/>
      <c r="Q308" s="336"/>
    </row>
    <row r="309" ht="15.75" customHeight="1">
      <c r="A309" s="336"/>
      <c r="B309" s="336"/>
      <c r="C309" s="336"/>
      <c r="D309" s="336"/>
      <c r="E309" s="336"/>
      <c r="F309" s="336"/>
      <c r="G309" s="336"/>
      <c r="H309" s="336"/>
      <c r="I309" s="336"/>
      <c r="J309" s="336"/>
      <c r="K309" s="336"/>
      <c r="L309" s="336"/>
      <c r="M309" s="336"/>
      <c r="N309" s="336"/>
      <c r="O309" s="336"/>
      <c r="P309" s="336"/>
      <c r="Q309" s="336"/>
    </row>
    <row r="310" ht="15.75" customHeight="1">
      <c r="A310" s="336"/>
      <c r="B310" s="336"/>
      <c r="C310" s="336"/>
      <c r="D310" s="336"/>
      <c r="E310" s="336"/>
      <c r="F310" s="336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  <c r="Q310" s="336"/>
    </row>
    <row r="311" ht="15.75" customHeight="1">
      <c r="A311" s="336"/>
      <c r="B311" s="336"/>
      <c r="C311" s="336"/>
      <c r="D311" s="336"/>
      <c r="E311" s="336"/>
      <c r="F311" s="336"/>
      <c r="G311" s="336"/>
      <c r="H311" s="336"/>
      <c r="I311" s="336"/>
      <c r="J311" s="336"/>
      <c r="K311" s="336"/>
      <c r="L311" s="336"/>
      <c r="M311" s="336"/>
      <c r="N311" s="336"/>
      <c r="O311" s="336"/>
      <c r="P311" s="336"/>
      <c r="Q311" s="336"/>
    </row>
    <row r="312" ht="15.75" customHeight="1">
      <c r="A312" s="336"/>
      <c r="B312" s="336"/>
      <c r="C312" s="336"/>
      <c r="D312" s="336"/>
      <c r="E312" s="336"/>
      <c r="F312" s="336"/>
      <c r="G312" s="336"/>
      <c r="H312" s="336"/>
      <c r="I312" s="336"/>
      <c r="J312" s="336"/>
      <c r="K312" s="336"/>
      <c r="L312" s="336"/>
      <c r="M312" s="336"/>
      <c r="N312" s="336"/>
      <c r="O312" s="336"/>
      <c r="P312" s="336"/>
      <c r="Q312" s="336"/>
    </row>
    <row r="313" ht="15.75" customHeight="1">
      <c r="A313" s="336"/>
      <c r="B313" s="336"/>
      <c r="C313" s="336"/>
      <c r="D313" s="336"/>
      <c r="E313" s="336"/>
      <c r="F313" s="336"/>
      <c r="G313" s="336"/>
      <c r="H313" s="336"/>
      <c r="I313" s="336"/>
      <c r="J313" s="336"/>
      <c r="K313" s="336"/>
      <c r="L313" s="336"/>
      <c r="M313" s="336"/>
      <c r="N313" s="336"/>
      <c r="O313" s="336"/>
      <c r="P313" s="336"/>
      <c r="Q313" s="336"/>
    </row>
    <row r="314" ht="15.75" customHeight="1">
      <c r="A314" s="336"/>
      <c r="B314" s="336"/>
      <c r="C314" s="336"/>
      <c r="D314" s="336"/>
      <c r="E314" s="336"/>
      <c r="F314" s="336"/>
      <c r="G314" s="336"/>
      <c r="H314" s="336"/>
      <c r="I314" s="336"/>
      <c r="J314" s="336"/>
      <c r="K314" s="336"/>
      <c r="L314" s="336"/>
      <c r="M314" s="336"/>
      <c r="N314" s="336"/>
      <c r="O314" s="336"/>
      <c r="P314" s="336"/>
      <c r="Q314" s="336"/>
    </row>
    <row r="315" ht="15.75" customHeight="1">
      <c r="A315" s="336"/>
      <c r="B315" s="336"/>
      <c r="C315" s="336"/>
      <c r="D315" s="336"/>
      <c r="E315" s="336"/>
      <c r="F315" s="336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</row>
    <row r="316" ht="15.75" customHeight="1">
      <c r="A316" s="336"/>
      <c r="B316" s="336"/>
      <c r="C316" s="336"/>
      <c r="D316" s="336"/>
      <c r="E316" s="336"/>
      <c r="F316" s="336"/>
      <c r="G316" s="336"/>
      <c r="H316" s="336"/>
      <c r="I316" s="336"/>
      <c r="J316" s="336"/>
      <c r="K316" s="336"/>
      <c r="L316" s="336"/>
      <c r="M316" s="336"/>
      <c r="N316" s="336"/>
      <c r="O316" s="336"/>
      <c r="P316" s="336"/>
      <c r="Q316" s="336"/>
    </row>
    <row r="317" ht="15.75" customHeight="1">
      <c r="A317" s="336"/>
      <c r="B317" s="336"/>
      <c r="C317" s="336"/>
      <c r="D317" s="336"/>
      <c r="E317" s="336"/>
      <c r="F317" s="336"/>
      <c r="G317" s="336"/>
      <c r="H317" s="336"/>
      <c r="I317" s="336"/>
      <c r="J317" s="336"/>
      <c r="K317" s="336"/>
      <c r="L317" s="336"/>
      <c r="M317" s="336"/>
      <c r="N317" s="336"/>
      <c r="O317" s="336"/>
      <c r="P317" s="336"/>
      <c r="Q317" s="336"/>
    </row>
    <row r="318" ht="15.75" customHeight="1">
      <c r="A318" s="336"/>
      <c r="B318" s="336"/>
      <c r="C318" s="336"/>
      <c r="D318" s="336"/>
      <c r="E318" s="336"/>
      <c r="F318" s="336"/>
      <c r="G318" s="336"/>
      <c r="H318" s="336"/>
      <c r="I318" s="336"/>
      <c r="J318" s="336"/>
      <c r="K318" s="336"/>
      <c r="L318" s="336"/>
      <c r="M318" s="336"/>
      <c r="N318" s="336"/>
      <c r="O318" s="336"/>
      <c r="P318" s="336"/>
      <c r="Q318" s="336"/>
    </row>
    <row r="319" ht="15.75" customHeight="1">
      <c r="A319" s="336"/>
      <c r="B319" s="336"/>
      <c r="C319" s="336"/>
      <c r="D319" s="336"/>
      <c r="E319" s="336"/>
      <c r="F319" s="336"/>
      <c r="G319" s="336"/>
      <c r="H319" s="336"/>
      <c r="I319" s="336"/>
      <c r="J319" s="336"/>
      <c r="K319" s="336"/>
      <c r="L319" s="336"/>
      <c r="M319" s="336"/>
      <c r="N319" s="336"/>
      <c r="O319" s="336"/>
      <c r="P319" s="336"/>
      <c r="Q319" s="336"/>
    </row>
    <row r="320" ht="15.75" customHeight="1">
      <c r="A320" s="336"/>
      <c r="B320" s="336"/>
      <c r="C320" s="336"/>
      <c r="D320" s="336"/>
      <c r="E320" s="336"/>
      <c r="F320" s="336"/>
      <c r="G320" s="336"/>
      <c r="H320" s="336"/>
      <c r="I320" s="336"/>
      <c r="J320" s="336"/>
      <c r="K320" s="336"/>
      <c r="L320" s="336"/>
      <c r="M320" s="336"/>
      <c r="N320" s="336"/>
      <c r="O320" s="336"/>
      <c r="P320" s="336"/>
      <c r="Q320" s="336"/>
    </row>
    <row r="321" ht="15.75" customHeight="1">
      <c r="A321" s="336"/>
      <c r="B321" s="336"/>
      <c r="C321" s="336"/>
      <c r="D321" s="336"/>
      <c r="E321" s="336"/>
      <c r="F321" s="336"/>
      <c r="G321" s="336"/>
      <c r="H321" s="336"/>
      <c r="I321" s="336"/>
      <c r="J321" s="336"/>
      <c r="K321" s="336"/>
      <c r="L321" s="336"/>
      <c r="M321" s="336"/>
      <c r="N321" s="336"/>
      <c r="O321" s="336"/>
      <c r="P321" s="336"/>
      <c r="Q321" s="336"/>
    </row>
    <row r="322" ht="15.75" customHeight="1">
      <c r="A322" s="336"/>
      <c r="B322" s="336"/>
      <c r="C322" s="336"/>
      <c r="D322" s="336"/>
      <c r="E322" s="336"/>
      <c r="F322" s="336"/>
      <c r="G322" s="336"/>
      <c r="H322" s="336"/>
      <c r="I322" s="336"/>
      <c r="J322" s="336"/>
      <c r="K322" s="336"/>
      <c r="L322" s="336"/>
      <c r="M322" s="336"/>
      <c r="N322" s="336"/>
      <c r="O322" s="336"/>
      <c r="P322" s="336"/>
      <c r="Q322" s="336"/>
    </row>
    <row r="323" ht="15.75" customHeight="1">
      <c r="A323" s="336"/>
      <c r="B323" s="336"/>
      <c r="C323" s="336"/>
      <c r="D323" s="336"/>
      <c r="E323" s="336"/>
      <c r="F323" s="336"/>
      <c r="G323" s="336"/>
      <c r="H323" s="336"/>
      <c r="I323" s="336"/>
      <c r="J323" s="336"/>
      <c r="K323" s="336"/>
      <c r="L323" s="336"/>
      <c r="M323" s="336"/>
      <c r="N323" s="336"/>
      <c r="O323" s="336"/>
      <c r="P323" s="336"/>
      <c r="Q323" s="336"/>
    </row>
    <row r="324" ht="15.75" customHeight="1">
      <c r="A324" s="336"/>
      <c r="B324" s="336"/>
      <c r="C324" s="336"/>
      <c r="D324" s="336"/>
      <c r="E324" s="336"/>
      <c r="F324" s="336"/>
      <c r="G324" s="336"/>
      <c r="H324" s="336"/>
      <c r="I324" s="336"/>
      <c r="J324" s="336"/>
      <c r="K324" s="336"/>
      <c r="L324" s="336"/>
      <c r="M324" s="336"/>
      <c r="N324" s="336"/>
      <c r="O324" s="336"/>
      <c r="P324" s="336"/>
      <c r="Q324" s="336"/>
    </row>
    <row r="325" ht="15.75" customHeight="1">
      <c r="A325" s="336"/>
      <c r="B325" s="336"/>
      <c r="C325" s="336"/>
      <c r="D325" s="336"/>
      <c r="E325" s="336"/>
      <c r="F325" s="336"/>
      <c r="G325" s="336"/>
      <c r="H325" s="336"/>
      <c r="I325" s="336"/>
      <c r="J325" s="336"/>
      <c r="K325" s="336"/>
      <c r="L325" s="336"/>
      <c r="M325" s="336"/>
      <c r="N325" s="336"/>
      <c r="O325" s="336"/>
      <c r="P325" s="336"/>
      <c r="Q325" s="336"/>
    </row>
    <row r="326" ht="15.75" customHeight="1">
      <c r="A326" s="336"/>
      <c r="B326" s="336"/>
      <c r="C326" s="336"/>
      <c r="D326" s="336"/>
      <c r="E326" s="336"/>
      <c r="F326" s="336"/>
      <c r="G326" s="336"/>
      <c r="H326" s="336"/>
      <c r="I326" s="336"/>
      <c r="J326" s="336"/>
      <c r="K326" s="336"/>
      <c r="L326" s="336"/>
      <c r="M326" s="336"/>
      <c r="N326" s="336"/>
      <c r="O326" s="336"/>
      <c r="P326" s="336"/>
      <c r="Q326" s="336"/>
    </row>
    <row r="327" ht="15.75" customHeight="1">
      <c r="A327" s="336"/>
      <c r="B327" s="336"/>
      <c r="C327" s="336"/>
      <c r="D327" s="336"/>
      <c r="E327" s="336"/>
      <c r="F327" s="336"/>
      <c r="G327" s="336"/>
      <c r="H327" s="336"/>
      <c r="I327" s="336"/>
      <c r="J327" s="336"/>
      <c r="K327" s="336"/>
      <c r="L327" s="336"/>
      <c r="M327" s="336"/>
      <c r="N327" s="336"/>
      <c r="O327" s="336"/>
      <c r="P327" s="336"/>
      <c r="Q327" s="336"/>
    </row>
    <row r="328" ht="15.75" customHeight="1">
      <c r="A328" s="336"/>
      <c r="B328" s="336"/>
      <c r="C328" s="336"/>
      <c r="D328" s="336"/>
      <c r="E328" s="336"/>
      <c r="F328" s="336"/>
      <c r="G328" s="336"/>
      <c r="H328" s="336"/>
      <c r="I328" s="336"/>
      <c r="J328" s="336"/>
      <c r="K328" s="336"/>
      <c r="L328" s="336"/>
      <c r="M328" s="336"/>
      <c r="N328" s="336"/>
      <c r="O328" s="336"/>
      <c r="P328" s="336"/>
      <c r="Q328" s="336"/>
    </row>
    <row r="329" ht="15.75" customHeight="1">
      <c r="A329" s="336"/>
      <c r="B329" s="336"/>
      <c r="C329" s="336"/>
      <c r="D329" s="336"/>
      <c r="E329" s="336"/>
      <c r="F329" s="336"/>
      <c r="G329" s="336"/>
      <c r="H329" s="336"/>
      <c r="I329" s="336"/>
      <c r="J329" s="336"/>
      <c r="K329" s="336"/>
      <c r="L329" s="336"/>
      <c r="M329" s="336"/>
      <c r="N329" s="336"/>
      <c r="O329" s="336"/>
      <c r="P329" s="336"/>
      <c r="Q329" s="336"/>
    </row>
    <row r="330" ht="15.75" customHeight="1">
      <c r="A330" s="336"/>
      <c r="B330" s="336"/>
      <c r="C330" s="336"/>
      <c r="D330" s="336"/>
      <c r="E330" s="336"/>
      <c r="F330" s="336"/>
      <c r="G330" s="336"/>
      <c r="H330" s="336"/>
      <c r="I330" s="336"/>
      <c r="J330" s="336"/>
      <c r="K330" s="336"/>
      <c r="L330" s="336"/>
      <c r="M330" s="336"/>
      <c r="N330" s="336"/>
      <c r="O330" s="336"/>
      <c r="P330" s="336"/>
      <c r="Q330" s="336"/>
    </row>
    <row r="331" ht="15.75" customHeight="1">
      <c r="A331" s="336"/>
      <c r="B331" s="336"/>
      <c r="C331" s="336"/>
      <c r="D331" s="336"/>
      <c r="E331" s="336"/>
      <c r="F331" s="336"/>
      <c r="G331" s="336"/>
      <c r="H331" s="336"/>
      <c r="I331" s="336"/>
      <c r="J331" s="336"/>
      <c r="K331" s="336"/>
      <c r="L331" s="336"/>
      <c r="M331" s="336"/>
      <c r="N331" s="336"/>
      <c r="O331" s="336"/>
      <c r="P331" s="336"/>
      <c r="Q331" s="336"/>
    </row>
    <row r="332" ht="15.75" customHeight="1">
      <c r="A332" s="336"/>
      <c r="B332" s="336"/>
      <c r="C332" s="336"/>
      <c r="D332" s="336"/>
      <c r="E332" s="336"/>
      <c r="F332" s="336"/>
      <c r="G332" s="336"/>
      <c r="H332" s="336"/>
      <c r="I332" s="336"/>
      <c r="J332" s="336"/>
      <c r="K332" s="336"/>
      <c r="L332" s="336"/>
      <c r="M332" s="336"/>
      <c r="N332" s="336"/>
      <c r="O332" s="336"/>
      <c r="P332" s="336"/>
      <c r="Q332" s="336"/>
    </row>
    <row r="333" ht="15.75" customHeight="1">
      <c r="A333" s="336"/>
      <c r="B333" s="336"/>
      <c r="C333" s="336"/>
      <c r="D333" s="336"/>
      <c r="E333" s="336"/>
      <c r="F333" s="336"/>
      <c r="G333" s="336"/>
      <c r="H333" s="336"/>
      <c r="I333" s="336"/>
      <c r="J333" s="336"/>
      <c r="K333" s="336"/>
      <c r="L333" s="336"/>
      <c r="M333" s="336"/>
      <c r="N333" s="336"/>
      <c r="O333" s="336"/>
      <c r="P333" s="336"/>
      <c r="Q333" s="336"/>
    </row>
    <row r="334" ht="15.75" customHeight="1">
      <c r="A334" s="336"/>
      <c r="B334" s="336"/>
      <c r="C334" s="336"/>
      <c r="D334" s="336"/>
      <c r="E334" s="336"/>
      <c r="F334" s="336"/>
      <c r="G334" s="336"/>
      <c r="H334" s="336"/>
      <c r="I334" s="336"/>
      <c r="J334" s="336"/>
      <c r="K334" s="336"/>
      <c r="L334" s="336"/>
      <c r="M334" s="336"/>
      <c r="N334" s="336"/>
      <c r="O334" s="336"/>
      <c r="P334" s="336"/>
      <c r="Q334" s="336"/>
    </row>
    <row r="335" ht="15.75" customHeight="1">
      <c r="A335" s="336"/>
      <c r="B335" s="336"/>
      <c r="C335" s="336"/>
      <c r="D335" s="336"/>
      <c r="E335" s="336"/>
      <c r="F335" s="336"/>
      <c r="G335" s="336"/>
      <c r="H335" s="336"/>
      <c r="I335" s="336"/>
      <c r="J335" s="336"/>
      <c r="K335" s="336"/>
      <c r="L335" s="336"/>
      <c r="M335" s="336"/>
      <c r="N335" s="336"/>
      <c r="O335" s="336"/>
      <c r="P335" s="336"/>
      <c r="Q335" s="336"/>
    </row>
    <row r="336" ht="15.75" customHeight="1">
      <c r="A336" s="336"/>
      <c r="B336" s="336"/>
      <c r="C336" s="336"/>
      <c r="D336" s="336"/>
      <c r="E336" s="336"/>
      <c r="F336" s="336"/>
      <c r="G336" s="336"/>
      <c r="H336" s="336"/>
      <c r="I336" s="336"/>
      <c r="J336" s="336"/>
      <c r="K336" s="336"/>
      <c r="L336" s="336"/>
      <c r="M336" s="336"/>
      <c r="N336" s="336"/>
      <c r="O336" s="336"/>
      <c r="P336" s="336"/>
      <c r="Q336" s="336"/>
    </row>
    <row r="337" ht="15.75" customHeight="1">
      <c r="A337" s="336"/>
      <c r="B337" s="336"/>
      <c r="C337" s="336"/>
      <c r="D337" s="336"/>
      <c r="E337" s="336"/>
      <c r="F337" s="336"/>
      <c r="G337" s="336"/>
      <c r="H337" s="336"/>
      <c r="I337" s="336"/>
      <c r="J337" s="336"/>
      <c r="K337" s="336"/>
      <c r="L337" s="336"/>
      <c r="M337" s="336"/>
      <c r="N337" s="336"/>
      <c r="O337" s="336"/>
      <c r="P337" s="336"/>
      <c r="Q337" s="336"/>
    </row>
    <row r="338" ht="15.75" customHeight="1">
      <c r="A338" s="336"/>
      <c r="B338" s="336"/>
      <c r="C338" s="336"/>
      <c r="D338" s="336"/>
      <c r="E338" s="336"/>
      <c r="F338" s="336"/>
      <c r="G338" s="336"/>
      <c r="H338" s="336"/>
      <c r="I338" s="336"/>
      <c r="J338" s="336"/>
      <c r="K338" s="336"/>
      <c r="L338" s="336"/>
      <c r="M338" s="336"/>
      <c r="N338" s="336"/>
      <c r="O338" s="336"/>
      <c r="P338" s="336"/>
      <c r="Q338" s="336"/>
    </row>
    <row r="339" ht="15.75" customHeight="1">
      <c r="A339" s="336"/>
      <c r="B339" s="336"/>
      <c r="C339" s="336"/>
      <c r="D339" s="336"/>
      <c r="E339" s="336"/>
      <c r="F339" s="336"/>
      <c r="G339" s="336"/>
      <c r="H339" s="336"/>
      <c r="I339" s="336"/>
      <c r="J339" s="336"/>
      <c r="K339" s="336"/>
      <c r="L339" s="336"/>
      <c r="M339" s="336"/>
      <c r="N339" s="336"/>
      <c r="O339" s="336"/>
      <c r="P339" s="336"/>
      <c r="Q339" s="336"/>
    </row>
    <row r="340" ht="15.75" customHeight="1">
      <c r="A340" s="336"/>
      <c r="B340" s="336"/>
      <c r="C340" s="336"/>
      <c r="D340" s="336"/>
      <c r="E340" s="336"/>
      <c r="F340" s="336"/>
      <c r="G340" s="336"/>
      <c r="H340" s="336"/>
      <c r="I340" s="336"/>
      <c r="J340" s="336"/>
      <c r="K340" s="336"/>
      <c r="L340" s="336"/>
      <c r="M340" s="336"/>
      <c r="N340" s="336"/>
      <c r="O340" s="336"/>
      <c r="P340" s="336"/>
      <c r="Q340" s="336"/>
    </row>
    <row r="341" ht="15.75" customHeight="1">
      <c r="A341" s="336"/>
      <c r="B341" s="336"/>
      <c r="C341" s="336"/>
      <c r="D341" s="336"/>
      <c r="E341" s="336"/>
      <c r="F341" s="336"/>
      <c r="G341" s="336"/>
      <c r="H341" s="336"/>
      <c r="I341" s="336"/>
      <c r="J341" s="336"/>
      <c r="K341" s="336"/>
      <c r="L341" s="336"/>
      <c r="M341" s="336"/>
      <c r="N341" s="336"/>
      <c r="O341" s="336"/>
      <c r="P341" s="336"/>
      <c r="Q341" s="336"/>
    </row>
    <row r="342" ht="15.75" customHeight="1">
      <c r="A342" s="336"/>
      <c r="B342" s="336"/>
      <c r="C342" s="336"/>
      <c r="D342" s="336"/>
      <c r="E342" s="336"/>
      <c r="F342" s="336"/>
      <c r="G342" s="336"/>
      <c r="H342" s="336"/>
      <c r="I342" s="336"/>
      <c r="J342" s="336"/>
      <c r="K342" s="336"/>
      <c r="L342" s="336"/>
      <c r="M342" s="336"/>
      <c r="N342" s="336"/>
      <c r="O342" s="336"/>
      <c r="P342" s="336"/>
      <c r="Q342" s="336"/>
    </row>
    <row r="343" ht="15.75" customHeight="1">
      <c r="A343" s="336"/>
      <c r="B343" s="336"/>
      <c r="C343" s="336"/>
      <c r="D343" s="336"/>
      <c r="E343" s="336"/>
      <c r="F343" s="336"/>
      <c r="G343" s="336"/>
      <c r="H343" s="336"/>
      <c r="I343" s="336"/>
      <c r="J343" s="336"/>
      <c r="K343" s="336"/>
      <c r="L343" s="336"/>
      <c r="M343" s="336"/>
      <c r="N343" s="336"/>
      <c r="O343" s="336"/>
      <c r="P343" s="336"/>
      <c r="Q343" s="336"/>
    </row>
    <row r="344" ht="15.75" customHeight="1">
      <c r="A344" s="336"/>
      <c r="B344" s="336"/>
      <c r="C344" s="336"/>
      <c r="D344" s="336"/>
      <c r="E344" s="336"/>
      <c r="F344" s="336"/>
      <c r="G344" s="336"/>
      <c r="H344" s="336"/>
      <c r="I344" s="336"/>
      <c r="J344" s="336"/>
      <c r="K344" s="336"/>
      <c r="L344" s="336"/>
      <c r="M344" s="336"/>
      <c r="N344" s="336"/>
      <c r="O344" s="336"/>
      <c r="P344" s="336"/>
      <c r="Q344" s="336"/>
    </row>
    <row r="345" ht="15.75" customHeight="1">
      <c r="A345" s="336"/>
      <c r="B345" s="336"/>
      <c r="C345" s="336"/>
      <c r="D345" s="336"/>
      <c r="E345" s="336"/>
      <c r="F345" s="336"/>
      <c r="G345" s="336"/>
      <c r="H345" s="336"/>
      <c r="I345" s="336"/>
      <c r="J345" s="336"/>
      <c r="K345" s="336"/>
      <c r="L345" s="336"/>
      <c r="M345" s="336"/>
      <c r="N345" s="336"/>
      <c r="O345" s="336"/>
      <c r="P345" s="336"/>
      <c r="Q345" s="336"/>
    </row>
    <row r="346" ht="15.75" customHeight="1">
      <c r="A346" s="336"/>
      <c r="B346" s="336"/>
      <c r="C346" s="336"/>
      <c r="D346" s="336"/>
      <c r="E346" s="336"/>
      <c r="F346" s="336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  <c r="Q346" s="336"/>
    </row>
    <row r="347" ht="15.75" customHeight="1">
      <c r="A347" s="336"/>
      <c r="B347" s="336"/>
      <c r="C347" s="336"/>
      <c r="D347" s="336"/>
      <c r="E347" s="336"/>
      <c r="F347" s="336"/>
      <c r="G347" s="336"/>
      <c r="H347" s="336"/>
      <c r="I347" s="336"/>
      <c r="J347" s="336"/>
      <c r="K347" s="336"/>
      <c r="L347" s="336"/>
      <c r="M347" s="336"/>
      <c r="N347" s="336"/>
      <c r="O347" s="336"/>
      <c r="P347" s="336"/>
      <c r="Q347" s="336"/>
    </row>
    <row r="348" ht="15.75" customHeight="1">
      <c r="A348" s="336"/>
      <c r="B348" s="336"/>
      <c r="C348" s="336"/>
      <c r="D348" s="336"/>
      <c r="E348" s="336"/>
      <c r="F348" s="336"/>
      <c r="G348" s="336"/>
      <c r="H348" s="336"/>
      <c r="I348" s="336"/>
      <c r="J348" s="336"/>
      <c r="K348" s="336"/>
      <c r="L348" s="336"/>
      <c r="M348" s="336"/>
      <c r="N348" s="336"/>
      <c r="O348" s="336"/>
      <c r="P348" s="336"/>
      <c r="Q348" s="336"/>
    </row>
    <row r="349" ht="15.75" customHeight="1">
      <c r="A349" s="336"/>
      <c r="B349" s="336"/>
      <c r="C349" s="336"/>
      <c r="D349" s="336"/>
      <c r="E349" s="336"/>
      <c r="F349" s="336"/>
      <c r="G349" s="336"/>
      <c r="H349" s="336"/>
      <c r="I349" s="336"/>
      <c r="J349" s="336"/>
      <c r="K349" s="336"/>
      <c r="L349" s="336"/>
      <c r="M349" s="336"/>
      <c r="N349" s="336"/>
      <c r="O349" s="336"/>
      <c r="P349" s="336"/>
      <c r="Q349" s="336"/>
    </row>
    <row r="350" ht="15.75" customHeight="1">
      <c r="A350" s="336"/>
      <c r="B350" s="336"/>
      <c r="C350" s="336"/>
      <c r="D350" s="336"/>
      <c r="E350" s="336"/>
      <c r="F350" s="336"/>
      <c r="G350" s="336"/>
      <c r="H350" s="336"/>
      <c r="I350" s="336"/>
      <c r="J350" s="336"/>
      <c r="K350" s="336"/>
      <c r="L350" s="336"/>
      <c r="M350" s="336"/>
      <c r="N350" s="336"/>
      <c r="O350" s="336"/>
      <c r="P350" s="336"/>
      <c r="Q350" s="336"/>
    </row>
    <row r="351" ht="15.75" customHeight="1">
      <c r="A351" s="336"/>
      <c r="B351" s="336"/>
      <c r="C351" s="336"/>
      <c r="D351" s="336"/>
      <c r="E351" s="336"/>
      <c r="F351" s="336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  <c r="Q351" s="336"/>
    </row>
    <row r="352" ht="15.75" customHeight="1">
      <c r="A352" s="336"/>
      <c r="B352" s="336"/>
      <c r="C352" s="336"/>
      <c r="D352" s="336"/>
      <c r="E352" s="336"/>
      <c r="F352" s="336"/>
      <c r="G352" s="336"/>
      <c r="H352" s="336"/>
      <c r="I352" s="336"/>
      <c r="J352" s="336"/>
      <c r="K352" s="336"/>
      <c r="L352" s="336"/>
      <c r="M352" s="336"/>
      <c r="N352" s="336"/>
      <c r="O352" s="336"/>
      <c r="P352" s="336"/>
      <c r="Q352" s="336"/>
    </row>
    <row r="353" ht="15.75" customHeight="1">
      <c r="A353" s="336"/>
      <c r="B353" s="336"/>
      <c r="C353" s="336"/>
      <c r="D353" s="336"/>
      <c r="E353" s="336"/>
      <c r="F353" s="336"/>
      <c r="G353" s="336"/>
      <c r="H353" s="336"/>
      <c r="I353" s="336"/>
      <c r="J353" s="336"/>
      <c r="K353" s="336"/>
      <c r="L353" s="336"/>
      <c r="M353" s="336"/>
      <c r="N353" s="336"/>
      <c r="O353" s="336"/>
      <c r="P353" s="336"/>
      <c r="Q353" s="336"/>
    </row>
    <row r="354" ht="15.75" customHeight="1">
      <c r="A354" s="336"/>
      <c r="B354" s="336"/>
      <c r="C354" s="336"/>
      <c r="D354" s="336"/>
      <c r="E354" s="336"/>
      <c r="F354" s="336"/>
      <c r="G354" s="336"/>
      <c r="H354" s="336"/>
      <c r="I354" s="336"/>
      <c r="J354" s="336"/>
      <c r="K354" s="336"/>
      <c r="L354" s="336"/>
      <c r="M354" s="336"/>
      <c r="N354" s="336"/>
      <c r="O354" s="336"/>
      <c r="P354" s="336"/>
      <c r="Q354" s="336"/>
    </row>
    <row r="355" ht="15.75" customHeight="1">
      <c r="A355" s="336"/>
      <c r="B355" s="336"/>
      <c r="C355" s="336"/>
      <c r="D355" s="336"/>
      <c r="E355" s="336"/>
      <c r="F355" s="336"/>
      <c r="G355" s="336"/>
      <c r="H355" s="336"/>
      <c r="I355" s="336"/>
      <c r="J355" s="336"/>
      <c r="K355" s="336"/>
      <c r="L355" s="336"/>
      <c r="M355" s="336"/>
      <c r="N355" s="336"/>
      <c r="O355" s="336"/>
      <c r="P355" s="336"/>
      <c r="Q355" s="336"/>
    </row>
    <row r="356" ht="15.75" customHeight="1">
      <c r="A356" s="336"/>
      <c r="B356" s="336"/>
      <c r="C356" s="336"/>
      <c r="D356" s="336"/>
      <c r="E356" s="336"/>
      <c r="F356" s="336"/>
      <c r="G356" s="336"/>
      <c r="H356" s="336"/>
      <c r="I356" s="336"/>
      <c r="J356" s="336"/>
      <c r="K356" s="336"/>
      <c r="L356" s="336"/>
      <c r="M356" s="336"/>
      <c r="N356" s="336"/>
      <c r="O356" s="336"/>
      <c r="P356" s="336"/>
      <c r="Q356" s="336"/>
    </row>
    <row r="357" ht="15.75" customHeight="1">
      <c r="A357" s="336"/>
      <c r="B357" s="336"/>
      <c r="C357" s="336"/>
      <c r="D357" s="336"/>
      <c r="E357" s="336"/>
      <c r="F357" s="336"/>
      <c r="G357" s="336"/>
      <c r="H357" s="336"/>
      <c r="I357" s="336"/>
      <c r="J357" s="336"/>
      <c r="K357" s="336"/>
      <c r="L357" s="336"/>
      <c r="M357" s="336"/>
      <c r="N357" s="336"/>
      <c r="O357" s="336"/>
      <c r="P357" s="336"/>
      <c r="Q357" s="336"/>
    </row>
    <row r="358" ht="15.75" customHeight="1">
      <c r="A358" s="336"/>
      <c r="B358" s="336"/>
      <c r="C358" s="336"/>
      <c r="D358" s="336"/>
      <c r="E358" s="336"/>
      <c r="F358" s="336"/>
      <c r="G358" s="336"/>
      <c r="H358" s="336"/>
      <c r="I358" s="336"/>
      <c r="J358" s="336"/>
      <c r="K358" s="336"/>
      <c r="L358" s="336"/>
      <c r="M358" s="336"/>
      <c r="N358" s="336"/>
      <c r="O358" s="336"/>
      <c r="P358" s="336"/>
      <c r="Q358" s="336"/>
    </row>
    <row r="359" ht="15.75" customHeight="1">
      <c r="A359" s="336"/>
      <c r="B359" s="336"/>
      <c r="C359" s="336"/>
      <c r="D359" s="336"/>
      <c r="E359" s="336"/>
      <c r="F359" s="336"/>
      <c r="G359" s="336"/>
      <c r="H359" s="336"/>
      <c r="I359" s="336"/>
      <c r="J359" s="336"/>
      <c r="K359" s="336"/>
      <c r="L359" s="336"/>
      <c r="M359" s="336"/>
      <c r="N359" s="336"/>
      <c r="O359" s="336"/>
      <c r="P359" s="336"/>
      <c r="Q359" s="336"/>
    </row>
    <row r="360" ht="15.75" customHeight="1">
      <c r="A360" s="336"/>
      <c r="B360" s="336"/>
      <c r="C360" s="336"/>
      <c r="D360" s="336"/>
      <c r="E360" s="336"/>
      <c r="F360" s="336"/>
      <c r="G360" s="336"/>
      <c r="H360" s="336"/>
      <c r="I360" s="336"/>
      <c r="J360" s="336"/>
      <c r="K360" s="336"/>
      <c r="L360" s="336"/>
      <c r="M360" s="336"/>
      <c r="N360" s="336"/>
      <c r="O360" s="336"/>
      <c r="P360" s="336"/>
      <c r="Q360" s="336"/>
    </row>
    <row r="361" ht="15.75" customHeight="1">
      <c r="A361" s="336"/>
      <c r="B361" s="336"/>
      <c r="C361" s="336"/>
      <c r="D361" s="336"/>
      <c r="E361" s="336"/>
      <c r="F361" s="336"/>
      <c r="G361" s="336"/>
      <c r="H361" s="336"/>
      <c r="I361" s="336"/>
      <c r="J361" s="336"/>
      <c r="K361" s="336"/>
      <c r="L361" s="336"/>
      <c r="M361" s="336"/>
      <c r="N361" s="336"/>
      <c r="O361" s="336"/>
      <c r="P361" s="336"/>
      <c r="Q361" s="336"/>
    </row>
    <row r="362" ht="15.75" customHeight="1">
      <c r="A362" s="336"/>
      <c r="B362" s="336"/>
      <c r="C362" s="336"/>
      <c r="D362" s="336"/>
      <c r="E362" s="336"/>
      <c r="F362" s="336"/>
      <c r="G362" s="336"/>
      <c r="H362" s="336"/>
      <c r="I362" s="336"/>
      <c r="J362" s="336"/>
      <c r="K362" s="336"/>
      <c r="L362" s="336"/>
      <c r="M362" s="336"/>
      <c r="N362" s="336"/>
      <c r="O362" s="336"/>
      <c r="P362" s="336"/>
      <c r="Q362" s="336"/>
    </row>
    <row r="363" ht="15.75" customHeight="1">
      <c r="A363" s="336"/>
      <c r="B363" s="336"/>
      <c r="C363" s="336"/>
      <c r="D363" s="336"/>
      <c r="E363" s="336"/>
      <c r="F363" s="336"/>
      <c r="G363" s="336"/>
      <c r="H363" s="336"/>
      <c r="I363" s="336"/>
      <c r="J363" s="336"/>
      <c r="K363" s="336"/>
      <c r="L363" s="336"/>
      <c r="M363" s="336"/>
      <c r="N363" s="336"/>
      <c r="O363" s="336"/>
      <c r="P363" s="336"/>
      <c r="Q363" s="336"/>
    </row>
    <row r="364" ht="15.75" customHeight="1">
      <c r="A364" s="336"/>
      <c r="B364" s="336"/>
      <c r="C364" s="336"/>
      <c r="D364" s="336"/>
      <c r="E364" s="336"/>
      <c r="F364" s="336"/>
      <c r="G364" s="336"/>
      <c r="H364" s="336"/>
      <c r="I364" s="336"/>
      <c r="J364" s="336"/>
      <c r="K364" s="336"/>
      <c r="L364" s="336"/>
      <c r="M364" s="336"/>
      <c r="N364" s="336"/>
      <c r="O364" s="336"/>
      <c r="P364" s="336"/>
      <c r="Q364" s="336"/>
    </row>
    <row r="365" ht="15.75" customHeight="1">
      <c r="A365" s="336"/>
      <c r="B365" s="336"/>
      <c r="C365" s="336"/>
      <c r="D365" s="336"/>
      <c r="E365" s="336"/>
      <c r="F365" s="336"/>
      <c r="G365" s="336"/>
      <c r="H365" s="336"/>
      <c r="I365" s="336"/>
      <c r="J365" s="336"/>
      <c r="K365" s="336"/>
      <c r="L365" s="336"/>
      <c r="M365" s="336"/>
      <c r="N365" s="336"/>
      <c r="O365" s="336"/>
      <c r="P365" s="336"/>
      <c r="Q365" s="336"/>
    </row>
    <row r="366" ht="15.75" customHeight="1">
      <c r="A366" s="336"/>
      <c r="B366" s="336"/>
      <c r="C366" s="336"/>
      <c r="D366" s="336"/>
      <c r="E366" s="336"/>
      <c r="F366" s="336"/>
      <c r="G366" s="336"/>
      <c r="H366" s="336"/>
      <c r="I366" s="336"/>
      <c r="J366" s="336"/>
      <c r="K366" s="336"/>
      <c r="L366" s="336"/>
      <c r="M366" s="336"/>
      <c r="N366" s="336"/>
      <c r="O366" s="336"/>
      <c r="P366" s="336"/>
      <c r="Q366" s="336"/>
    </row>
    <row r="367" ht="15.75" customHeight="1">
      <c r="A367" s="336"/>
      <c r="B367" s="336"/>
      <c r="C367" s="336"/>
      <c r="D367" s="336"/>
      <c r="E367" s="336"/>
      <c r="F367" s="336"/>
      <c r="G367" s="336"/>
      <c r="H367" s="336"/>
      <c r="I367" s="336"/>
      <c r="J367" s="336"/>
      <c r="K367" s="336"/>
      <c r="L367" s="336"/>
      <c r="M367" s="336"/>
      <c r="N367" s="336"/>
      <c r="O367" s="336"/>
      <c r="P367" s="336"/>
      <c r="Q367" s="336"/>
    </row>
    <row r="368" ht="15.75" customHeight="1">
      <c r="A368" s="336"/>
      <c r="B368" s="336"/>
      <c r="C368" s="336"/>
      <c r="D368" s="336"/>
      <c r="E368" s="336"/>
      <c r="F368" s="336"/>
      <c r="G368" s="336"/>
      <c r="H368" s="336"/>
      <c r="I368" s="336"/>
      <c r="J368" s="336"/>
      <c r="K368" s="336"/>
      <c r="L368" s="336"/>
      <c r="M368" s="336"/>
      <c r="N368" s="336"/>
      <c r="O368" s="336"/>
      <c r="P368" s="336"/>
      <c r="Q368" s="336"/>
    </row>
    <row r="369" ht="15.75" customHeight="1">
      <c r="A369" s="336"/>
      <c r="B369" s="336"/>
      <c r="C369" s="336"/>
      <c r="D369" s="336"/>
      <c r="E369" s="336"/>
      <c r="F369" s="336"/>
      <c r="G369" s="336"/>
      <c r="H369" s="336"/>
      <c r="I369" s="336"/>
      <c r="J369" s="336"/>
      <c r="K369" s="336"/>
      <c r="L369" s="336"/>
      <c r="M369" s="336"/>
      <c r="N369" s="336"/>
      <c r="O369" s="336"/>
      <c r="P369" s="336"/>
      <c r="Q369" s="336"/>
    </row>
    <row r="370" ht="15.75" customHeight="1">
      <c r="A370" s="336"/>
      <c r="B370" s="336"/>
      <c r="C370" s="336"/>
      <c r="D370" s="336"/>
      <c r="E370" s="336"/>
      <c r="F370" s="336"/>
      <c r="G370" s="336"/>
      <c r="H370" s="336"/>
      <c r="I370" s="336"/>
      <c r="J370" s="336"/>
      <c r="K370" s="336"/>
      <c r="L370" s="336"/>
      <c r="M370" s="336"/>
      <c r="N370" s="336"/>
      <c r="O370" s="336"/>
      <c r="P370" s="336"/>
      <c r="Q370" s="336"/>
    </row>
    <row r="371" ht="15.75" customHeight="1">
      <c r="A371" s="336"/>
      <c r="B371" s="336"/>
      <c r="C371" s="336"/>
      <c r="D371" s="336"/>
      <c r="E371" s="336"/>
      <c r="F371" s="336"/>
      <c r="G371" s="336"/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</row>
    <row r="372" ht="15.75" customHeight="1">
      <c r="A372" s="336"/>
      <c r="B372" s="336"/>
      <c r="C372" s="336"/>
      <c r="D372" s="336"/>
      <c r="E372" s="336"/>
      <c r="F372" s="336"/>
      <c r="G372" s="336"/>
      <c r="H372" s="336"/>
      <c r="I372" s="336"/>
      <c r="J372" s="336"/>
      <c r="K372" s="336"/>
      <c r="L372" s="336"/>
      <c r="M372" s="336"/>
      <c r="N372" s="336"/>
      <c r="O372" s="336"/>
      <c r="P372" s="336"/>
      <c r="Q372" s="336"/>
    </row>
    <row r="373" ht="15.75" customHeight="1">
      <c r="A373" s="336"/>
      <c r="B373" s="336"/>
      <c r="C373" s="336"/>
      <c r="D373" s="336"/>
      <c r="E373" s="336"/>
      <c r="F373" s="336"/>
      <c r="G373" s="336"/>
      <c r="H373" s="336"/>
      <c r="I373" s="336"/>
      <c r="J373" s="336"/>
      <c r="K373" s="336"/>
      <c r="L373" s="336"/>
      <c r="M373" s="336"/>
      <c r="N373" s="336"/>
      <c r="O373" s="336"/>
      <c r="P373" s="336"/>
      <c r="Q373" s="336"/>
    </row>
    <row r="374" ht="15.75" customHeight="1">
      <c r="A374" s="336"/>
      <c r="B374" s="336"/>
      <c r="C374" s="336"/>
      <c r="D374" s="336"/>
      <c r="E374" s="336"/>
      <c r="F374" s="336"/>
      <c r="G374" s="336"/>
      <c r="H374" s="336"/>
      <c r="I374" s="336"/>
      <c r="J374" s="336"/>
      <c r="K374" s="336"/>
      <c r="L374" s="336"/>
      <c r="M374" s="336"/>
      <c r="N374" s="336"/>
      <c r="O374" s="336"/>
      <c r="P374" s="336"/>
      <c r="Q374" s="336"/>
    </row>
    <row r="375" ht="15.75" customHeight="1">
      <c r="A375" s="336"/>
      <c r="B375" s="336"/>
      <c r="C375" s="336"/>
      <c r="D375" s="336"/>
      <c r="E375" s="336"/>
      <c r="F375" s="336"/>
      <c r="G375" s="336"/>
      <c r="H375" s="336"/>
      <c r="I375" s="336"/>
      <c r="J375" s="336"/>
      <c r="K375" s="336"/>
      <c r="L375" s="336"/>
      <c r="M375" s="336"/>
      <c r="N375" s="336"/>
      <c r="O375" s="336"/>
      <c r="P375" s="336"/>
      <c r="Q375" s="336"/>
    </row>
    <row r="376" ht="15.75" customHeight="1">
      <c r="A376" s="336"/>
      <c r="B376" s="336"/>
      <c r="C376" s="336"/>
      <c r="D376" s="336"/>
      <c r="E376" s="336"/>
      <c r="F376" s="336"/>
      <c r="G376" s="336"/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</row>
    <row r="377" ht="15.75" customHeight="1">
      <c r="A377" s="336"/>
      <c r="B377" s="336"/>
      <c r="C377" s="336"/>
      <c r="D377" s="336"/>
      <c r="E377" s="336"/>
      <c r="F377" s="336"/>
      <c r="G377" s="336"/>
      <c r="H377" s="336"/>
      <c r="I377" s="336"/>
      <c r="J377" s="336"/>
      <c r="K377" s="336"/>
      <c r="L377" s="336"/>
      <c r="M377" s="336"/>
      <c r="N377" s="336"/>
      <c r="O377" s="336"/>
      <c r="P377" s="336"/>
      <c r="Q377" s="336"/>
    </row>
    <row r="378" ht="15.75" customHeight="1">
      <c r="A378" s="336"/>
      <c r="B378" s="336"/>
      <c r="C378" s="336"/>
      <c r="D378" s="336"/>
      <c r="E378" s="336"/>
      <c r="F378" s="336"/>
      <c r="G378" s="336"/>
      <c r="H378" s="336"/>
      <c r="I378" s="336"/>
      <c r="J378" s="336"/>
      <c r="K378" s="336"/>
      <c r="L378" s="336"/>
      <c r="M378" s="336"/>
      <c r="N378" s="336"/>
      <c r="O378" s="336"/>
      <c r="P378" s="336"/>
      <c r="Q378" s="336"/>
    </row>
    <row r="379" ht="15.75" customHeight="1">
      <c r="A379" s="336"/>
      <c r="B379" s="336"/>
      <c r="C379" s="336"/>
      <c r="D379" s="336"/>
      <c r="E379" s="336"/>
      <c r="F379" s="336"/>
      <c r="G379" s="336"/>
      <c r="H379" s="336"/>
      <c r="I379" s="336"/>
      <c r="J379" s="336"/>
      <c r="K379" s="336"/>
      <c r="L379" s="336"/>
      <c r="M379" s="336"/>
      <c r="N379" s="336"/>
      <c r="O379" s="336"/>
      <c r="P379" s="336"/>
      <c r="Q379" s="336"/>
    </row>
    <row r="380" ht="15.75" customHeight="1">
      <c r="A380" s="336"/>
      <c r="B380" s="336"/>
      <c r="C380" s="336"/>
      <c r="D380" s="336"/>
      <c r="E380" s="336"/>
      <c r="F380" s="336"/>
      <c r="G380" s="336"/>
      <c r="H380" s="336"/>
      <c r="I380" s="336"/>
      <c r="J380" s="336"/>
      <c r="K380" s="336"/>
      <c r="L380" s="336"/>
      <c r="M380" s="336"/>
      <c r="N380" s="336"/>
      <c r="O380" s="336"/>
      <c r="P380" s="336"/>
      <c r="Q380" s="336"/>
    </row>
    <row r="381" ht="15.75" customHeight="1">
      <c r="A381" s="336"/>
      <c r="B381" s="336"/>
      <c r="C381" s="336"/>
      <c r="D381" s="336"/>
      <c r="E381" s="336"/>
      <c r="F381" s="336"/>
      <c r="G381" s="336"/>
      <c r="H381" s="336"/>
      <c r="I381" s="336"/>
      <c r="J381" s="336"/>
      <c r="K381" s="336"/>
      <c r="L381" s="336"/>
      <c r="M381" s="336"/>
      <c r="N381" s="336"/>
      <c r="O381" s="336"/>
      <c r="P381" s="336"/>
      <c r="Q381" s="336"/>
    </row>
    <row r="382" ht="15.75" customHeight="1">
      <c r="A382" s="336"/>
      <c r="B382" s="336"/>
      <c r="C382" s="336"/>
      <c r="D382" s="336"/>
      <c r="E382" s="336"/>
      <c r="F382" s="336"/>
      <c r="G382" s="336"/>
      <c r="H382" s="336"/>
      <c r="I382" s="336"/>
      <c r="J382" s="336"/>
      <c r="K382" s="336"/>
      <c r="L382" s="336"/>
      <c r="M382" s="336"/>
      <c r="N382" s="336"/>
      <c r="O382" s="336"/>
      <c r="P382" s="336"/>
      <c r="Q382" s="336"/>
    </row>
    <row r="383" ht="15.75" customHeight="1">
      <c r="A383" s="336"/>
      <c r="B383" s="336"/>
      <c r="C383" s="336"/>
      <c r="D383" s="336"/>
      <c r="E383" s="336"/>
      <c r="F383" s="336"/>
      <c r="G383" s="336"/>
      <c r="H383" s="336"/>
      <c r="I383" s="336"/>
      <c r="J383" s="336"/>
      <c r="K383" s="336"/>
      <c r="L383" s="336"/>
      <c r="M383" s="336"/>
      <c r="N383" s="336"/>
      <c r="O383" s="336"/>
      <c r="P383" s="336"/>
      <c r="Q383" s="336"/>
    </row>
    <row r="384" ht="15.75" customHeight="1">
      <c r="A384" s="336"/>
      <c r="B384" s="336"/>
      <c r="C384" s="336"/>
      <c r="D384" s="336"/>
      <c r="E384" s="336"/>
      <c r="F384" s="336"/>
      <c r="G384" s="336"/>
      <c r="H384" s="336"/>
      <c r="I384" s="336"/>
      <c r="J384" s="336"/>
      <c r="K384" s="336"/>
      <c r="L384" s="336"/>
      <c r="M384" s="336"/>
      <c r="N384" s="336"/>
      <c r="O384" s="336"/>
      <c r="P384" s="336"/>
      <c r="Q384" s="336"/>
    </row>
    <row r="385" ht="15.75" customHeight="1">
      <c r="A385" s="336"/>
      <c r="B385" s="336"/>
      <c r="C385" s="336"/>
      <c r="D385" s="336"/>
      <c r="E385" s="336"/>
      <c r="F385" s="336"/>
      <c r="G385" s="336"/>
      <c r="H385" s="336"/>
      <c r="I385" s="336"/>
      <c r="J385" s="336"/>
      <c r="K385" s="336"/>
      <c r="L385" s="336"/>
      <c r="M385" s="336"/>
      <c r="N385" s="336"/>
      <c r="O385" s="336"/>
      <c r="P385" s="336"/>
      <c r="Q385" s="336"/>
    </row>
    <row r="386" ht="15.75" customHeight="1">
      <c r="A386" s="336"/>
      <c r="B386" s="336"/>
      <c r="C386" s="336"/>
      <c r="D386" s="336"/>
      <c r="E386" s="336"/>
      <c r="F386" s="336"/>
      <c r="G386" s="336"/>
      <c r="H386" s="336"/>
      <c r="I386" s="336"/>
      <c r="J386" s="336"/>
      <c r="K386" s="336"/>
      <c r="L386" s="336"/>
      <c r="M386" s="336"/>
      <c r="N386" s="336"/>
      <c r="O386" s="336"/>
      <c r="P386" s="336"/>
      <c r="Q386" s="336"/>
    </row>
    <row r="387" ht="15.75" customHeight="1">
      <c r="A387" s="336"/>
      <c r="B387" s="336"/>
      <c r="C387" s="336"/>
      <c r="D387" s="336"/>
      <c r="E387" s="336"/>
      <c r="F387" s="336"/>
      <c r="G387" s="336"/>
      <c r="H387" s="336"/>
      <c r="I387" s="336"/>
      <c r="J387" s="336"/>
      <c r="K387" s="336"/>
      <c r="L387" s="336"/>
      <c r="M387" s="336"/>
      <c r="N387" s="336"/>
      <c r="O387" s="336"/>
      <c r="P387" s="336"/>
      <c r="Q387" s="336"/>
    </row>
    <row r="388" ht="15.75" customHeight="1">
      <c r="A388" s="336"/>
      <c r="B388" s="336"/>
      <c r="C388" s="336"/>
      <c r="D388" s="336"/>
      <c r="E388" s="336"/>
      <c r="F388" s="336"/>
      <c r="G388" s="336"/>
      <c r="H388" s="336"/>
      <c r="I388" s="336"/>
      <c r="J388" s="336"/>
      <c r="K388" s="336"/>
      <c r="L388" s="336"/>
      <c r="M388" s="336"/>
      <c r="N388" s="336"/>
      <c r="O388" s="336"/>
      <c r="P388" s="336"/>
      <c r="Q388" s="336"/>
    </row>
    <row r="389" ht="15.75" customHeight="1">
      <c r="A389" s="336"/>
      <c r="B389" s="336"/>
      <c r="C389" s="336"/>
      <c r="D389" s="336"/>
      <c r="E389" s="336"/>
      <c r="F389" s="336"/>
      <c r="G389" s="336"/>
      <c r="H389" s="336"/>
      <c r="I389" s="336"/>
      <c r="J389" s="336"/>
      <c r="K389" s="336"/>
      <c r="L389" s="336"/>
      <c r="M389" s="336"/>
      <c r="N389" s="336"/>
      <c r="O389" s="336"/>
      <c r="P389" s="336"/>
      <c r="Q389" s="336"/>
    </row>
    <row r="390" ht="15.75" customHeight="1">
      <c r="A390" s="336"/>
      <c r="B390" s="336"/>
      <c r="C390" s="336"/>
      <c r="D390" s="336"/>
      <c r="E390" s="336"/>
      <c r="F390" s="336"/>
      <c r="G390" s="336"/>
      <c r="H390" s="336"/>
      <c r="I390" s="336"/>
      <c r="J390" s="336"/>
      <c r="K390" s="336"/>
      <c r="L390" s="336"/>
      <c r="M390" s="336"/>
      <c r="N390" s="336"/>
      <c r="O390" s="336"/>
      <c r="P390" s="336"/>
      <c r="Q390" s="336"/>
    </row>
    <row r="391" ht="15.75" customHeight="1">
      <c r="A391" s="336"/>
      <c r="B391" s="336"/>
      <c r="C391" s="336"/>
      <c r="D391" s="336"/>
      <c r="E391" s="336"/>
      <c r="F391" s="336"/>
      <c r="G391" s="336"/>
      <c r="H391" s="336"/>
      <c r="I391" s="336"/>
      <c r="J391" s="336"/>
      <c r="K391" s="336"/>
      <c r="L391" s="336"/>
      <c r="M391" s="336"/>
      <c r="N391" s="336"/>
      <c r="O391" s="336"/>
      <c r="P391" s="336"/>
      <c r="Q391" s="336"/>
    </row>
    <row r="392" ht="15.75" customHeight="1">
      <c r="A392" s="336"/>
      <c r="B392" s="336"/>
      <c r="C392" s="336"/>
      <c r="D392" s="336"/>
      <c r="E392" s="336"/>
      <c r="F392" s="336"/>
      <c r="G392" s="336"/>
      <c r="H392" s="336"/>
      <c r="I392" s="336"/>
      <c r="J392" s="336"/>
      <c r="K392" s="336"/>
      <c r="L392" s="336"/>
      <c r="M392" s="336"/>
      <c r="N392" s="336"/>
      <c r="O392" s="336"/>
      <c r="P392" s="336"/>
      <c r="Q392" s="336"/>
    </row>
    <row r="393" ht="15.75" customHeight="1">
      <c r="A393" s="336"/>
      <c r="B393" s="336"/>
      <c r="C393" s="336"/>
      <c r="D393" s="336"/>
      <c r="E393" s="336"/>
      <c r="F393" s="336"/>
      <c r="G393" s="336"/>
      <c r="H393" s="336"/>
      <c r="I393" s="336"/>
      <c r="J393" s="336"/>
      <c r="K393" s="336"/>
      <c r="L393" s="336"/>
      <c r="M393" s="336"/>
      <c r="N393" s="336"/>
      <c r="O393" s="336"/>
      <c r="P393" s="336"/>
      <c r="Q393" s="336"/>
    </row>
    <row r="394" ht="15.75" customHeight="1">
      <c r="A394" s="336"/>
      <c r="B394" s="336"/>
      <c r="C394" s="336"/>
      <c r="D394" s="336"/>
      <c r="E394" s="336"/>
      <c r="F394" s="336"/>
      <c r="G394" s="336"/>
      <c r="H394" s="336"/>
      <c r="I394" s="336"/>
      <c r="J394" s="336"/>
      <c r="K394" s="336"/>
      <c r="L394" s="336"/>
      <c r="M394" s="336"/>
      <c r="N394" s="336"/>
      <c r="O394" s="336"/>
      <c r="P394" s="336"/>
      <c r="Q394" s="336"/>
    </row>
    <row r="395" ht="15.75" customHeight="1">
      <c r="A395" s="336"/>
      <c r="B395" s="336"/>
      <c r="C395" s="336"/>
      <c r="D395" s="336"/>
      <c r="E395" s="336"/>
      <c r="F395" s="336"/>
      <c r="G395" s="336"/>
      <c r="H395" s="336"/>
      <c r="I395" s="336"/>
      <c r="J395" s="336"/>
      <c r="K395" s="336"/>
      <c r="L395" s="336"/>
      <c r="M395" s="336"/>
      <c r="N395" s="336"/>
      <c r="O395" s="336"/>
      <c r="P395" s="336"/>
      <c r="Q395" s="336"/>
    </row>
    <row r="396" ht="15.75" customHeight="1">
      <c r="A396" s="336"/>
      <c r="B396" s="336"/>
      <c r="C396" s="336"/>
      <c r="D396" s="336"/>
      <c r="E396" s="336"/>
      <c r="F396" s="336"/>
      <c r="G396" s="336"/>
      <c r="H396" s="336"/>
      <c r="I396" s="336"/>
      <c r="J396" s="336"/>
      <c r="K396" s="336"/>
      <c r="L396" s="336"/>
      <c r="M396" s="336"/>
      <c r="N396" s="336"/>
      <c r="O396" s="336"/>
      <c r="P396" s="336"/>
      <c r="Q396" s="336"/>
    </row>
    <row r="397" ht="15.75" customHeight="1">
      <c r="A397" s="336"/>
      <c r="B397" s="336"/>
      <c r="C397" s="336"/>
      <c r="D397" s="336"/>
      <c r="E397" s="336"/>
      <c r="F397" s="336"/>
      <c r="G397" s="336"/>
      <c r="H397" s="336"/>
      <c r="I397" s="336"/>
      <c r="J397" s="336"/>
      <c r="K397" s="336"/>
      <c r="L397" s="336"/>
      <c r="M397" s="336"/>
      <c r="N397" s="336"/>
      <c r="O397" s="336"/>
      <c r="P397" s="336"/>
      <c r="Q397" s="336"/>
    </row>
    <row r="398" ht="15.75" customHeight="1">
      <c r="A398" s="336"/>
      <c r="B398" s="336"/>
      <c r="C398" s="336"/>
      <c r="D398" s="336"/>
      <c r="E398" s="336"/>
      <c r="F398" s="336"/>
      <c r="G398" s="336"/>
      <c r="H398" s="336"/>
      <c r="I398" s="336"/>
      <c r="J398" s="336"/>
      <c r="K398" s="336"/>
      <c r="L398" s="336"/>
      <c r="M398" s="336"/>
      <c r="N398" s="336"/>
      <c r="O398" s="336"/>
      <c r="P398" s="336"/>
      <c r="Q398" s="336"/>
    </row>
    <row r="399" ht="15.75" customHeight="1">
      <c r="A399" s="336"/>
      <c r="B399" s="336"/>
      <c r="C399" s="336"/>
      <c r="D399" s="336"/>
      <c r="E399" s="336"/>
      <c r="F399" s="336"/>
      <c r="G399" s="336"/>
      <c r="H399" s="336"/>
      <c r="I399" s="336"/>
      <c r="J399" s="336"/>
      <c r="K399" s="336"/>
      <c r="L399" s="336"/>
      <c r="M399" s="336"/>
      <c r="N399" s="336"/>
      <c r="O399" s="336"/>
      <c r="P399" s="336"/>
      <c r="Q399" s="336"/>
    </row>
    <row r="400" ht="15.75" customHeight="1">
      <c r="A400" s="336"/>
      <c r="B400" s="336"/>
      <c r="C400" s="336"/>
      <c r="D400" s="336"/>
      <c r="E400" s="336"/>
      <c r="F400" s="336"/>
      <c r="G400" s="336"/>
      <c r="H400" s="336"/>
      <c r="I400" s="336"/>
      <c r="J400" s="336"/>
      <c r="K400" s="336"/>
      <c r="L400" s="336"/>
      <c r="M400" s="336"/>
      <c r="N400" s="336"/>
      <c r="O400" s="336"/>
      <c r="P400" s="336"/>
      <c r="Q400" s="336"/>
    </row>
    <row r="401" ht="15.75" customHeight="1">
      <c r="A401" s="336"/>
      <c r="B401" s="336"/>
      <c r="C401" s="336"/>
      <c r="D401" s="336"/>
      <c r="E401" s="336"/>
      <c r="F401" s="336"/>
      <c r="G401" s="336"/>
      <c r="H401" s="336"/>
      <c r="I401" s="336"/>
      <c r="J401" s="336"/>
      <c r="K401" s="336"/>
      <c r="L401" s="336"/>
      <c r="M401" s="336"/>
      <c r="N401" s="336"/>
      <c r="O401" s="336"/>
      <c r="P401" s="336"/>
      <c r="Q401" s="336"/>
    </row>
    <row r="402" ht="15.75" customHeight="1">
      <c r="A402" s="336"/>
      <c r="B402" s="336"/>
      <c r="C402" s="336"/>
      <c r="D402" s="336"/>
      <c r="E402" s="336"/>
      <c r="F402" s="336"/>
      <c r="G402" s="336"/>
      <c r="H402" s="336"/>
      <c r="I402" s="336"/>
      <c r="J402" s="336"/>
      <c r="K402" s="336"/>
      <c r="L402" s="336"/>
      <c r="M402" s="336"/>
      <c r="N402" s="336"/>
      <c r="O402" s="336"/>
      <c r="P402" s="336"/>
      <c r="Q402" s="336"/>
    </row>
    <row r="403" ht="15.75" customHeight="1">
      <c r="A403" s="336"/>
      <c r="B403" s="336"/>
      <c r="C403" s="336"/>
      <c r="D403" s="336"/>
      <c r="E403" s="336"/>
      <c r="F403" s="336"/>
      <c r="G403" s="336"/>
      <c r="H403" s="336"/>
      <c r="I403" s="336"/>
      <c r="J403" s="336"/>
      <c r="K403" s="336"/>
      <c r="L403" s="336"/>
      <c r="M403" s="336"/>
      <c r="N403" s="336"/>
      <c r="O403" s="336"/>
      <c r="P403" s="336"/>
      <c r="Q403" s="336"/>
    </row>
    <row r="404" ht="15.75" customHeight="1">
      <c r="A404" s="336"/>
      <c r="B404" s="336"/>
      <c r="C404" s="336"/>
      <c r="D404" s="336"/>
      <c r="E404" s="336"/>
      <c r="F404" s="336"/>
      <c r="G404" s="336"/>
      <c r="H404" s="336"/>
      <c r="I404" s="336"/>
      <c r="J404" s="336"/>
      <c r="K404" s="336"/>
      <c r="L404" s="336"/>
      <c r="M404" s="336"/>
      <c r="N404" s="336"/>
      <c r="O404" s="336"/>
      <c r="P404" s="336"/>
      <c r="Q404" s="336"/>
    </row>
    <row r="405" ht="15.75" customHeight="1">
      <c r="A405" s="336"/>
      <c r="B405" s="336"/>
      <c r="C405" s="336"/>
      <c r="D405" s="336"/>
      <c r="E405" s="336"/>
      <c r="F405" s="336"/>
      <c r="G405" s="336"/>
      <c r="H405" s="336"/>
      <c r="I405" s="336"/>
      <c r="J405" s="336"/>
      <c r="K405" s="336"/>
      <c r="L405" s="336"/>
      <c r="M405" s="336"/>
      <c r="N405" s="336"/>
      <c r="O405" s="336"/>
      <c r="P405" s="336"/>
      <c r="Q405" s="336"/>
    </row>
    <row r="406" ht="15.75" customHeight="1">
      <c r="A406" s="336"/>
      <c r="B406" s="336"/>
      <c r="C406" s="336"/>
      <c r="D406" s="336"/>
      <c r="E406" s="336"/>
      <c r="F406" s="336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  <c r="Q406" s="336"/>
    </row>
    <row r="407" ht="15.75" customHeight="1">
      <c r="A407" s="336"/>
      <c r="B407" s="336"/>
      <c r="C407" s="336"/>
      <c r="D407" s="336"/>
      <c r="E407" s="336"/>
      <c r="F407" s="336"/>
      <c r="G407" s="336"/>
      <c r="H407" s="336"/>
      <c r="I407" s="336"/>
      <c r="J407" s="336"/>
      <c r="K407" s="336"/>
      <c r="L407" s="336"/>
      <c r="M407" s="336"/>
      <c r="N407" s="336"/>
      <c r="O407" s="336"/>
      <c r="P407" s="336"/>
      <c r="Q407" s="336"/>
    </row>
    <row r="408" ht="15.75" customHeight="1">
      <c r="A408" s="336"/>
      <c r="B408" s="336"/>
      <c r="C408" s="336"/>
      <c r="D408" s="336"/>
      <c r="E408" s="336"/>
      <c r="F408" s="336"/>
      <c r="G408" s="336"/>
      <c r="H408" s="336"/>
      <c r="I408" s="336"/>
      <c r="J408" s="336"/>
      <c r="K408" s="336"/>
      <c r="L408" s="336"/>
      <c r="M408" s="336"/>
      <c r="N408" s="336"/>
      <c r="O408" s="336"/>
      <c r="P408" s="336"/>
      <c r="Q408" s="336"/>
    </row>
    <row r="409" ht="15.75" customHeight="1">
      <c r="A409" s="336"/>
      <c r="B409" s="336"/>
      <c r="C409" s="336"/>
      <c r="D409" s="336"/>
      <c r="E409" s="336"/>
      <c r="F409" s="336"/>
      <c r="G409" s="336"/>
      <c r="H409" s="336"/>
      <c r="I409" s="336"/>
      <c r="J409" s="336"/>
      <c r="K409" s="336"/>
      <c r="L409" s="336"/>
      <c r="M409" s="336"/>
      <c r="N409" s="336"/>
      <c r="O409" s="336"/>
      <c r="P409" s="336"/>
      <c r="Q409" s="336"/>
    </row>
    <row r="410" ht="15.75" customHeight="1">
      <c r="A410" s="336"/>
      <c r="B410" s="336"/>
      <c r="C410" s="336"/>
      <c r="D410" s="336"/>
      <c r="E410" s="336"/>
      <c r="F410" s="336"/>
      <c r="G410" s="336"/>
      <c r="H410" s="336"/>
      <c r="I410" s="336"/>
      <c r="J410" s="336"/>
      <c r="K410" s="336"/>
      <c r="L410" s="336"/>
      <c r="M410" s="336"/>
      <c r="N410" s="336"/>
      <c r="O410" s="336"/>
      <c r="P410" s="336"/>
      <c r="Q410" s="336"/>
    </row>
    <row r="411" ht="15.75" customHeight="1">
      <c r="A411" s="336"/>
      <c r="B411" s="336"/>
      <c r="C411" s="336"/>
      <c r="D411" s="336"/>
      <c r="E411" s="336"/>
      <c r="F411" s="336"/>
      <c r="G411" s="336"/>
      <c r="H411" s="336"/>
      <c r="I411" s="336"/>
      <c r="J411" s="336"/>
      <c r="K411" s="336"/>
      <c r="L411" s="336"/>
      <c r="M411" s="336"/>
      <c r="N411" s="336"/>
      <c r="O411" s="336"/>
      <c r="P411" s="336"/>
      <c r="Q411" s="336"/>
    </row>
    <row r="412" ht="15.75" customHeight="1">
      <c r="A412" s="336"/>
      <c r="B412" s="336"/>
      <c r="C412" s="336"/>
      <c r="D412" s="336"/>
      <c r="E412" s="336"/>
      <c r="F412" s="336"/>
      <c r="G412" s="336"/>
      <c r="H412" s="336"/>
      <c r="I412" s="336"/>
      <c r="J412" s="336"/>
      <c r="K412" s="336"/>
      <c r="L412" s="336"/>
      <c r="M412" s="336"/>
      <c r="N412" s="336"/>
      <c r="O412" s="336"/>
      <c r="P412" s="336"/>
      <c r="Q412" s="336"/>
    </row>
    <row r="413" ht="15.75" customHeight="1">
      <c r="A413" s="336"/>
      <c r="B413" s="336"/>
      <c r="C413" s="336"/>
      <c r="D413" s="336"/>
      <c r="E413" s="336"/>
      <c r="F413" s="336"/>
      <c r="G413" s="336"/>
      <c r="H413" s="336"/>
      <c r="I413" s="336"/>
      <c r="J413" s="336"/>
      <c r="K413" s="336"/>
      <c r="L413" s="336"/>
      <c r="M413" s="336"/>
      <c r="N413" s="336"/>
      <c r="O413" s="336"/>
      <c r="P413" s="336"/>
      <c r="Q413" s="336"/>
    </row>
    <row r="414" ht="15.75" customHeight="1">
      <c r="A414" s="336"/>
      <c r="B414" s="336"/>
      <c r="C414" s="336"/>
      <c r="D414" s="336"/>
      <c r="E414" s="336"/>
      <c r="F414" s="336"/>
      <c r="G414" s="336"/>
      <c r="H414" s="336"/>
      <c r="I414" s="336"/>
      <c r="J414" s="336"/>
      <c r="K414" s="336"/>
      <c r="L414" s="336"/>
      <c r="M414" s="336"/>
      <c r="N414" s="336"/>
      <c r="O414" s="336"/>
      <c r="P414" s="336"/>
      <c r="Q414" s="336"/>
    </row>
    <row r="415" ht="15.75" customHeight="1">
      <c r="A415" s="336"/>
      <c r="B415" s="336"/>
      <c r="C415" s="336"/>
      <c r="D415" s="336"/>
      <c r="E415" s="336"/>
      <c r="F415" s="336"/>
      <c r="G415" s="336"/>
      <c r="H415" s="336"/>
      <c r="I415" s="336"/>
      <c r="J415" s="336"/>
      <c r="K415" s="336"/>
      <c r="L415" s="336"/>
      <c r="M415" s="336"/>
      <c r="N415" s="336"/>
      <c r="O415" s="336"/>
      <c r="P415" s="336"/>
      <c r="Q415" s="336"/>
    </row>
    <row r="416" ht="15.75" customHeight="1">
      <c r="A416" s="336"/>
      <c r="B416" s="336"/>
      <c r="C416" s="336"/>
      <c r="D416" s="336"/>
      <c r="E416" s="336"/>
      <c r="F416" s="336"/>
      <c r="G416" s="336"/>
      <c r="H416" s="336"/>
      <c r="I416" s="336"/>
      <c r="J416" s="336"/>
      <c r="K416" s="336"/>
      <c r="L416" s="336"/>
      <c r="M416" s="336"/>
      <c r="N416" s="336"/>
      <c r="O416" s="336"/>
      <c r="P416" s="336"/>
      <c r="Q416" s="336"/>
    </row>
    <row r="417" ht="15.75" customHeight="1">
      <c r="A417" s="336"/>
      <c r="B417" s="336"/>
      <c r="C417" s="336"/>
      <c r="D417" s="336"/>
      <c r="E417" s="336"/>
      <c r="F417" s="336"/>
      <c r="G417" s="336"/>
      <c r="H417" s="336"/>
      <c r="I417" s="336"/>
      <c r="J417" s="336"/>
      <c r="K417" s="336"/>
      <c r="L417" s="336"/>
      <c r="M417" s="336"/>
      <c r="N417" s="336"/>
      <c r="O417" s="336"/>
      <c r="P417" s="336"/>
      <c r="Q417" s="336"/>
    </row>
    <row r="418" ht="15.75" customHeight="1">
      <c r="A418" s="336"/>
      <c r="B418" s="336"/>
      <c r="C418" s="336"/>
      <c r="D418" s="336"/>
      <c r="E418" s="336"/>
      <c r="F418" s="336"/>
      <c r="G418" s="336"/>
      <c r="H418" s="336"/>
      <c r="I418" s="336"/>
      <c r="J418" s="336"/>
      <c r="K418" s="336"/>
      <c r="L418" s="336"/>
      <c r="M418" s="336"/>
      <c r="N418" s="336"/>
      <c r="O418" s="336"/>
      <c r="P418" s="336"/>
      <c r="Q418" s="336"/>
    </row>
    <row r="419" ht="15.75" customHeight="1">
      <c r="A419" s="336"/>
      <c r="B419" s="336"/>
      <c r="C419" s="336"/>
      <c r="D419" s="336"/>
      <c r="E419" s="336"/>
      <c r="F419" s="336"/>
      <c r="G419" s="336"/>
      <c r="H419" s="336"/>
      <c r="I419" s="336"/>
      <c r="J419" s="336"/>
      <c r="K419" s="336"/>
      <c r="L419" s="336"/>
      <c r="M419" s="336"/>
      <c r="N419" s="336"/>
      <c r="O419" s="336"/>
      <c r="P419" s="336"/>
      <c r="Q419" s="336"/>
    </row>
    <row r="420" ht="15.75" customHeight="1">
      <c r="A420" s="336"/>
      <c r="B420" s="336"/>
      <c r="C420" s="336"/>
      <c r="D420" s="336"/>
      <c r="E420" s="336"/>
      <c r="F420" s="336"/>
      <c r="G420" s="336"/>
      <c r="H420" s="336"/>
      <c r="I420" s="336"/>
      <c r="J420" s="336"/>
      <c r="K420" s="336"/>
      <c r="L420" s="336"/>
      <c r="M420" s="336"/>
      <c r="N420" s="336"/>
      <c r="O420" s="336"/>
      <c r="P420" s="336"/>
      <c r="Q420" s="336"/>
    </row>
    <row r="421" ht="15.75" customHeight="1">
      <c r="A421" s="336"/>
      <c r="B421" s="336"/>
      <c r="C421" s="336"/>
      <c r="D421" s="336"/>
      <c r="E421" s="336"/>
      <c r="F421" s="336"/>
      <c r="G421" s="336"/>
      <c r="H421" s="336"/>
      <c r="I421" s="336"/>
      <c r="J421" s="336"/>
      <c r="K421" s="336"/>
      <c r="L421" s="336"/>
      <c r="M421" s="336"/>
      <c r="N421" s="336"/>
      <c r="O421" s="336"/>
      <c r="P421" s="336"/>
      <c r="Q421" s="336"/>
    </row>
    <row r="422" ht="15.75" customHeight="1">
      <c r="A422" s="336"/>
      <c r="B422" s="336"/>
      <c r="C422" s="336"/>
      <c r="D422" s="336"/>
      <c r="E422" s="336"/>
      <c r="F422" s="336"/>
      <c r="G422" s="336"/>
      <c r="H422" s="336"/>
      <c r="I422" s="336"/>
      <c r="J422" s="336"/>
      <c r="K422" s="336"/>
      <c r="L422" s="336"/>
      <c r="M422" s="336"/>
      <c r="N422" s="336"/>
      <c r="O422" s="336"/>
      <c r="P422" s="336"/>
      <c r="Q422" s="336"/>
    </row>
    <row r="423" ht="15.75" customHeight="1">
      <c r="A423" s="336"/>
      <c r="B423" s="336"/>
      <c r="C423" s="336"/>
      <c r="D423" s="336"/>
      <c r="E423" s="336"/>
      <c r="F423" s="336"/>
      <c r="G423" s="336"/>
      <c r="H423" s="336"/>
      <c r="I423" s="336"/>
      <c r="J423" s="336"/>
      <c r="K423" s="336"/>
      <c r="L423" s="336"/>
      <c r="M423" s="336"/>
      <c r="N423" s="336"/>
      <c r="O423" s="336"/>
      <c r="P423" s="336"/>
      <c r="Q423" s="336"/>
    </row>
    <row r="424" ht="15.75" customHeight="1">
      <c r="A424" s="336"/>
      <c r="B424" s="336"/>
      <c r="C424" s="336"/>
      <c r="D424" s="336"/>
      <c r="E424" s="336"/>
      <c r="F424" s="336"/>
      <c r="G424" s="336"/>
      <c r="H424" s="336"/>
      <c r="I424" s="336"/>
      <c r="J424" s="336"/>
      <c r="K424" s="336"/>
      <c r="L424" s="336"/>
      <c r="M424" s="336"/>
      <c r="N424" s="336"/>
      <c r="O424" s="336"/>
      <c r="P424" s="336"/>
      <c r="Q424" s="336"/>
    </row>
    <row r="425" ht="15.75" customHeight="1">
      <c r="A425" s="336"/>
      <c r="B425" s="336"/>
      <c r="C425" s="336"/>
      <c r="D425" s="336"/>
      <c r="E425" s="336"/>
      <c r="F425" s="336"/>
      <c r="G425" s="336"/>
      <c r="H425" s="336"/>
      <c r="I425" s="336"/>
      <c r="J425" s="336"/>
      <c r="K425" s="336"/>
      <c r="L425" s="336"/>
      <c r="M425" s="336"/>
      <c r="N425" s="336"/>
      <c r="O425" s="336"/>
      <c r="P425" s="336"/>
      <c r="Q425" s="336"/>
    </row>
    <row r="426" ht="15.75" customHeight="1">
      <c r="A426" s="336"/>
      <c r="B426" s="336"/>
      <c r="C426" s="336"/>
      <c r="D426" s="336"/>
      <c r="E426" s="336"/>
      <c r="F426" s="336"/>
      <c r="G426" s="336"/>
      <c r="H426" s="336"/>
      <c r="I426" s="336"/>
      <c r="J426" s="336"/>
      <c r="K426" s="336"/>
      <c r="L426" s="336"/>
      <c r="M426" s="336"/>
      <c r="N426" s="336"/>
      <c r="O426" s="336"/>
      <c r="P426" s="336"/>
      <c r="Q426" s="336"/>
    </row>
    <row r="427" ht="15.75" customHeight="1">
      <c r="A427" s="336"/>
      <c r="B427" s="336"/>
      <c r="C427" s="336"/>
      <c r="D427" s="336"/>
      <c r="E427" s="336"/>
      <c r="F427" s="336"/>
      <c r="G427" s="336"/>
      <c r="H427" s="336"/>
      <c r="I427" s="336"/>
      <c r="J427" s="336"/>
      <c r="K427" s="336"/>
      <c r="L427" s="336"/>
      <c r="M427" s="336"/>
      <c r="N427" s="336"/>
      <c r="O427" s="336"/>
      <c r="P427" s="336"/>
      <c r="Q427" s="336"/>
    </row>
    <row r="428" ht="15.75" customHeight="1">
      <c r="A428" s="336"/>
      <c r="B428" s="336"/>
      <c r="C428" s="336"/>
      <c r="D428" s="336"/>
      <c r="E428" s="336"/>
      <c r="F428" s="336"/>
      <c r="G428" s="336"/>
      <c r="H428" s="336"/>
      <c r="I428" s="336"/>
      <c r="J428" s="336"/>
      <c r="K428" s="336"/>
      <c r="L428" s="336"/>
      <c r="M428" s="336"/>
      <c r="N428" s="336"/>
      <c r="O428" s="336"/>
      <c r="P428" s="336"/>
      <c r="Q428" s="336"/>
    </row>
    <row r="429" ht="15.75" customHeight="1">
      <c r="A429" s="336"/>
      <c r="B429" s="336"/>
      <c r="C429" s="336"/>
      <c r="D429" s="336"/>
      <c r="E429" s="336"/>
      <c r="F429" s="336"/>
      <c r="G429" s="336"/>
      <c r="H429" s="336"/>
      <c r="I429" s="336"/>
      <c r="J429" s="336"/>
      <c r="K429" s="336"/>
      <c r="L429" s="336"/>
      <c r="M429" s="336"/>
      <c r="N429" s="336"/>
      <c r="O429" s="336"/>
      <c r="P429" s="336"/>
      <c r="Q429" s="336"/>
    </row>
    <row r="430" ht="15.75" customHeight="1">
      <c r="A430" s="336"/>
      <c r="B430" s="336"/>
      <c r="C430" s="336"/>
      <c r="D430" s="336"/>
      <c r="E430" s="336"/>
      <c r="F430" s="336"/>
      <c r="G430" s="336"/>
      <c r="H430" s="336"/>
      <c r="I430" s="336"/>
      <c r="J430" s="336"/>
      <c r="K430" s="336"/>
      <c r="L430" s="336"/>
      <c r="M430" s="336"/>
      <c r="N430" s="336"/>
      <c r="O430" s="336"/>
      <c r="P430" s="336"/>
      <c r="Q430" s="336"/>
    </row>
    <row r="431" ht="15.75" customHeight="1">
      <c r="A431" s="336"/>
      <c r="B431" s="336"/>
      <c r="C431" s="336"/>
      <c r="D431" s="336"/>
      <c r="E431" s="336"/>
      <c r="F431" s="336"/>
      <c r="G431" s="336"/>
      <c r="H431" s="336"/>
      <c r="I431" s="336"/>
      <c r="J431" s="336"/>
      <c r="K431" s="336"/>
      <c r="L431" s="336"/>
      <c r="M431" s="336"/>
      <c r="N431" s="336"/>
      <c r="O431" s="336"/>
      <c r="P431" s="336"/>
      <c r="Q431" s="336"/>
    </row>
    <row r="432" ht="15.75" customHeight="1">
      <c r="A432" s="336"/>
      <c r="B432" s="336"/>
      <c r="C432" s="336"/>
      <c r="D432" s="336"/>
      <c r="E432" s="336"/>
      <c r="F432" s="336"/>
      <c r="G432" s="336"/>
      <c r="H432" s="336"/>
      <c r="I432" s="336"/>
      <c r="J432" s="336"/>
      <c r="K432" s="336"/>
      <c r="L432" s="336"/>
      <c r="M432" s="336"/>
      <c r="N432" s="336"/>
      <c r="O432" s="336"/>
      <c r="P432" s="336"/>
      <c r="Q432" s="336"/>
    </row>
    <row r="433" ht="15.75" customHeight="1">
      <c r="A433" s="336"/>
      <c r="B433" s="336"/>
      <c r="C433" s="336"/>
      <c r="D433" s="336"/>
      <c r="E433" s="336"/>
      <c r="F433" s="336"/>
      <c r="G433" s="336"/>
      <c r="H433" s="336"/>
      <c r="I433" s="336"/>
      <c r="J433" s="336"/>
      <c r="K433" s="336"/>
      <c r="L433" s="336"/>
      <c r="M433" s="336"/>
      <c r="N433" s="336"/>
      <c r="O433" s="336"/>
      <c r="P433" s="336"/>
      <c r="Q433" s="336"/>
    </row>
    <row r="434" ht="15.75" customHeight="1">
      <c r="A434" s="336"/>
      <c r="B434" s="336"/>
      <c r="C434" s="336"/>
      <c r="D434" s="336"/>
      <c r="E434" s="336"/>
      <c r="F434" s="336"/>
      <c r="G434" s="336"/>
      <c r="H434" s="336"/>
      <c r="I434" s="336"/>
      <c r="J434" s="336"/>
      <c r="K434" s="336"/>
      <c r="L434" s="336"/>
      <c r="M434" s="336"/>
      <c r="N434" s="336"/>
      <c r="O434" s="336"/>
      <c r="P434" s="336"/>
      <c r="Q434" s="336"/>
    </row>
    <row r="435" ht="15.75" customHeight="1">
      <c r="A435" s="336"/>
      <c r="B435" s="336"/>
      <c r="C435" s="336"/>
      <c r="D435" s="336"/>
      <c r="E435" s="336"/>
      <c r="F435" s="336"/>
      <c r="G435" s="336"/>
      <c r="H435" s="336"/>
      <c r="I435" s="336"/>
      <c r="J435" s="336"/>
      <c r="K435" s="336"/>
      <c r="L435" s="336"/>
      <c r="M435" s="336"/>
      <c r="N435" s="336"/>
      <c r="O435" s="336"/>
      <c r="P435" s="336"/>
      <c r="Q435" s="336"/>
    </row>
    <row r="436" ht="15.75" customHeight="1">
      <c r="A436" s="336"/>
      <c r="B436" s="336"/>
      <c r="C436" s="336"/>
      <c r="D436" s="336"/>
      <c r="E436" s="336"/>
      <c r="F436" s="336"/>
      <c r="G436" s="336"/>
      <c r="H436" s="336"/>
      <c r="I436" s="336"/>
      <c r="J436" s="336"/>
      <c r="K436" s="336"/>
      <c r="L436" s="336"/>
      <c r="M436" s="336"/>
      <c r="N436" s="336"/>
      <c r="O436" s="336"/>
      <c r="P436" s="336"/>
      <c r="Q436" s="336"/>
    </row>
    <row r="437" ht="15.75" customHeight="1">
      <c r="A437" s="336"/>
      <c r="B437" s="336"/>
      <c r="C437" s="336"/>
      <c r="D437" s="336"/>
      <c r="E437" s="336"/>
      <c r="F437" s="336"/>
      <c r="G437" s="336"/>
      <c r="H437" s="336"/>
      <c r="I437" s="336"/>
      <c r="J437" s="336"/>
      <c r="K437" s="336"/>
      <c r="L437" s="336"/>
      <c r="M437" s="336"/>
      <c r="N437" s="336"/>
      <c r="O437" s="336"/>
      <c r="P437" s="336"/>
      <c r="Q437" s="336"/>
    </row>
    <row r="438" ht="15.75" customHeight="1">
      <c r="A438" s="336"/>
      <c r="B438" s="336"/>
      <c r="C438" s="336"/>
      <c r="D438" s="336"/>
      <c r="E438" s="336"/>
      <c r="F438" s="336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  <c r="Q438" s="336"/>
    </row>
    <row r="439" ht="15.75" customHeight="1">
      <c r="A439" s="336"/>
      <c r="B439" s="336"/>
      <c r="C439" s="336"/>
      <c r="D439" s="336"/>
      <c r="E439" s="336"/>
      <c r="F439" s="336"/>
      <c r="G439" s="336"/>
      <c r="H439" s="336"/>
      <c r="I439" s="336"/>
      <c r="J439" s="336"/>
      <c r="K439" s="336"/>
      <c r="L439" s="336"/>
      <c r="M439" s="336"/>
      <c r="N439" s="336"/>
      <c r="O439" s="336"/>
      <c r="P439" s="336"/>
      <c r="Q439" s="336"/>
    </row>
    <row r="440" ht="15.75" customHeight="1">
      <c r="A440" s="336"/>
      <c r="B440" s="336"/>
      <c r="C440" s="336"/>
      <c r="D440" s="336"/>
      <c r="E440" s="336"/>
      <c r="F440" s="336"/>
      <c r="G440" s="336"/>
      <c r="H440" s="336"/>
      <c r="I440" s="336"/>
      <c r="J440" s="336"/>
      <c r="K440" s="336"/>
      <c r="L440" s="336"/>
      <c r="M440" s="336"/>
      <c r="N440" s="336"/>
      <c r="O440" s="336"/>
      <c r="P440" s="336"/>
      <c r="Q440" s="336"/>
    </row>
    <row r="441" ht="15.75" customHeight="1">
      <c r="A441" s="336"/>
      <c r="B441" s="336"/>
      <c r="C441" s="336"/>
      <c r="D441" s="336"/>
      <c r="E441" s="336"/>
      <c r="F441" s="336"/>
      <c r="G441" s="336"/>
      <c r="H441" s="336"/>
      <c r="I441" s="336"/>
      <c r="J441" s="336"/>
      <c r="K441" s="336"/>
      <c r="L441" s="336"/>
      <c r="M441" s="336"/>
      <c r="N441" s="336"/>
      <c r="O441" s="336"/>
      <c r="P441" s="336"/>
      <c r="Q441" s="336"/>
    </row>
    <row r="442" ht="15.75" customHeight="1">
      <c r="A442" s="336"/>
      <c r="B442" s="336"/>
      <c r="C442" s="336"/>
      <c r="D442" s="336"/>
      <c r="E442" s="336"/>
      <c r="F442" s="336"/>
      <c r="G442" s="336"/>
      <c r="H442" s="336"/>
      <c r="I442" s="336"/>
      <c r="J442" s="336"/>
      <c r="K442" s="336"/>
      <c r="L442" s="336"/>
      <c r="M442" s="336"/>
      <c r="N442" s="336"/>
      <c r="O442" s="336"/>
      <c r="P442" s="336"/>
      <c r="Q442" s="336"/>
    </row>
    <row r="443" ht="15.75" customHeight="1">
      <c r="A443" s="336"/>
      <c r="B443" s="336"/>
      <c r="C443" s="336"/>
      <c r="D443" s="336"/>
      <c r="E443" s="336"/>
      <c r="F443" s="336"/>
      <c r="G443" s="336"/>
      <c r="H443" s="336"/>
      <c r="I443" s="336"/>
      <c r="J443" s="336"/>
      <c r="K443" s="336"/>
      <c r="L443" s="336"/>
      <c r="M443" s="336"/>
      <c r="N443" s="336"/>
      <c r="O443" s="336"/>
      <c r="P443" s="336"/>
      <c r="Q443" s="336"/>
    </row>
    <row r="444" ht="15.75" customHeight="1">
      <c r="A444" s="336"/>
      <c r="B444" s="336"/>
      <c r="C444" s="336"/>
      <c r="D444" s="336"/>
      <c r="E444" s="336"/>
      <c r="F444" s="336"/>
      <c r="G444" s="336"/>
      <c r="H444" s="336"/>
      <c r="I444" s="336"/>
      <c r="J444" s="336"/>
      <c r="K444" s="336"/>
      <c r="L444" s="336"/>
      <c r="M444" s="336"/>
      <c r="N444" s="336"/>
      <c r="O444" s="336"/>
      <c r="P444" s="336"/>
      <c r="Q444" s="336"/>
    </row>
    <row r="445" ht="15.75" customHeight="1">
      <c r="A445" s="336"/>
      <c r="B445" s="336"/>
      <c r="C445" s="336"/>
      <c r="D445" s="336"/>
      <c r="E445" s="336"/>
      <c r="F445" s="336"/>
      <c r="G445" s="336"/>
      <c r="H445" s="336"/>
      <c r="I445" s="336"/>
      <c r="J445" s="336"/>
      <c r="K445" s="336"/>
      <c r="L445" s="336"/>
      <c r="M445" s="336"/>
      <c r="N445" s="336"/>
      <c r="O445" s="336"/>
      <c r="P445" s="336"/>
      <c r="Q445" s="336"/>
    </row>
    <row r="446" ht="15.75" customHeight="1">
      <c r="A446" s="336"/>
      <c r="B446" s="336"/>
      <c r="C446" s="336"/>
      <c r="D446" s="336"/>
      <c r="E446" s="336"/>
      <c r="F446" s="336"/>
      <c r="G446" s="336"/>
      <c r="H446" s="336"/>
      <c r="I446" s="336"/>
      <c r="J446" s="336"/>
      <c r="K446" s="336"/>
      <c r="L446" s="336"/>
      <c r="M446" s="336"/>
      <c r="N446" s="336"/>
      <c r="O446" s="336"/>
      <c r="P446" s="336"/>
      <c r="Q446" s="336"/>
    </row>
    <row r="447" ht="15.75" customHeight="1">
      <c r="A447" s="336"/>
      <c r="B447" s="336"/>
      <c r="C447" s="336"/>
      <c r="D447" s="336"/>
      <c r="E447" s="336"/>
      <c r="F447" s="336"/>
      <c r="G447" s="336"/>
      <c r="H447" s="336"/>
      <c r="I447" s="336"/>
      <c r="J447" s="336"/>
      <c r="K447" s="336"/>
      <c r="L447" s="336"/>
      <c r="M447" s="336"/>
      <c r="N447" s="336"/>
      <c r="O447" s="336"/>
      <c r="P447" s="336"/>
      <c r="Q447" s="336"/>
    </row>
    <row r="448" ht="15.75" customHeight="1">
      <c r="A448" s="336"/>
      <c r="B448" s="336"/>
      <c r="C448" s="336"/>
      <c r="D448" s="336"/>
      <c r="E448" s="336"/>
      <c r="F448" s="336"/>
      <c r="G448" s="336"/>
      <c r="H448" s="336"/>
      <c r="I448" s="336"/>
      <c r="J448" s="336"/>
      <c r="K448" s="336"/>
      <c r="L448" s="336"/>
      <c r="M448" s="336"/>
      <c r="N448" s="336"/>
      <c r="O448" s="336"/>
      <c r="P448" s="336"/>
      <c r="Q448" s="336"/>
    </row>
    <row r="449" ht="15.75" customHeight="1">
      <c r="A449" s="336"/>
      <c r="B449" s="336"/>
      <c r="C449" s="336"/>
      <c r="D449" s="336"/>
      <c r="E449" s="336"/>
      <c r="F449" s="336"/>
      <c r="G449" s="336"/>
      <c r="H449" s="336"/>
      <c r="I449" s="336"/>
      <c r="J449" s="336"/>
      <c r="K449" s="336"/>
      <c r="L449" s="336"/>
      <c r="M449" s="336"/>
      <c r="N449" s="336"/>
      <c r="O449" s="336"/>
      <c r="P449" s="336"/>
      <c r="Q449" s="336"/>
    </row>
    <row r="450" ht="15.75" customHeight="1">
      <c r="A450" s="336"/>
      <c r="B450" s="336"/>
      <c r="C450" s="336"/>
      <c r="D450" s="336"/>
      <c r="E450" s="336"/>
      <c r="F450" s="336"/>
      <c r="G450" s="336"/>
      <c r="H450" s="336"/>
      <c r="I450" s="336"/>
      <c r="J450" s="336"/>
      <c r="K450" s="336"/>
      <c r="L450" s="336"/>
      <c r="M450" s="336"/>
      <c r="N450" s="336"/>
      <c r="O450" s="336"/>
      <c r="P450" s="336"/>
      <c r="Q450" s="336"/>
    </row>
    <row r="451" ht="15.75" customHeight="1">
      <c r="A451" s="336"/>
      <c r="B451" s="336"/>
      <c r="C451" s="336"/>
      <c r="D451" s="336"/>
      <c r="E451" s="336"/>
      <c r="F451" s="336"/>
      <c r="G451" s="336"/>
      <c r="H451" s="336"/>
      <c r="I451" s="336"/>
      <c r="J451" s="336"/>
      <c r="K451" s="336"/>
      <c r="L451" s="336"/>
      <c r="M451" s="336"/>
      <c r="N451" s="336"/>
      <c r="O451" s="336"/>
      <c r="P451" s="336"/>
      <c r="Q451" s="336"/>
    </row>
    <row r="452" ht="15.75" customHeight="1">
      <c r="A452" s="336"/>
      <c r="B452" s="336"/>
      <c r="C452" s="336"/>
      <c r="D452" s="336"/>
      <c r="E452" s="336"/>
      <c r="F452" s="336"/>
      <c r="G452" s="336"/>
      <c r="H452" s="336"/>
      <c r="I452" s="336"/>
      <c r="J452" s="336"/>
      <c r="K452" s="336"/>
      <c r="L452" s="336"/>
      <c r="M452" s="336"/>
      <c r="N452" s="336"/>
      <c r="O452" s="336"/>
      <c r="P452" s="336"/>
      <c r="Q452" s="336"/>
    </row>
    <row r="453" ht="15.75" customHeight="1">
      <c r="A453" s="336"/>
      <c r="B453" s="336"/>
      <c r="C453" s="336"/>
      <c r="D453" s="336"/>
      <c r="E453" s="336"/>
      <c r="F453" s="336"/>
      <c r="G453" s="336"/>
      <c r="H453" s="336"/>
      <c r="I453" s="336"/>
      <c r="J453" s="336"/>
      <c r="K453" s="336"/>
      <c r="L453" s="336"/>
      <c r="M453" s="336"/>
      <c r="N453" s="336"/>
      <c r="O453" s="336"/>
      <c r="P453" s="336"/>
      <c r="Q453" s="336"/>
    </row>
    <row r="454" ht="15.75" customHeight="1">
      <c r="A454" s="336"/>
      <c r="B454" s="336"/>
      <c r="C454" s="336"/>
      <c r="D454" s="336"/>
      <c r="E454" s="336"/>
      <c r="F454" s="336"/>
      <c r="G454" s="336"/>
      <c r="H454" s="336"/>
      <c r="I454" s="336"/>
      <c r="J454" s="336"/>
      <c r="K454" s="336"/>
      <c r="L454" s="336"/>
      <c r="M454" s="336"/>
      <c r="N454" s="336"/>
      <c r="O454" s="336"/>
      <c r="P454" s="336"/>
      <c r="Q454" s="336"/>
    </row>
    <row r="455" ht="15.75" customHeight="1">
      <c r="A455" s="336"/>
      <c r="B455" s="336"/>
      <c r="C455" s="336"/>
      <c r="D455" s="336"/>
      <c r="E455" s="336"/>
      <c r="F455" s="336"/>
      <c r="G455" s="336"/>
      <c r="H455" s="336"/>
      <c r="I455" s="336"/>
      <c r="J455" s="336"/>
      <c r="K455" s="336"/>
      <c r="L455" s="336"/>
      <c r="M455" s="336"/>
      <c r="N455" s="336"/>
      <c r="O455" s="336"/>
      <c r="P455" s="336"/>
      <c r="Q455" s="336"/>
    </row>
    <row r="456" ht="15.75" customHeight="1">
      <c r="A456" s="336"/>
      <c r="B456" s="336"/>
      <c r="C456" s="336"/>
      <c r="D456" s="336"/>
      <c r="E456" s="336"/>
      <c r="F456" s="336"/>
      <c r="G456" s="336"/>
      <c r="H456" s="336"/>
      <c r="I456" s="336"/>
      <c r="J456" s="336"/>
      <c r="K456" s="336"/>
      <c r="L456" s="336"/>
      <c r="M456" s="336"/>
      <c r="N456" s="336"/>
      <c r="O456" s="336"/>
      <c r="P456" s="336"/>
      <c r="Q456" s="336"/>
    </row>
    <row r="457" ht="15.75" customHeight="1">
      <c r="A457" s="336"/>
      <c r="B457" s="336"/>
      <c r="C457" s="336"/>
      <c r="D457" s="336"/>
      <c r="E457" s="336"/>
      <c r="F457" s="336"/>
      <c r="G457" s="336"/>
      <c r="H457" s="336"/>
      <c r="I457" s="336"/>
      <c r="J457" s="336"/>
      <c r="K457" s="336"/>
      <c r="L457" s="336"/>
      <c r="M457" s="336"/>
      <c r="N457" s="336"/>
      <c r="O457" s="336"/>
      <c r="P457" s="336"/>
      <c r="Q457" s="336"/>
    </row>
    <row r="458" ht="15.75" customHeight="1">
      <c r="A458" s="336"/>
      <c r="B458" s="336"/>
      <c r="C458" s="336"/>
      <c r="D458" s="336"/>
      <c r="E458" s="336"/>
      <c r="F458" s="336"/>
      <c r="G458" s="336"/>
      <c r="H458" s="336"/>
      <c r="I458" s="336"/>
      <c r="J458" s="336"/>
      <c r="K458" s="336"/>
      <c r="L458" s="336"/>
      <c r="M458" s="336"/>
      <c r="N458" s="336"/>
      <c r="O458" s="336"/>
      <c r="P458" s="336"/>
      <c r="Q458" s="336"/>
    </row>
    <row r="459" ht="15.75" customHeight="1">
      <c r="A459" s="336"/>
      <c r="B459" s="336"/>
      <c r="C459" s="336"/>
      <c r="D459" s="336"/>
      <c r="E459" s="336"/>
      <c r="F459" s="336"/>
      <c r="G459" s="336"/>
      <c r="H459" s="336"/>
      <c r="I459" s="336"/>
      <c r="J459" s="336"/>
      <c r="K459" s="336"/>
      <c r="L459" s="336"/>
      <c r="M459" s="336"/>
      <c r="N459" s="336"/>
      <c r="O459" s="336"/>
      <c r="P459" s="336"/>
      <c r="Q459" s="336"/>
    </row>
    <row r="460" ht="15.75" customHeight="1">
      <c r="A460" s="336"/>
      <c r="B460" s="336"/>
      <c r="C460" s="336"/>
      <c r="D460" s="336"/>
      <c r="E460" s="336"/>
      <c r="F460" s="336"/>
      <c r="G460" s="336"/>
      <c r="H460" s="336"/>
      <c r="I460" s="336"/>
      <c r="J460" s="336"/>
      <c r="K460" s="336"/>
      <c r="L460" s="336"/>
      <c r="M460" s="336"/>
      <c r="N460" s="336"/>
      <c r="O460" s="336"/>
      <c r="P460" s="336"/>
      <c r="Q460" s="336"/>
    </row>
    <row r="461" ht="15.75" customHeight="1">
      <c r="A461" s="336"/>
      <c r="B461" s="336"/>
      <c r="C461" s="336"/>
      <c r="D461" s="336"/>
      <c r="E461" s="336"/>
      <c r="F461" s="336"/>
      <c r="G461" s="336"/>
      <c r="H461" s="336"/>
      <c r="I461" s="336"/>
      <c r="J461" s="336"/>
      <c r="K461" s="336"/>
      <c r="L461" s="336"/>
      <c r="M461" s="336"/>
      <c r="N461" s="336"/>
      <c r="O461" s="336"/>
      <c r="P461" s="336"/>
      <c r="Q461" s="336"/>
    </row>
    <row r="462" ht="15.75" customHeight="1">
      <c r="A462" s="336"/>
      <c r="B462" s="336"/>
      <c r="C462" s="336"/>
      <c r="D462" s="336"/>
      <c r="E462" s="336"/>
      <c r="F462" s="336"/>
      <c r="G462" s="336"/>
      <c r="H462" s="336"/>
      <c r="I462" s="336"/>
      <c r="J462" s="336"/>
      <c r="K462" s="336"/>
      <c r="L462" s="336"/>
      <c r="M462" s="336"/>
      <c r="N462" s="336"/>
      <c r="O462" s="336"/>
      <c r="P462" s="336"/>
      <c r="Q462" s="336"/>
    </row>
    <row r="463" ht="15.75" customHeight="1">
      <c r="A463" s="336"/>
      <c r="B463" s="336"/>
      <c r="C463" s="336"/>
      <c r="D463" s="336"/>
      <c r="E463" s="336"/>
      <c r="F463" s="336"/>
      <c r="G463" s="336"/>
      <c r="H463" s="336"/>
      <c r="I463" s="336"/>
      <c r="J463" s="336"/>
      <c r="K463" s="336"/>
      <c r="L463" s="336"/>
      <c r="M463" s="336"/>
      <c r="N463" s="336"/>
      <c r="O463" s="336"/>
      <c r="P463" s="336"/>
      <c r="Q463" s="336"/>
    </row>
    <row r="464" ht="15.75" customHeight="1">
      <c r="A464" s="336"/>
      <c r="B464" s="336"/>
      <c r="C464" s="336"/>
      <c r="D464" s="336"/>
      <c r="E464" s="336"/>
      <c r="F464" s="336"/>
      <c r="G464" s="336"/>
      <c r="H464" s="336"/>
      <c r="I464" s="336"/>
      <c r="J464" s="336"/>
      <c r="K464" s="336"/>
      <c r="L464" s="336"/>
      <c r="M464" s="336"/>
      <c r="N464" s="336"/>
      <c r="O464" s="336"/>
      <c r="P464" s="336"/>
      <c r="Q464" s="336"/>
    </row>
    <row r="465" ht="15.75" customHeight="1">
      <c r="A465" s="336"/>
      <c r="B465" s="336"/>
      <c r="C465" s="336"/>
      <c r="D465" s="336"/>
      <c r="E465" s="336"/>
      <c r="F465" s="336"/>
      <c r="G465" s="336"/>
      <c r="H465" s="336"/>
      <c r="I465" s="336"/>
      <c r="J465" s="336"/>
      <c r="K465" s="336"/>
      <c r="L465" s="336"/>
      <c r="M465" s="336"/>
      <c r="N465" s="336"/>
      <c r="O465" s="336"/>
      <c r="P465" s="336"/>
      <c r="Q465" s="336"/>
    </row>
    <row r="466" ht="15.75" customHeight="1">
      <c r="A466" s="336"/>
      <c r="B466" s="336"/>
      <c r="C466" s="336"/>
      <c r="D466" s="336"/>
      <c r="E466" s="336"/>
      <c r="F466" s="336"/>
      <c r="G466" s="336"/>
      <c r="H466" s="336"/>
      <c r="I466" s="336"/>
      <c r="J466" s="336"/>
      <c r="K466" s="336"/>
      <c r="L466" s="336"/>
      <c r="M466" s="336"/>
      <c r="N466" s="336"/>
      <c r="O466" s="336"/>
      <c r="P466" s="336"/>
      <c r="Q466" s="336"/>
    </row>
    <row r="467" ht="15.75" customHeight="1">
      <c r="A467" s="336"/>
      <c r="B467" s="336"/>
      <c r="C467" s="336"/>
      <c r="D467" s="336"/>
      <c r="E467" s="336"/>
      <c r="F467" s="336"/>
      <c r="G467" s="336"/>
      <c r="H467" s="336"/>
      <c r="I467" s="336"/>
      <c r="J467" s="336"/>
      <c r="K467" s="336"/>
      <c r="L467" s="336"/>
      <c r="M467" s="336"/>
      <c r="N467" s="336"/>
      <c r="O467" s="336"/>
      <c r="P467" s="336"/>
      <c r="Q467" s="336"/>
    </row>
    <row r="468" ht="15.75" customHeight="1">
      <c r="A468" s="336"/>
      <c r="B468" s="336"/>
      <c r="C468" s="336"/>
      <c r="D468" s="336"/>
      <c r="E468" s="336"/>
      <c r="F468" s="336"/>
      <c r="G468" s="336"/>
      <c r="H468" s="336"/>
      <c r="I468" s="336"/>
      <c r="J468" s="336"/>
      <c r="K468" s="336"/>
      <c r="L468" s="336"/>
      <c r="M468" s="336"/>
      <c r="N468" s="336"/>
      <c r="O468" s="336"/>
      <c r="P468" s="336"/>
      <c r="Q468" s="336"/>
    </row>
    <row r="469" ht="15.75" customHeight="1">
      <c r="A469" s="336"/>
      <c r="B469" s="336"/>
      <c r="C469" s="336"/>
      <c r="D469" s="336"/>
      <c r="E469" s="336"/>
      <c r="F469" s="336"/>
      <c r="G469" s="336"/>
      <c r="H469" s="336"/>
      <c r="I469" s="336"/>
      <c r="J469" s="336"/>
      <c r="K469" s="336"/>
      <c r="L469" s="336"/>
      <c r="M469" s="336"/>
      <c r="N469" s="336"/>
      <c r="O469" s="336"/>
      <c r="P469" s="336"/>
      <c r="Q469" s="336"/>
    </row>
    <row r="470" ht="15.75" customHeight="1">
      <c r="A470" s="336"/>
      <c r="B470" s="336"/>
      <c r="C470" s="336"/>
      <c r="D470" s="336"/>
      <c r="E470" s="336"/>
      <c r="F470" s="336"/>
      <c r="G470" s="336"/>
      <c r="H470" s="336"/>
      <c r="I470" s="336"/>
      <c r="J470" s="336"/>
      <c r="K470" s="336"/>
      <c r="L470" s="336"/>
      <c r="M470" s="336"/>
      <c r="N470" s="336"/>
      <c r="O470" s="336"/>
      <c r="P470" s="336"/>
      <c r="Q470" s="336"/>
    </row>
    <row r="471" ht="15.75" customHeight="1">
      <c r="A471" s="336"/>
      <c r="B471" s="336"/>
      <c r="C471" s="336"/>
      <c r="D471" s="336"/>
      <c r="E471" s="336"/>
      <c r="F471" s="336"/>
      <c r="G471" s="336"/>
      <c r="H471" s="336"/>
      <c r="I471" s="336"/>
      <c r="J471" s="336"/>
      <c r="K471" s="336"/>
      <c r="L471" s="336"/>
      <c r="M471" s="336"/>
      <c r="N471" s="336"/>
      <c r="O471" s="336"/>
      <c r="P471" s="336"/>
      <c r="Q471" s="336"/>
    </row>
    <row r="472" ht="15.75" customHeight="1">
      <c r="A472" s="336"/>
      <c r="B472" s="336"/>
      <c r="C472" s="336"/>
      <c r="D472" s="336"/>
      <c r="E472" s="336"/>
      <c r="F472" s="336"/>
      <c r="G472" s="336"/>
      <c r="H472" s="336"/>
      <c r="I472" s="336"/>
      <c r="J472" s="336"/>
      <c r="K472" s="336"/>
      <c r="L472" s="336"/>
      <c r="M472" s="336"/>
      <c r="N472" s="336"/>
      <c r="O472" s="336"/>
      <c r="P472" s="336"/>
      <c r="Q472" s="336"/>
    </row>
    <row r="473" ht="15.75" customHeight="1">
      <c r="A473" s="336"/>
      <c r="B473" s="336"/>
      <c r="C473" s="336"/>
      <c r="D473" s="336"/>
      <c r="E473" s="336"/>
      <c r="F473" s="336"/>
      <c r="G473" s="336"/>
      <c r="H473" s="336"/>
      <c r="I473" s="336"/>
      <c r="J473" s="336"/>
      <c r="K473" s="336"/>
      <c r="L473" s="336"/>
      <c r="M473" s="336"/>
      <c r="N473" s="336"/>
      <c r="O473" s="336"/>
      <c r="P473" s="336"/>
      <c r="Q473" s="336"/>
    </row>
    <row r="474" ht="15.75" customHeight="1">
      <c r="A474" s="336"/>
      <c r="B474" s="336"/>
      <c r="C474" s="336"/>
      <c r="D474" s="336"/>
      <c r="E474" s="336"/>
      <c r="F474" s="336"/>
      <c r="G474" s="336"/>
      <c r="H474" s="336"/>
      <c r="I474" s="336"/>
      <c r="J474" s="336"/>
      <c r="K474" s="336"/>
      <c r="L474" s="336"/>
      <c r="M474" s="336"/>
      <c r="N474" s="336"/>
      <c r="O474" s="336"/>
      <c r="P474" s="336"/>
      <c r="Q474" s="336"/>
    </row>
    <row r="475" ht="15.75" customHeight="1">
      <c r="A475" s="336"/>
      <c r="B475" s="336"/>
      <c r="C475" s="336"/>
      <c r="D475" s="336"/>
      <c r="E475" s="336"/>
      <c r="F475" s="336"/>
      <c r="G475" s="336"/>
      <c r="H475" s="336"/>
      <c r="I475" s="336"/>
      <c r="J475" s="336"/>
      <c r="K475" s="336"/>
      <c r="L475" s="336"/>
      <c r="M475" s="336"/>
      <c r="N475" s="336"/>
      <c r="O475" s="336"/>
      <c r="P475" s="336"/>
      <c r="Q475" s="336"/>
    </row>
    <row r="476" ht="15.75" customHeight="1">
      <c r="A476" s="336"/>
      <c r="B476" s="336"/>
      <c r="C476" s="336"/>
      <c r="D476" s="336"/>
      <c r="E476" s="336"/>
      <c r="F476" s="336"/>
      <c r="G476" s="336"/>
      <c r="H476" s="336"/>
      <c r="I476" s="336"/>
      <c r="J476" s="336"/>
      <c r="K476" s="336"/>
      <c r="L476" s="336"/>
      <c r="M476" s="336"/>
      <c r="N476" s="336"/>
      <c r="O476" s="336"/>
      <c r="P476" s="336"/>
      <c r="Q476" s="336"/>
    </row>
    <row r="477" ht="15.75" customHeight="1">
      <c r="A477" s="336"/>
      <c r="B477" s="336"/>
      <c r="C477" s="336"/>
      <c r="D477" s="336"/>
      <c r="E477" s="336"/>
      <c r="F477" s="336"/>
      <c r="G477" s="336"/>
      <c r="H477" s="336"/>
      <c r="I477" s="336"/>
      <c r="J477" s="336"/>
      <c r="K477" s="336"/>
      <c r="L477" s="336"/>
      <c r="M477" s="336"/>
      <c r="N477" s="336"/>
      <c r="O477" s="336"/>
      <c r="P477" s="336"/>
      <c r="Q477" s="336"/>
    </row>
    <row r="478" ht="15.75" customHeight="1">
      <c r="A478" s="336"/>
      <c r="B478" s="336"/>
      <c r="C478" s="336"/>
      <c r="D478" s="336"/>
      <c r="E478" s="336"/>
      <c r="F478" s="336"/>
      <c r="G478" s="336"/>
      <c r="H478" s="336"/>
      <c r="I478" s="336"/>
      <c r="J478" s="336"/>
      <c r="K478" s="336"/>
      <c r="L478" s="336"/>
      <c r="M478" s="336"/>
      <c r="N478" s="336"/>
      <c r="O478" s="336"/>
      <c r="P478" s="336"/>
      <c r="Q478" s="336"/>
    </row>
    <row r="479" ht="15.75" customHeight="1">
      <c r="A479" s="336"/>
      <c r="B479" s="336"/>
      <c r="C479" s="336"/>
      <c r="D479" s="336"/>
      <c r="E479" s="336"/>
      <c r="F479" s="336"/>
      <c r="G479" s="336"/>
      <c r="H479" s="336"/>
      <c r="I479" s="336"/>
      <c r="J479" s="336"/>
      <c r="K479" s="336"/>
      <c r="L479" s="336"/>
      <c r="M479" s="336"/>
      <c r="N479" s="336"/>
      <c r="O479" s="336"/>
      <c r="P479" s="336"/>
      <c r="Q479" s="336"/>
    </row>
    <row r="480" ht="15.75" customHeight="1">
      <c r="A480" s="336"/>
      <c r="B480" s="336"/>
      <c r="C480" s="336"/>
      <c r="D480" s="336"/>
      <c r="E480" s="336"/>
      <c r="F480" s="336"/>
      <c r="G480" s="336"/>
      <c r="H480" s="336"/>
      <c r="I480" s="336"/>
      <c r="J480" s="336"/>
      <c r="K480" s="336"/>
      <c r="L480" s="336"/>
      <c r="M480" s="336"/>
      <c r="N480" s="336"/>
      <c r="O480" s="336"/>
      <c r="P480" s="336"/>
      <c r="Q480" s="336"/>
    </row>
    <row r="481" ht="15.75" customHeight="1">
      <c r="A481" s="336"/>
      <c r="B481" s="336"/>
      <c r="C481" s="336"/>
      <c r="D481" s="336"/>
      <c r="E481" s="336"/>
      <c r="F481" s="336"/>
      <c r="G481" s="336"/>
      <c r="H481" s="336"/>
      <c r="I481" s="336"/>
      <c r="J481" s="336"/>
      <c r="K481" s="336"/>
      <c r="L481" s="336"/>
      <c r="M481" s="336"/>
      <c r="N481" s="336"/>
      <c r="O481" s="336"/>
      <c r="P481" s="336"/>
      <c r="Q481" s="336"/>
    </row>
    <row r="482" ht="15.75" customHeight="1">
      <c r="A482" s="336"/>
      <c r="B482" s="336"/>
      <c r="C482" s="336"/>
      <c r="D482" s="336"/>
      <c r="E482" s="336"/>
      <c r="F482" s="336"/>
      <c r="G482" s="336"/>
      <c r="H482" s="336"/>
      <c r="I482" s="336"/>
      <c r="J482" s="336"/>
      <c r="K482" s="336"/>
      <c r="L482" s="336"/>
      <c r="M482" s="336"/>
      <c r="N482" s="336"/>
      <c r="O482" s="336"/>
      <c r="P482" s="336"/>
      <c r="Q482" s="336"/>
    </row>
    <row r="483" ht="15.75" customHeight="1">
      <c r="A483" s="336"/>
      <c r="B483" s="336"/>
      <c r="C483" s="336"/>
      <c r="D483" s="336"/>
      <c r="E483" s="336"/>
      <c r="F483" s="336"/>
      <c r="G483" s="336"/>
      <c r="H483" s="336"/>
      <c r="I483" s="336"/>
      <c r="J483" s="336"/>
      <c r="K483" s="336"/>
      <c r="L483" s="336"/>
      <c r="M483" s="336"/>
      <c r="N483" s="336"/>
      <c r="O483" s="336"/>
      <c r="P483" s="336"/>
      <c r="Q483" s="336"/>
    </row>
    <row r="484" ht="15.75" customHeight="1">
      <c r="A484" s="336"/>
      <c r="B484" s="336"/>
      <c r="C484" s="336"/>
      <c r="D484" s="336"/>
      <c r="E484" s="336"/>
      <c r="F484" s="336"/>
      <c r="G484" s="336"/>
      <c r="H484" s="336"/>
      <c r="I484" s="336"/>
      <c r="J484" s="336"/>
      <c r="K484" s="336"/>
      <c r="L484" s="336"/>
      <c r="M484" s="336"/>
      <c r="N484" s="336"/>
      <c r="O484" s="336"/>
      <c r="P484" s="336"/>
      <c r="Q484" s="336"/>
    </row>
    <row r="485" ht="15.75" customHeight="1">
      <c r="A485" s="336"/>
      <c r="B485" s="336"/>
      <c r="C485" s="336"/>
      <c r="D485" s="336"/>
      <c r="E485" s="336"/>
      <c r="F485" s="336"/>
      <c r="G485" s="336"/>
      <c r="H485" s="336"/>
      <c r="I485" s="336"/>
      <c r="J485" s="336"/>
      <c r="K485" s="336"/>
      <c r="L485" s="336"/>
      <c r="M485" s="336"/>
      <c r="N485" s="336"/>
      <c r="O485" s="336"/>
      <c r="P485" s="336"/>
      <c r="Q485" s="336"/>
    </row>
    <row r="486" ht="15.75" customHeight="1">
      <c r="A486" s="336"/>
      <c r="B486" s="336"/>
      <c r="C486" s="336"/>
      <c r="D486" s="336"/>
      <c r="E486" s="336"/>
      <c r="F486" s="336"/>
      <c r="G486" s="336"/>
      <c r="H486" s="336"/>
      <c r="I486" s="336"/>
      <c r="J486" s="336"/>
      <c r="K486" s="336"/>
      <c r="L486" s="336"/>
      <c r="M486" s="336"/>
      <c r="N486" s="336"/>
      <c r="O486" s="336"/>
      <c r="P486" s="336"/>
      <c r="Q486" s="336"/>
    </row>
    <row r="487" ht="15.75" customHeight="1">
      <c r="A487" s="336"/>
      <c r="B487" s="336"/>
      <c r="C487" s="336"/>
      <c r="D487" s="336"/>
      <c r="E487" s="336"/>
      <c r="F487" s="336"/>
      <c r="G487" s="336"/>
      <c r="H487" s="336"/>
      <c r="I487" s="336"/>
      <c r="J487" s="336"/>
      <c r="K487" s="336"/>
      <c r="L487" s="336"/>
      <c r="M487" s="336"/>
      <c r="N487" s="336"/>
      <c r="O487" s="336"/>
      <c r="P487" s="336"/>
      <c r="Q487" s="336"/>
    </row>
    <row r="488" ht="15.75" customHeight="1">
      <c r="A488" s="336"/>
      <c r="B488" s="336"/>
      <c r="C488" s="336"/>
      <c r="D488" s="336"/>
      <c r="E488" s="336"/>
      <c r="F488" s="336"/>
      <c r="G488" s="336"/>
      <c r="H488" s="336"/>
      <c r="I488" s="336"/>
      <c r="J488" s="336"/>
      <c r="K488" s="336"/>
      <c r="L488" s="336"/>
      <c r="M488" s="336"/>
      <c r="N488" s="336"/>
      <c r="O488" s="336"/>
      <c r="P488" s="336"/>
      <c r="Q488" s="336"/>
    </row>
    <row r="489" ht="15.75" customHeight="1">
      <c r="A489" s="336"/>
      <c r="B489" s="336"/>
      <c r="C489" s="336"/>
      <c r="D489" s="336"/>
      <c r="E489" s="336"/>
      <c r="F489" s="336"/>
      <c r="G489" s="336"/>
      <c r="H489" s="336"/>
      <c r="I489" s="336"/>
      <c r="J489" s="336"/>
      <c r="K489" s="336"/>
      <c r="L489" s="336"/>
      <c r="M489" s="336"/>
      <c r="N489" s="336"/>
      <c r="O489" s="336"/>
      <c r="P489" s="336"/>
      <c r="Q489" s="336"/>
    </row>
    <row r="490" ht="15.75" customHeight="1">
      <c r="A490" s="336"/>
      <c r="B490" s="336"/>
      <c r="C490" s="336"/>
      <c r="D490" s="336"/>
      <c r="E490" s="336"/>
      <c r="F490" s="336"/>
      <c r="G490" s="336"/>
      <c r="H490" s="336"/>
      <c r="I490" s="336"/>
      <c r="J490" s="336"/>
      <c r="K490" s="336"/>
      <c r="L490" s="336"/>
      <c r="M490" s="336"/>
      <c r="N490" s="336"/>
      <c r="O490" s="336"/>
      <c r="P490" s="336"/>
      <c r="Q490" s="336"/>
    </row>
    <row r="491" ht="15.75" customHeight="1">
      <c r="A491" s="336"/>
      <c r="B491" s="336"/>
      <c r="C491" s="336"/>
      <c r="D491" s="336"/>
      <c r="E491" s="336"/>
      <c r="F491" s="336"/>
      <c r="G491" s="336"/>
      <c r="H491" s="336"/>
      <c r="I491" s="336"/>
      <c r="J491" s="336"/>
      <c r="K491" s="336"/>
      <c r="L491" s="336"/>
      <c r="M491" s="336"/>
      <c r="N491" s="336"/>
      <c r="O491" s="336"/>
      <c r="P491" s="336"/>
      <c r="Q491" s="336"/>
    </row>
    <row r="492" ht="15.75" customHeight="1">
      <c r="A492" s="336"/>
      <c r="B492" s="336"/>
      <c r="C492" s="336"/>
      <c r="D492" s="336"/>
      <c r="E492" s="336"/>
      <c r="F492" s="336"/>
      <c r="G492" s="336"/>
      <c r="H492" s="336"/>
      <c r="I492" s="336"/>
      <c r="J492" s="336"/>
      <c r="K492" s="336"/>
      <c r="L492" s="336"/>
      <c r="M492" s="336"/>
      <c r="N492" s="336"/>
      <c r="O492" s="336"/>
      <c r="P492" s="336"/>
      <c r="Q492" s="336"/>
    </row>
    <row r="493" ht="15.75" customHeight="1">
      <c r="A493" s="336"/>
      <c r="B493" s="336"/>
      <c r="C493" s="336"/>
      <c r="D493" s="336"/>
      <c r="E493" s="336"/>
      <c r="F493" s="336"/>
      <c r="G493" s="336"/>
      <c r="H493" s="336"/>
      <c r="I493" s="336"/>
      <c r="J493" s="336"/>
      <c r="K493" s="336"/>
      <c r="L493" s="336"/>
      <c r="M493" s="336"/>
      <c r="N493" s="336"/>
      <c r="O493" s="336"/>
      <c r="P493" s="336"/>
      <c r="Q493" s="336"/>
    </row>
    <row r="494" ht="15.75" customHeight="1">
      <c r="A494" s="336"/>
      <c r="B494" s="336"/>
      <c r="C494" s="336"/>
      <c r="D494" s="336"/>
      <c r="E494" s="336"/>
      <c r="F494" s="336"/>
      <c r="G494" s="336"/>
      <c r="H494" s="336"/>
      <c r="I494" s="336"/>
      <c r="J494" s="336"/>
      <c r="K494" s="336"/>
      <c r="L494" s="336"/>
      <c r="M494" s="336"/>
      <c r="N494" s="336"/>
      <c r="O494" s="336"/>
      <c r="P494" s="336"/>
      <c r="Q494" s="336"/>
    </row>
    <row r="495" ht="15.75" customHeight="1">
      <c r="A495" s="336"/>
      <c r="B495" s="336"/>
      <c r="C495" s="336"/>
      <c r="D495" s="336"/>
      <c r="E495" s="336"/>
      <c r="F495" s="336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  <c r="Q495" s="336"/>
    </row>
    <row r="496" ht="15.75" customHeight="1">
      <c r="A496" s="336"/>
      <c r="B496" s="336"/>
      <c r="C496" s="336"/>
      <c r="D496" s="336"/>
      <c r="E496" s="336"/>
      <c r="F496" s="336"/>
      <c r="G496" s="336"/>
      <c r="H496" s="336"/>
      <c r="I496" s="336"/>
      <c r="J496" s="336"/>
      <c r="K496" s="336"/>
      <c r="L496" s="336"/>
      <c r="M496" s="336"/>
      <c r="N496" s="336"/>
      <c r="O496" s="336"/>
      <c r="P496" s="336"/>
      <c r="Q496" s="336"/>
    </row>
    <row r="497" ht="15.75" customHeight="1">
      <c r="A497" s="336"/>
      <c r="B497" s="336"/>
      <c r="C497" s="336"/>
      <c r="D497" s="336"/>
      <c r="E497" s="336"/>
      <c r="F497" s="336"/>
      <c r="G497" s="336"/>
      <c r="H497" s="336"/>
      <c r="I497" s="336"/>
      <c r="J497" s="336"/>
      <c r="K497" s="336"/>
      <c r="L497" s="336"/>
      <c r="M497" s="336"/>
      <c r="N497" s="336"/>
      <c r="O497" s="336"/>
      <c r="P497" s="336"/>
      <c r="Q497" s="336"/>
    </row>
    <row r="498" ht="15.75" customHeight="1">
      <c r="A498" s="336"/>
      <c r="B498" s="336"/>
      <c r="C498" s="336"/>
      <c r="D498" s="336"/>
      <c r="E498" s="336"/>
      <c r="F498" s="336"/>
      <c r="G498" s="336"/>
      <c r="H498" s="336"/>
      <c r="I498" s="336"/>
      <c r="J498" s="336"/>
      <c r="K498" s="336"/>
      <c r="L498" s="336"/>
      <c r="M498" s="336"/>
      <c r="N498" s="336"/>
      <c r="O498" s="336"/>
      <c r="P498" s="336"/>
      <c r="Q498" s="336"/>
    </row>
    <row r="499" ht="15.75" customHeight="1">
      <c r="A499" s="336"/>
      <c r="B499" s="336"/>
      <c r="C499" s="336"/>
      <c r="D499" s="336"/>
      <c r="E499" s="336"/>
      <c r="F499" s="336"/>
      <c r="G499" s="336"/>
      <c r="H499" s="336"/>
      <c r="I499" s="336"/>
      <c r="J499" s="336"/>
      <c r="K499" s="336"/>
      <c r="L499" s="336"/>
      <c r="M499" s="336"/>
      <c r="N499" s="336"/>
      <c r="O499" s="336"/>
      <c r="P499" s="336"/>
      <c r="Q499" s="336"/>
    </row>
    <row r="500" ht="15.75" customHeight="1">
      <c r="A500" s="336"/>
      <c r="B500" s="336"/>
      <c r="C500" s="336"/>
      <c r="D500" s="336"/>
      <c r="E500" s="336"/>
      <c r="F500" s="336"/>
      <c r="G500" s="336"/>
      <c r="H500" s="336"/>
      <c r="I500" s="336"/>
      <c r="J500" s="336"/>
      <c r="K500" s="336"/>
      <c r="L500" s="336"/>
      <c r="M500" s="336"/>
      <c r="N500" s="336"/>
      <c r="O500" s="336"/>
      <c r="P500" s="336"/>
      <c r="Q500" s="336"/>
    </row>
    <row r="501" ht="15.75" customHeight="1">
      <c r="A501" s="336"/>
      <c r="B501" s="336"/>
      <c r="C501" s="336"/>
      <c r="D501" s="336"/>
      <c r="E501" s="336"/>
      <c r="F501" s="336"/>
      <c r="G501" s="336"/>
      <c r="H501" s="336"/>
      <c r="I501" s="336"/>
      <c r="J501" s="336"/>
      <c r="K501" s="336"/>
      <c r="L501" s="336"/>
      <c r="M501" s="336"/>
      <c r="N501" s="336"/>
      <c r="O501" s="336"/>
      <c r="P501" s="336"/>
      <c r="Q501" s="336"/>
    </row>
    <row r="502" ht="15.75" customHeight="1">
      <c r="A502" s="336"/>
      <c r="B502" s="336"/>
      <c r="C502" s="336"/>
      <c r="D502" s="336"/>
      <c r="E502" s="336"/>
      <c r="F502" s="336"/>
      <c r="G502" s="336"/>
      <c r="H502" s="336"/>
      <c r="I502" s="336"/>
      <c r="J502" s="336"/>
      <c r="K502" s="336"/>
      <c r="L502" s="336"/>
      <c r="M502" s="336"/>
      <c r="N502" s="336"/>
      <c r="O502" s="336"/>
      <c r="P502" s="336"/>
      <c r="Q502" s="336"/>
    </row>
    <row r="503" ht="15.75" customHeight="1">
      <c r="A503" s="336"/>
      <c r="B503" s="336"/>
      <c r="C503" s="336"/>
      <c r="D503" s="336"/>
      <c r="E503" s="336"/>
      <c r="F503" s="336"/>
      <c r="G503" s="336"/>
      <c r="H503" s="336"/>
      <c r="I503" s="336"/>
      <c r="J503" s="336"/>
      <c r="K503" s="336"/>
      <c r="L503" s="336"/>
      <c r="M503" s="336"/>
      <c r="N503" s="336"/>
      <c r="O503" s="336"/>
      <c r="P503" s="336"/>
      <c r="Q503" s="336"/>
    </row>
    <row r="504" ht="15.75" customHeight="1">
      <c r="A504" s="336"/>
      <c r="B504" s="336"/>
      <c r="C504" s="336"/>
      <c r="D504" s="336"/>
      <c r="E504" s="336"/>
      <c r="F504" s="336"/>
      <c r="G504" s="336"/>
      <c r="H504" s="336"/>
      <c r="I504" s="336"/>
      <c r="J504" s="336"/>
      <c r="K504" s="336"/>
      <c r="L504" s="336"/>
      <c r="M504" s="336"/>
      <c r="N504" s="336"/>
      <c r="O504" s="336"/>
      <c r="P504" s="336"/>
      <c r="Q504" s="336"/>
    </row>
    <row r="505" ht="15.75" customHeight="1">
      <c r="A505" s="336"/>
      <c r="B505" s="336"/>
      <c r="C505" s="336"/>
      <c r="D505" s="336"/>
      <c r="E505" s="336"/>
      <c r="F505" s="336"/>
      <c r="G505" s="336"/>
      <c r="H505" s="336"/>
      <c r="I505" s="336"/>
      <c r="J505" s="336"/>
      <c r="K505" s="336"/>
      <c r="L505" s="336"/>
      <c r="M505" s="336"/>
      <c r="N505" s="336"/>
      <c r="O505" s="336"/>
      <c r="P505" s="336"/>
      <c r="Q505" s="336"/>
    </row>
    <row r="506" ht="15.75" customHeight="1">
      <c r="A506" s="336"/>
      <c r="B506" s="336"/>
      <c r="C506" s="336"/>
      <c r="D506" s="336"/>
      <c r="E506" s="336"/>
      <c r="F506" s="336"/>
      <c r="G506" s="336"/>
      <c r="H506" s="336"/>
      <c r="I506" s="336"/>
      <c r="J506" s="336"/>
      <c r="K506" s="336"/>
      <c r="L506" s="336"/>
      <c r="M506" s="336"/>
      <c r="N506" s="336"/>
      <c r="O506" s="336"/>
      <c r="P506" s="336"/>
      <c r="Q506" s="336"/>
    </row>
    <row r="507" ht="15.75" customHeight="1">
      <c r="A507" s="336"/>
      <c r="B507" s="336"/>
      <c r="C507" s="336"/>
      <c r="D507" s="336"/>
      <c r="E507" s="336"/>
      <c r="F507" s="336"/>
      <c r="G507" s="336"/>
      <c r="H507" s="336"/>
      <c r="I507" s="336"/>
      <c r="J507" s="336"/>
      <c r="K507" s="336"/>
      <c r="L507" s="336"/>
      <c r="M507" s="336"/>
      <c r="N507" s="336"/>
      <c r="O507" s="336"/>
      <c r="P507" s="336"/>
      <c r="Q507" s="336"/>
    </row>
    <row r="508" ht="15.75" customHeight="1">
      <c r="A508" s="336"/>
      <c r="B508" s="336"/>
      <c r="C508" s="336"/>
      <c r="D508" s="336"/>
      <c r="E508" s="336"/>
      <c r="F508" s="336"/>
      <c r="G508" s="336"/>
      <c r="H508" s="336"/>
      <c r="I508" s="336"/>
      <c r="J508" s="336"/>
      <c r="K508" s="336"/>
      <c r="L508" s="336"/>
      <c r="M508" s="336"/>
      <c r="N508" s="336"/>
      <c r="O508" s="336"/>
      <c r="P508" s="336"/>
      <c r="Q508" s="336"/>
    </row>
    <row r="509" ht="15.75" customHeight="1">
      <c r="A509" s="336"/>
      <c r="B509" s="336"/>
      <c r="C509" s="336"/>
      <c r="D509" s="336"/>
      <c r="E509" s="336"/>
      <c r="F509" s="336"/>
      <c r="G509" s="336"/>
      <c r="H509" s="336"/>
      <c r="I509" s="336"/>
      <c r="J509" s="336"/>
      <c r="K509" s="336"/>
      <c r="L509" s="336"/>
      <c r="M509" s="336"/>
      <c r="N509" s="336"/>
      <c r="O509" s="336"/>
      <c r="P509" s="336"/>
      <c r="Q509" s="336"/>
    </row>
    <row r="510" ht="15.75" customHeight="1">
      <c r="A510" s="336"/>
      <c r="B510" s="336"/>
      <c r="C510" s="336"/>
      <c r="D510" s="336"/>
      <c r="E510" s="336"/>
      <c r="F510" s="336"/>
      <c r="G510" s="336"/>
      <c r="H510" s="336"/>
      <c r="I510" s="336"/>
      <c r="J510" s="336"/>
      <c r="K510" s="336"/>
      <c r="L510" s="336"/>
      <c r="M510" s="336"/>
      <c r="N510" s="336"/>
      <c r="O510" s="336"/>
      <c r="P510" s="336"/>
      <c r="Q510" s="336"/>
    </row>
    <row r="511" ht="15.75" customHeight="1">
      <c r="A511" s="336"/>
      <c r="B511" s="336"/>
      <c r="C511" s="336"/>
      <c r="D511" s="336"/>
      <c r="E511" s="336"/>
      <c r="F511" s="336"/>
      <c r="G511" s="336"/>
      <c r="H511" s="336"/>
      <c r="I511" s="336"/>
      <c r="J511" s="336"/>
      <c r="K511" s="336"/>
      <c r="L511" s="336"/>
      <c r="M511" s="336"/>
      <c r="N511" s="336"/>
      <c r="O511" s="336"/>
      <c r="P511" s="336"/>
      <c r="Q511" s="336"/>
    </row>
    <row r="512" ht="15.75" customHeight="1">
      <c r="A512" s="336"/>
      <c r="B512" s="336"/>
      <c r="C512" s="336"/>
      <c r="D512" s="336"/>
      <c r="E512" s="336"/>
      <c r="F512" s="336"/>
      <c r="G512" s="336"/>
      <c r="H512" s="336"/>
      <c r="I512" s="336"/>
      <c r="J512" s="336"/>
      <c r="K512" s="336"/>
      <c r="L512" s="336"/>
      <c r="M512" s="336"/>
      <c r="N512" s="336"/>
      <c r="O512" s="336"/>
      <c r="P512" s="336"/>
      <c r="Q512" s="336"/>
    </row>
    <row r="513" ht="15.75" customHeight="1">
      <c r="A513" s="336"/>
      <c r="B513" s="336"/>
      <c r="C513" s="336"/>
      <c r="D513" s="336"/>
      <c r="E513" s="336"/>
      <c r="F513" s="336"/>
      <c r="G513" s="336"/>
      <c r="H513" s="336"/>
      <c r="I513" s="336"/>
      <c r="J513" s="336"/>
      <c r="K513" s="336"/>
      <c r="L513" s="336"/>
      <c r="M513" s="336"/>
      <c r="N513" s="336"/>
      <c r="O513" s="336"/>
      <c r="P513" s="336"/>
      <c r="Q513" s="336"/>
    </row>
    <row r="514" ht="15.75" customHeight="1">
      <c r="A514" s="336"/>
      <c r="B514" s="336"/>
      <c r="C514" s="336"/>
      <c r="D514" s="336"/>
      <c r="E514" s="336"/>
      <c r="F514" s="336"/>
      <c r="G514" s="336"/>
      <c r="H514" s="336"/>
      <c r="I514" s="336"/>
      <c r="J514" s="336"/>
      <c r="K514" s="336"/>
      <c r="L514" s="336"/>
      <c r="M514" s="336"/>
      <c r="N514" s="336"/>
      <c r="O514" s="336"/>
      <c r="P514" s="336"/>
      <c r="Q514" s="336"/>
    </row>
    <row r="515" ht="15.75" customHeight="1">
      <c r="A515" s="336"/>
      <c r="B515" s="336"/>
      <c r="C515" s="336"/>
      <c r="D515" s="336"/>
      <c r="E515" s="336"/>
      <c r="F515" s="336"/>
      <c r="G515" s="336"/>
      <c r="H515" s="336"/>
      <c r="I515" s="336"/>
      <c r="J515" s="336"/>
      <c r="K515" s="336"/>
      <c r="L515" s="336"/>
      <c r="M515" s="336"/>
      <c r="N515" s="336"/>
      <c r="O515" s="336"/>
      <c r="P515" s="336"/>
      <c r="Q515" s="336"/>
    </row>
    <row r="516" ht="15.75" customHeight="1">
      <c r="A516" s="336"/>
      <c r="B516" s="336"/>
      <c r="C516" s="336"/>
      <c r="D516" s="336"/>
      <c r="E516" s="336"/>
      <c r="F516" s="336"/>
      <c r="G516" s="336"/>
      <c r="H516" s="336"/>
      <c r="I516" s="336"/>
      <c r="J516" s="336"/>
      <c r="K516" s="336"/>
      <c r="L516" s="336"/>
      <c r="M516" s="336"/>
      <c r="N516" s="336"/>
      <c r="O516" s="336"/>
      <c r="P516" s="336"/>
      <c r="Q516" s="336"/>
    </row>
    <row r="517" ht="15.75" customHeight="1">
      <c r="A517" s="336"/>
      <c r="B517" s="336"/>
      <c r="C517" s="336"/>
      <c r="D517" s="336"/>
      <c r="E517" s="336"/>
      <c r="F517" s="336"/>
      <c r="G517" s="336"/>
      <c r="H517" s="336"/>
      <c r="I517" s="336"/>
      <c r="J517" s="336"/>
      <c r="K517" s="336"/>
      <c r="L517" s="336"/>
      <c r="M517" s="336"/>
      <c r="N517" s="336"/>
      <c r="O517" s="336"/>
      <c r="P517" s="336"/>
      <c r="Q517" s="336"/>
    </row>
    <row r="518" ht="15.75" customHeight="1">
      <c r="A518" s="336"/>
      <c r="B518" s="336"/>
      <c r="C518" s="336"/>
      <c r="D518" s="336"/>
      <c r="E518" s="336"/>
      <c r="F518" s="336"/>
      <c r="G518" s="336"/>
      <c r="H518" s="336"/>
      <c r="I518" s="336"/>
      <c r="J518" s="336"/>
      <c r="K518" s="336"/>
      <c r="L518" s="336"/>
      <c r="M518" s="336"/>
      <c r="N518" s="336"/>
      <c r="O518" s="336"/>
      <c r="P518" s="336"/>
      <c r="Q518" s="336"/>
    </row>
    <row r="519" ht="15.75" customHeight="1">
      <c r="A519" s="336"/>
      <c r="B519" s="336"/>
      <c r="C519" s="336"/>
      <c r="D519" s="336"/>
      <c r="E519" s="336"/>
      <c r="F519" s="336"/>
      <c r="G519" s="336"/>
      <c r="H519" s="336"/>
      <c r="I519" s="336"/>
      <c r="J519" s="336"/>
      <c r="K519" s="336"/>
      <c r="L519" s="336"/>
      <c r="M519" s="336"/>
      <c r="N519" s="336"/>
      <c r="O519" s="336"/>
      <c r="P519" s="336"/>
      <c r="Q519" s="336"/>
    </row>
    <row r="520" ht="15.75" customHeight="1">
      <c r="A520" s="336"/>
      <c r="B520" s="336"/>
      <c r="C520" s="336"/>
      <c r="D520" s="336"/>
      <c r="E520" s="336"/>
      <c r="F520" s="336"/>
      <c r="G520" s="336"/>
      <c r="H520" s="336"/>
      <c r="I520" s="336"/>
      <c r="J520" s="336"/>
      <c r="K520" s="336"/>
      <c r="L520" s="336"/>
      <c r="M520" s="336"/>
      <c r="N520" s="336"/>
      <c r="O520" s="336"/>
      <c r="P520" s="336"/>
      <c r="Q520" s="336"/>
    </row>
    <row r="521" ht="15.75" customHeight="1">
      <c r="A521" s="336"/>
      <c r="B521" s="336"/>
      <c r="C521" s="336"/>
      <c r="D521" s="336"/>
      <c r="E521" s="336"/>
      <c r="F521" s="336"/>
      <c r="G521" s="336"/>
      <c r="H521" s="336"/>
      <c r="I521" s="336"/>
      <c r="J521" s="336"/>
      <c r="K521" s="336"/>
      <c r="L521" s="336"/>
      <c r="M521" s="336"/>
      <c r="N521" s="336"/>
      <c r="O521" s="336"/>
      <c r="P521" s="336"/>
      <c r="Q521" s="336"/>
    </row>
    <row r="522" ht="15.75" customHeight="1">
      <c r="A522" s="336"/>
      <c r="B522" s="336"/>
      <c r="C522" s="336"/>
      <c r="D522" s="336"/>
      <c r="E522" s="336"/>
      <c r="F522" s="336"/>
      <c r="G522" s="336"/>
      <c r="H522" s="336"/>
      <c r="I522" s="336"/>
      <c r="J522" s="336"/>
      <c r="K522" s="336"/>
      <c r="L522" s="336"/>
      <c r="M522" s="336"/>
      <c r="N522" s="336"/>
      <c r="O522" s="336"/>
      <c r="P522" s="336"/>
      <c r="Q522" s="336"/>
    </row>
    <row r="523" ht="15.75" customHeight="1">
      <c r="A523" s="336"/>
      <c r="B523" s="336"/>
      <c r="C523" s="336"/>
      <c r="D523" s="336"/>
      <c r="E523" s="336"/>
      <c r="F523" s="336"/>
      <c r="G523" s="336"/>
      <c r="H523" s="336"/>
      <c r="I523" s="336"/>
      <c r="J523" s="336"/>
      <c r="K523" s="336"/>
      <c r="L523" s="336"/>
      <c r="M523" s="336"/>
      <c r="N523" s="336"/>
      <c r="O523" s="336"/>
      <c r="P523" s="336"/>
      <c r="Q523" s="336"/>
    </row>
    <row r="524" ht="15.75" customHeight="1">
      <c r="A524" s="336"/>
      <c r="B524" s="336"/>
      <c r="C524" s="336"/>
      <c r="D524" s="336"/>
      <c r="E524" s="336"/>
      <c r="F524" s="336"/>
      <c r="G524" s="336"/>
      <c r="H524" s="336"/>
      <c r="I524" s="336"/>
      <c r="J524" s="336"/>
      <c r="K524" s="336"/>
      <c r="L524" s="336"/>
      <c r="M524" s="336"/>
      <c r="N524" s="336"/>
      <c r="O524" s="336"/>
      <c r="P524" s="336"/>
      <c r="Q524" s="336"/>
    </row>
    <row r="525" ht="15.75" customHeight="1">
      <c r="A525" s="336"/>
      <c r="B525" s="336"/>
      <c r="C525" s="336"/>
      <c r="D525" s="336"/>
      <c r="E525" s="336"/>
      <c r="F525" s="336"/>
      <c r="G525" s="336"/>
      <c r="H525" s="336"/>
      <c r="I525" s="336"/>
      <c r="J525" s="336"/>
      <c r="K525" s="336"/>
      <c r="L525" s="336"/>
      <c r="M525" s="336"/>
      <c r="N525" s="336"/>
      <c r="O525" s="336"/>
      <c r="P525" s="336"/>
      <c r="Q525" s="336"/>
    </row>
    <row r="526" ht="15.75" customHeight="1">
      <c r="A526" s="336"/>
      <c r="B526" s="336"/>
      <c r="C526" s="336"/>
      <c r="D526" s="336"/>
      <c r="E526" s="336"/>
      <c r="F526" s="336"/>
      <c r="G526" s="336"/>
      <c r="H526" s="336"/>
      <c r="I526" s="336"/>
      <c r="J526" s="336"/>
      <c r="K526" s="336"/>
      <c r="L526" s="336"/>
      <c r="M526" s="336"/>
      <c r="N526" s="336"/>
      <c r="O526" s="336"/>
      <c r="P526" s="336"/>
      <c r="Q526" s="336"/>
    </row>
    <row r="527" ht="15.75" customHeight="1">
      <c r="A527" s="336"/>
      <c r="B527" s="336"/>
      <c r="C527" s="336"/>
      <c r="D527" s="336"/>
      <c r="E527" s="336"/>
      <c r="F527" s="336"/>
      <c r="G527" s="336"/>
      <c r="H527" s="336"/>
      <c r="I527" s="336"/>
      <c r="J527" s="336"/>
      <c r="K527" s="336"/>
      <c r="L527" s="336"/>
      <c r="M527" s="336"/>
      <c r="N527" s="336"/>
      <c r="O527" s="336"/>
      <c r="P527" s="336"/>
      <c r="Q527" s="336"/>
    </row>
    <row r="528" ht="15.75" customHeight="1">
      <c r="A528" s="336"/>
      <c r="B528" s="336"/>
      <c r="C528" s="336"/>
      <c r="D528" s="336"/>
      <c r="E528" s="336"/>
      <c r="F528" s="336"/>
      <c r="G528" s="336"/>
      <c r="H528" s="336"/>
      <c r="I528" s="336"/>
      <c r="J528" s="336"/>
      <c r="K528" s="336"/>
      <c r="L528" s="336"/>
      <c r="M528" s="336"/>
      <c r="N528" s="336"/>
      <c r="O528" s="336"/>
      <c r="P528" s="336"/>
      <c r="Q528" s="336"/>
    </row>
    <row r="529" ht="15.75" customHeight="1">
      <c r="A529" s="336"/>
      <c r="B529" s="336"/>
      <c r="C529" s="336"/>
      <c r="D529" s="336"/>
      <c r="E529" s="336"/>
      <c r="F529" s="336"/>
      <c r="G529" s="336"/>
      <c r="H529" s="336"/>
      <c r="I529" s="336"/>
      <c r="J529" s="336"/>
      <c r="K529" s="336"/>
      <c r="L529" s="336"/>
      <c r="M529" s="336"/>
      <c r="N529" s="336"/>
      <c r="O529" s="336"/>
      <c r="P529" s="336"/>
      <c r="Q529" s="336"/>
    </row>
    <row r="530" ht="15.75" customHeight="1">
      <c r="A530" s="336"/>
      <c r="B530" s="336"/>
      <c r="C530" s="336"/>
      <c r="D530" s="336"/>
      <c r="E530" s="336"/>
      <c r="F530" s="336"/>
      <c r="G530" s="336"/>
      <c r="H530" s="336"/>
      <c r="I530" s="336"/>
      <c r="J530" s="336"/>
      <c r="K530" s="336"/>
      <c r="L530" s="336"/>
      <c r="M530" s="336"/>
      <c r="N530" s="336"/>
      <c r="O530" s="336"/>
      <c r="P530" s="336"/>
      <c r="Q530" s="336"/>
    </row>
    <row r="531" ht="15.75" customHeight="1">
      <c r="A531" s="336"/>
      <c r="B531" s="336"/>
      <c r="C531" s="336"/>
      <c r="D531" s="336"/>
      <c r="E531" s="336"/>
      <c r="F531" s="336"/>
      <c r="G531" s="336"/>
      <c r="H531" s="336"/>
      <c r="I531" s="336"/>
      <c r="J531" s="336"/>
      <c r="K531" s="336"/>
      <c r="L531" s="336"/>
      <c r="M531" s="336"/>
      <c r="N531" s="336"/>
      <c r="O531" s="336"/>
      <c r="P531" s="336"/>
      <c r="Q531" s="336"/>
    </row>
    <row r="532" ht="15.75" customHeight="1">
      <c r="A532" s="336"/>
      <c r="B532" s="336"/>
      <c r="C532" s="336"/>
      <c r="D532" s="336"/>
      <c r="E532" s="336"/>
      <c r="F532" s="336"/>
      <c r="G532" s="336"/>
      <c r="H532" s="336"/>
      <c r="I532" s="336"/>
      <c r="J532" s="336"/>
      <c r="K532" s="336"/>
      <c r="L532" s="336"/>
      <c r="M532" s="336"/>
      <c r="N532" s="336"/>
      <c r="O532" s="336"/>
      <c r="P532" s="336"/>
      <c r="Q532" s="336"/>
    </row>
    <row r="533" ht="15.75" customHeight="1">
      <c r="A533" s="336"/>
      <c r="B533" s="336"/>
      <c r="C533" s="336"/>
      <c r="D533" s="336"/>
      <c r="E533" s="336"/>
      <c r="F533" s="336"/>
      <c r="G533" s="336"/>
      <c r="H533" s="336"/>
      <c r="I533" s="336"/>
      <c r="J533" s="336"/>
      <c r="K533" s="336"/>
      <c r="L533" s="336"/>
      <c r="M533" s="336"/>
      <c r="N533" s="336"/>
      <c r="O533" s="336"/>
      <c r="P533" s="336"/>
      <c r="Q533" s="336"/>
    </row>
    <row r="534" ht="15.75" customHeight="1">
      <c r="A534" s="336"/>
      <c r="B534" s="336"/>
      <c r="C534" s="336"/>
      <c r="D534" s="336"/>
      <c r="E534" s="336"/>
      <c r="F534" s="336"/>
      <c r="G534" s="336"/>
      <c r="H534" s="336"/>
      <c r="I534" s="336"/>
      <c r="J534" s="336"/>
      <c r="K534" s="336"/>
      <c r="L534" s="336"/>
      <c r="M534" s="336"/>
      <c r="N534" s="336"/>
      <c r="O534" s="336"/>
      <c r="P534" s="336"/>
      <c r="Q534" s="336"/>
    </row>
    <row r="535" ht="15.75" customHeight="1">
      <c r="A535" s="336"/>
      <c r="B535" s="336"/>
      <c r="C535" s="336"/>
      <c r="D535" s="336"/>
      <c r="E535" s="336"/>
      <c r="F535" s="336"/>
      <c r="G535" s="336"/>
      <c r="H535" s="336"/>
      <c r="I535" s="336"/>
      <c r="J535" s="336"/>
      <c r="K535" s="336"/>
      <c r="L535" s="336"/>
      <c r="M535" s="336"/>
      <c r="N535" s="336"/>
      <c r="O535" s="336"/>
      <c r="P535" s="336"/>
      <c r="Q535" s="336"/>
    </row>
    <row r="536" ht="15.75" customHeight="1">
      <c r="A536" s="336"/>
      <c r="B536" s="336"/>
      <c r="C536" s="336"/>
      <c r="D536" s="336"/>
      <c r="E536" s="336"/>
      <c r="F536" s="336"/>
      <c r="G536" s="336"/>
      <c r="H536" s="336"/>
      <c r="I536" s="336"/>
      <c r="J536" s="336"/>
      <c r="K536" s="336"/>
      <c r="L536" s="336"/>
      <c r="M536" s="336"/>
      <c r="N536" s="336"/>
      <c r="O536" s="336"/>
      <c r="P536" s="336"/>
      <c r="Q536" s="336"/>
    </row>
    <row r="537" ht="15.75" customHeight="1">
      <c r="A537" s="336"/>
      <c r="B537" s="336"/>
      <c r="C537" s="336"/>
      <c r="D537" s="336"/>
      <c r="E537" s="336"/>
      <c r="F537" s="336"/>
      <c r="G537" s="336"/>
      <c r="H537" s="336"/>
      <c r="I537" s="336"/>
      <c r="J537" s="336"/>
      <c r="K537" s="336"/>
      <c r="L537" s="336"/>
      <c r="M537" s="336"/>
      <c r="N537" s="336"/>
      <c r="O537" s="336"/>
      <c r="P537" s="336"/>
      <c r="Q537" s="336"/>
    </row>
    <row r="538" ht="15.75" customHeight="1">
      <c r="A538" s="336"/>
      <c r="B538" s="336"/>
      <c r="C538" s="336"/>
      <c r="D538" s="336"/>
      <c r="E538" s="336"/>
      <c r="F538" s="336"/>
      <c r="G538" s="336"/>
      <c r="H538" s="336"/>
      <c r="I538" s="336"/>
      <c r="J538" s="336"/>
      <c r="K538" s="336"/>
      <c r="L538" s="336"/>
      <c r="M538" s="336"/>
      <c r="N538" s="336"/>
      <c r="O538" s="336"/>
      <c r="P538" s="336"/>
      <c r="Q538" s="336"/>
    </row>
    <row r="539" ht="15.75" customHeight="1">
      <c r="A539" s="336"/>
      <c r="B539" s="336"/>
      <c r="C539" s="336"/>
      <c r="D539" s="336"/>
      <c r="E539" s="336"/>
      <c r="F539" s="336"/>
      <c r="G539" s="336"/>
      <c r="H539" s="336"/>
      <c r="I539" s="336"/>
      <c r="J539" s="336"/>
      <c r="K539" s="336"/>
      <c r="L539" s="336"/>
      <c r="M539" s="336"/>
      <c r="N539" s="336"/>
      <c r="O539" s="336"/>
      <c r="P539" s="336"/>
      <c r="Q539" s="336"/>
    </row>
    <row r="540" ht="15.75" customHeight="1">
      <c r="A540" s="336"/>
      <c r="B540" s="336"/>
      <c r="C540" s="336"/>
      <c r="D540" s="336"/>
      <c r="E540" s="336"/>
      <c r="F540" s="336"/>
      <c r="G540" s="336"/>
      <c r="H540" s="336"/>
      <c r="I540" s="336"/>
      <c r="J540" s="336"/>
      <c r="K540" s="336"/>
      <c r="L540" s="336"/>
      <c r="M540" s="336"/>
      <c r="N540" s="336"/>
      <c r="O540" s="336"/>
      <c r="P540" s="336"/>
      <c r="Q540" s="336"/>
    </row>
    <row r="541" ht="15.75" customHeight="1">
      <c r="A541" s="336"/>
      <c r="B541" s="336"/>
      <c r="C541" s="336"/>
      <c r="D541" s="336"/>
      <c r="E541" s="336"/>
      <c r="F541" s="336"/>
      <c r="G541" s="336"/>
      <c r="H541" s="336"/>
      <c r="I541" s="336"/>
      <c r="J541" s="336"/>
      <c r="K541" s="336"/>
      <c r="L541" s="336"/>
      <c r="M541" s="336"/>
      <c r="N541" s="336"/>
      <c r="O541" s="336"/>
      <c r="P541" s="336"/>
      <c r="Q541" s="336"/>
    </row>
    <row r="542" ht="15.75" customHeight="1">
      <c r="A542" s="336"/>
      <c r="B542" s="336"/>
      <c r="C542" s="336"/>
      <c r="D542" s="336"/>
      <c r="E542" s="336"/>
      <c r="F542" s="336"/>
      <c r="G542" s="336"/>
      <c r="H542" s="336"/>
      <c r="I542" s="336"/>
      <c r="J542" s="336"/>
      <c r="K542" s="336"/>
      <c r="L542" s="336"/>
      <c r="M542" s="336"/>
      <c r="N542" s="336"/>
      <c r="O542" s="336"/>
      <c r="P542" s="336"/>
      <c r="Q542" s="336"/>
    </row>
    <row r="543" ht="15.75" customHeight="1">
      <c r="A543" s="336"/>
      <c r="B543" s="336"/>
      <c r="C543" s="336"/>
      <c r="D543" s="336"/>
      <c r="E543" s="336"/>
      <c r="F543" s="336"/>
      <c r="G543" s="336"/>
      <c r="H543" s="336"/>
      <c r="I543" s="336"/>
      <c r="J543" s="336"/>
      <c r="K543" s="336"/>
      <c r="L543" s="336"/>
      <c r="M543" s="336"/>
      <c r="N543" s="336"/>
      <c r="O543" s="336"/>
      <c r="P543" s="336"/>
      <c r="Q543" s="336"/>
    </row>
    <row r="544" ht="15.75" customHeight="1">
      <c r="A544" s="336"/>
      <c r="B544" s="336"/>
      <c r="C544" s="336"/>
      <c r="D544" s="336"/>
      <c r="E544" s="336"/>
      <c r="F544" s="336"/>
      <c r="G544" s="336"/>
      <c r="H544" s="336"/>
      <c r="I544" s="336"/>
      <c r="J544" s="336"/>
      <c r="K544" s="336"/>
      <c r="L544" s="336"/>
      <c r="M544" s="336"/>
      <c r="N544" s="336"/>
      <c r="O544" s="336"/>
      <c r="P544" s="336"/>
      <c r="Q544" s="336"/>
    </row>
    <row r="545" ht="15.75" customHeight="1">
      <c r="A545" s="336"/>
      <c r="B545" s="336"/>
      <c r="C545" s="336"/>
      <c r="D545" s="336"/>
      <c r="E545" s="336"/>
      <c r="F545" s="336"/>
      <c r="G545" s="336"/>
      <c r="H545" s="336"/>
      <c r="I545" s="336"/>
      <c r="J545" s="336"/>
      <c r="K545" s="336"/>
      <c r="L545" s="336"/>
      <c r="M545" s="336"/>
      <c r="N545" s="336"/>
      <c r="O545" s="336"/>
      <c r="P545" s="336"/>
      <c r="Q545" s="336"/>
    </row>
    <row r="546" ht="15.75" customHeight="1">
      <c r="A546" s="336"/>
      <c r="B546" s="336"/>
      <c r="C546" s="336"/>
      <c r="D546" s="336"/>
      <c r="E546" s="336"/>
      <c r="F546" s="336"/>
      <c r="G546" s="336"/>
      <c r="H546" s="336"/>
      <c r="I546" s="336"/>
      <c r="J546" s="336"/>
      <c r="K546" s="336"/>
      <c r="L546" s="336"/>
      <c r="M546" s="336"/>
      <c r="N546" s="336"/>
      <c r="O546" s="336"/>
      <c r="P546" s="336"/>
      <c r="Q546" s="336"/>
    </row>
    <row r="547" ht="15.75" customHeight="1">
      <c r="A547" s="336"/>
      <c r="B547" s="336"/>
      <c r="C547" s="336"/>
      <c r="D547" s="336"/>
      <c r="E547" s="336"/>
      <c r="F547" s="336"/>
      <c r="G547" s="336"/>
      <c r="H547" s="336"/>
      <c r="I547" s="336"/>
      <c r="J547" s="336"/>
      <c r="K547" s="336"/>
      <c r="L547" s="336"/>
      <c r="M547" s="336"/>
      <c r="N547" s="336"/>
      <c r="O547" s="336"/>
      <c r="P547" s="336"/>
      <c r="Q547" s="336"/>
    </row>
    <row r="548" ht="15.75" customHeight="1">
      <c r="A548" s="336"/>
      <c r="B548" s="336"/>
      <c r="C548" s="336"/>
      <c r="D548" s="336"/>
      <c r="E548" s="336"/>
      <c r="F548" s="336"/>
      <c r="G548" s="336"/>
      <c r="H548" s="336"/>
      <c r="I548" s="336"/>
      <c r="J548" s="336"/>
      <c r="K548" s="336"/>
      <c r="L548" s="336"/>
      <c r="M548" s="336"/>
      <c r="N548" s="336"/>
      <c r="O548" s="336"/>
      <c r="P548" s="336"/>
      <c r="Q548" s="336"/>
    </row>
    <row r="549" ht="15.75" customHeight="1">
      <c r="A549" s="336"/>
      <c r="B549" s="336"/>
      <c r="C549" s="336"/>
      <c r="D549" s="336"/>
      <c r="E549" s="336"/>
      <c r="F549" s="336"/>
      <c r="G549" s="336"/>
      <c r="H549" s="336"/>
      <c r="I549" s="336"/>
      <c r="J549" s="336"/>
      <c r="K549" s="336"/>
      <c r="L549" s="336"/>
      <c r="M549" s="336"/>
      <c r="N549" s="336"/>
      <c r="O549" s="336"/>
      <c r="P549" s="336"/>
      <c r="Q549" s="336"/>
    </row>
    <row r="550" ht="15.75" customHeight="1">
      <c r="A550" s="336"/>
      <c r="B550" s="336"/>
      <c r="C550" s="336"/>
      <c r="D550" s="336"/>
      <c r="E550" s="336"/>
      <c r="F550" s="336"/>
      <c r="G550" s="336"/>
      <c r="H550" s="336"/>
      <c r="I550" s="336"/>
      <c r="J550" s="336"/>
      <c r="K550" s="336"/>
      <c r="L550" s="336"/>
      <c r="M550" s="336"/>
      <c r="N550" s="336"/>
      <c r="O550" s="336"/>
      <c r="P550" s="336"/>
      <c r="Q550" s="336"/>
    </row>
    <row r="551" ht="15.75" customHeight="1">
      <c r="A551" s="336"/>
      <c r="B551" s="336"/>
      <c r="C551" s="336"/>
      <c r="D551" s="336"/>
      <c r="E551" s="336"/>
      <c r="F551" s="336"/>
      <c r="G551" s="336"/>
      <c r="H551" s="336"/>
      <c r="I551" s="336"/>
      <c r="J551" s="336"/>
      <c r="K551" s="336"/>
      <c r="L551" s="336"/>
      <c r="M551" s="336"/>
      <c r="N551" s="336"/>
      <c r="O551" s="336"/>
      <c r="P551" s="336"/>
      <c r="Q551" s="336"/>
    </row>
    <row r="552" ht="15.75" customHeight="1">
      <c r="A552" s="336"/>
      <c r="B552" s="336"/>
      <c r="C552" s="336"/>
      <c r="D552" s="336"/>
      <c r="E552" s="336"/>
      <c r="F552" s="336"/>
      <c r="G552" s="336"/>
      <c r="H552" s="336"/>
      <c r="I552" s="336"/>
      <c r="J552" s="336"/>
      <c r="K552" s="336"/>
      <c r="L552" s="336"/>
      <c r="M552" s="336"/>
      <c r="N552" s="336"/>
      <c r="O552" s="336"/>
      <c r="P552" s="336"/>
      <c r="Q552" s="336"/>
    </row>
    <row r="553" ht="15.75" customHeight="1">
      <c r="A553" s="336"/>
      <c r="B553" s="336"/>
      <c r="C553" s="336"/>
      <c r="D553" s="336"/>
      <c r="E553" s="336"/>
      <c r="F553" s="336"/>
      <c r="G553" s="336"/>
      <c r="H553" s="336"/>
      <c r="I553" s="336"/>
      <c r="J553" s="336"/>
      <c r="K553" s="336"/>
      <c r="L553" s="336"/>
      <c r="M553" s="336"/>
      <c r="N553" s="336"/>
      <c r="O553" s="336"/>
      <c r="P553" s="336"/>
      <c r="Q553" s="336"/>
    </row>
    <row r="554" ht="15.75" customHeight="1">
      <c r="A554" s="336"/>
      <c r="B554" s="336"/>
      <c r="C554" s="336"/>
      <c r="D554" s="336"/>
      <c r="E554" s="336"/>
      <c r="F554" s="336"/>
      <c r="G554" s="336"/>
      <c r="H554" s="336"/>
      <c r="I554" s="336"/>
      <c r="J554" s="336"/>
      <c r="K554" s="336"/>
      <c r="L554" s="336"/>
      <c r="M554" s="336"/>
      <c r="N554" s="336"/>
      <c r="O554" s="336"/>
      <c r="P554" s="336"/>
      <c r="Q554" s="336"/>
    </row>
    <row r="555" ht="15.75" customHeight="1">
      <c r="A555" s="336"/>
      <c r="B555" s="336"/>
      <c r="C555" s="336"/>
      <c r="D555" s="336"/>
      <c r="E555" s="336"/>
      <c r="F555" s="336"/>
      <c r="G555" s="336"/>
      <c r="H555" s="336"/>
      <c r="I555" s="336"/>
      <c r="J555" s="336"/>
      <c r="K555" s="336"/>
      <c r="L555" s="336"/>
      <c r="M555" s="336"/>
      <c r="N555" s="336"/>
      <c r="O555" s="336"/>
      <c r="P555" s="336"/>
      <c r="Q555" s="336"/>
    </row>
    <row r="556" ht="15.75" customHeight="1">
      <c r="A556" s="336"/>
      <c r="B556" s="336"/>
      <c r="C556" s="336"/>
      <c r="D556" s="336"/>
      <c r="E556" s="336"/>
      <c r="F556" s="336"/>
      <c r="G556" s="336"/>
      <c r="H556" s="336"/>
      <c r="I556" s="336"/>
      <c r="J556" s="336"/>
      <c r="K556" s="336"/>
      <c r="L556" s="336"/>
      <c r="M556" s="336"/>
      <c r="N556" s="336"/>
      <c r="O556" s="336"/>
      <c r="P556" s="336"/>
      <c r="Q556" s="336"/>
    </row>
    <row r="557" ht="15.75" customHeight="1">
      <c r="A557" s="336"/>
      <c r="B557" s="336"/>
      <c r="C557" s="336"/>
      <c r="D557" s="336"/>
      <c r="E557" s="336"/>
      <c r="F557" s="336"/>
      <c r="G557" s="336"/>
      <c r="H557" s="336"/>
      <c r="I557" s="336"/>
      <c r="J557" s="336"/>
      <c r="K557" s="336"/>
      <c r="L557" s="336"/>
      <c r="M557" s="336"/>
      <c r="N557" s="336"/>
      <c r="O557" s="336"/>
      <c r="P557" s="336"/>
      <c r="Q557" s="336"/>
    </row>
    <row r="558" ht="15.75" customHeight="1">
      <c r="A558" s="336"/>
      <c r="B558" s="336"/>
      <c r="C558" s="336"/>
      <c r="D558" s="336"/>
      <c r="E558" s="336"/>
      <c r="F558" s="336"/>
      <c r="G558" s="336"/>
      <c r="H558" s="336"/>
      <c r="I558" s="336"/>
      <c r="J558" s="336"/>
      <c r="K558" s="336"/>
      <c r="L558" s="336"/>
      <c r="M558" s="336"/>
      <c r="N558" s="336"/>
      <c r="O558" s="336"/>
      <c r="P558" s="336"/>
      <c r="Q558" s="336"/>
    </row>
    <row r="559" ht="15.75" customHeight="1">
      <c r="A559" s="336"/>
      <c r="B559" s="336"/>
      <c r="C559" s="336"/>
      <c r="D559" s="336"/>
      <c r="E559" s="336"/>
      <c r="F559" s="336"/>
      <c r="G559" s="336"/>
      <c r="H559" s="336"/>
      <c r="I559" s="336"/>
      <c r="J559" s="336"/>
      <c r="K559" s="336"/>
      <c r="L559" s="336"/>
      <c r="M559" s="336"/>
      <c r="N559" s="336"/>
      <c r="O559" s="336"/>
      <c r="P559" s="336"/>
      <c r="Q559" s="336"/>
    </row>
    <row r="560" ht="15.75" customHeight="1">
      <c r="A560" s="336"/>
      <c r="B560" s="336"/>
      <c r="C560" s="336"/>
      <c r="D560" s="336"/>
      <c r="E560" s="336"/>
      <c r="F560" s="336"/>
      <c r="G560" s="336"/>
      <c r="H560" s="336"/>
      <c r="I560" s="336"/>
      <c r="J560" s="336"/>
      <c r="K560" s="336"/>
      <c r="L560" s="336"/>
      <c r="M560" s="336"/>
      <c r="N560" s="336"/>
      <c r="O560" s="336"/>
      <c r="P560" s="336"/>
      <c r="Q560" s="336"/>
    </row>
    <row r="561" ht="15.75" customHeight="1">
      <c r="A561" s="336"/>
      <c r="B561" s="336"/>
      <c r="C561" s="336"/>
      <c r="D561" s="336"/>
      <c r="E561" s="336"/>
      <c r="F561" s="336"/>
      <c r="G561" s="336"/>
      <c r="H561" s="336"/>
      <c r="I561" s="336"/>
      <c r="J561" s="336"/>
      <c r="K561" s="336"/>
      <c r="L561" s="336"/>
      <c r="M561" s="336"/>
      <c r="N561" s="336"/>
      <c r="O561" s="336"/>
      <c r="P561" s="336"/>
      <c r="Q561" s="336"/>
    </row>
    <row r="562" ht="15.75" customHeight="1">
      <c r="A562" s="336"/>
      <c r="B562" s="336"/>
      <c r="C562" s="336"/>
      <c r="D562" s="336"/>
      <c r="E562" s="336"/>
      <c r="F562" s="336"/>
      <c r="G562" s="336"/>
      <c r="H562" s="336"/>
      <c r="I562" s="336"/>
      <c r="J562" s="336"/>
      <c r="K562" s="336"/>
      <c r="L562" s="336"/>
      <c r="M562" s="336"/>
      <c r="N562" s="336"/>
      <c r="O562" s="336"/>
      <c r="P562" s="336"/>
      <c r="Q562" s="336"/>
    </row>
    <row r="563" ht="15.75" customHeight="1">
      <c r="A563" s="336"/>
      <c r="B563" s="336"/>
      <c r="C563" s="336"/>
      <c r="D563" s="336"/>
      <c r="E563" s="336"/>
      <c r="F563" s="336"/>
      <c r="G563" s="336"/>
      <c r="H563" s="336"/>
      <c r="I563" s="336"/>
      <c r="J563" s="336"/>
      <c r="K563" s="336"/>
      <c r="L563" s="336"/>
      <c r="M563" s="336"/>
      <c r="N563" s="336"/>
      <c r="O563" s="336"/>
      <c r="P563" s="336"/>
      <c r="Q563" s="336"/>
    </row>
    <row r="564" ht="15.75" customHeight="1">
      <c r="A564" s="336"/>
      <c r="B564" s="336"/>
      <c r="C564" s="336"/>
      <c r="D564" s="336"/>
      <c r="E564" s="336"/>
      <c r="F564" s="336"/>
      <c r="G564" s="336"/>
      <c r="H564" s="336"/>
      <c r="I564" s="336"/>
      <c r="J564" s="336"/>
      <c r="K564" s="336"/>
      <c r="L564" s="336"/>
      <c r="M564" s="336"/>
      <c r="N564" s="336"/>
      <c r="O564" s="336"/>
      <c r="P564" s="336"/>
      <c r="Q564" s="336"/>
    </row>
    <row r="565" ht="15.75" customHeight="1">
      <c r="A565" s="336"/>
      <c r="B565" s="336"/>
      <c r="C565" s="336"/>
      <c r="D565" s="336"/>
      <c r="E565" s="336"/>
      <c r="F565" s="336"/>
      <c r="G565" s="336"/>
      <c r="H565" s="336"/>
      <c r="I565" s="336"/>
      <c r="J565" s="336"/>
      <c r="K565" s="336"/>
      <c r="L565" s="336"/>
      <c r="M565" s="336"/>
      <c r="N565" s="336"/>
      <c r="O565" s="336"/>
      <c r="P565" s="336"/>
      <c r="Q565" s="336"/>
    </row>
    <row r="566" ht="15.75" customHeight="1">
      <c r="A566" s="336"/>
      <c r="B566" s="336"/>
      <c r="C566" s="336"/>
      <c r="D566" s="336"/>
      <c r="E566" s="336"/>
      <c r="F566" s="336"/>
      <c r="G566" s="336"/>
      <c r="H566" s="336"/>
      <c r="I566" s="336"/>
      <c r="J566" s="336"/>
      <c r="K566" s="336"/>
      <c r="L566" s="336"/>
      <c r="M566" s="336"/>
      <c r="N566" s="336"/>
      <c r="O566" s="336"/>
      <c r="P566" s="336"/>
      <c r="Q566" s="336"/>
    </row>
    <row r="567" ht="15.75" customHeight="1">
      <c r="A567" s="336"/>
      <c r="B567" s="336"/>
      <c r="C567" s="336"/>
      <c r="D567" s="336"/>
      <c r="E567" s="336"/>
      <c r="F567" s="336"/>
      <c r="G567" s="336"/>
      <c r="H567" s="336"/>
      <c r="I567" s="336"/>
      <c r="J567" s="336"/>
      <c r="K567" s="336"/>
      <c r="L567" s="336"/>
      <c r="M567" s="336"/>
      <c r="N567" s="336"/>
      <c r="O567" s="336"/>
      <c r="P567" s="336"/>
      <c r="Q567" s="336"/>
    </row>
    <row r="568" ht="15.75" customHeight="1">
      <c r="A568" s="336"/>
      <c r="B568" s="336"/>
      <c r="C568" s="336"/>
      <c r="D568" s="336"/>
      <c r="E568" s="336"/>
      <c r="F568" s="336"/>
      <c r="G568" s="336"/>
      <c r="H568" s="336"/>
      <c r="I568" s="336"/>
      <c r="J568" s="336"/>
      <c r="K568" s="336"/>
      <c r="L568" s="336"/>
      <c r="M568" s="336"/>
      <c r="N568" s="336"/>
      <c r="O568" s="336"/>
      <c r="P568" s="336"/>
      <c r="Q568" s="336"/>
    </row>
    <row r="569" ht="15.75" customHeight="1">
      <c r="A569" s="336"/>
      <c r="B569" s="336"/>
      <c r="C569" s="336"/>
      <c r="D569" s="336"/>
      <c r="E569" s="336"/>
      <c r="F569" s="336"/>
      <c r="G569" s="336"/>
      <c r="H569" s="336"/>
      <c r="I569" s="336"/>
      <c r="J569" s="336"/>
      <c r="K569" s="336"/>
      <c r="L569" s="336"/>
      <c r="M569" s="336"/>
      <c r="N569" s="336"/>
      <c r="O569" s="336"/>
      <c r="P569" s="336"/>
      <c r="Q569" s="336"/>
    </row>
    <row r="570" ht="15.75" customHeight="1">
      <c r="A570" s="336"/>
      <c r="B570" s="336"/>
      <c r="C570" s="336"/>
      <c r="D570" s="336"/>
      <c r="E570" s="336"/>
      <c r="F570" s="336"/>
      <c r="G570" s="336"/>
      <c r="H570" s="336"/>
      <c r="I570" s="336"/>
      <c r="J570" s="336"/>
      <c r="K570" s="336"/>
      <c r="L570" s="336"/>
      <c r="M570" s="336"/>
      <c r="N570" s="336"/>
      <c r="O570" s="336"/>
      <c r="P570" s="336"/>
      <c r="Q570" s="336"/>
    </row>
    <row r="571" ht="15.75" customHeight="1">
      <c r="A571" s="336"/>
      <c r="B571" s="336"/>
      <c r="C571" s="336"/>
      <c r="D571" s="336"/>
      <c r="E571" s="336"/>
      <c r="F571" s="336"/>
      <c r="G571" s="336"/>
      <c r="H571" s="336"/>
      <c r="I571" s="336"/>
      <c r="J571" s="336"/>
      <c r="K571" s="336"/>
      <c r="L571" s="336"/>
      <c r="M571" s="336"/>
      <c r="N571" s="336"/>
      <c r="O571" s="336"/>
      <c r="P571" s="336"/>
      <c r="Q571" s="336"/>
    </row>
    <row r="572" ht="15.75" customHeight="1">
      <c r="A572" s="336"/>
      <c r="B572" s="336"/>
      <c r="C572" s="336"/>
      <c r="D572" s="336"/>
      <c r="E572" s="336"/>
      <c r="F572" s="336"/>
      <c r="G572" s="336"/>
      <c r="H572" s="336"/>
      <c r="I572" s="336"/>
      <c r="J572" s="336"/>
      <c r="K572" s="336"/>
      <c r="L572" s="336"/>
      <c r="M572" s="336"/>
      <c r="N572" s="336"/>
      <c r="O572" s="336"/>
      <c r="P572" s="336"/>
      <c r="Q572" s="336"/>
    </row>
    <row r="573" ht="15.75" customHeight="1">
      <c r="A573" s="336"/>
      <c r="B573" s="336"/>
      <c r="C573" s="336"/>
      <c r="D573" s="336"/>
      <c r="E573" s="336"/>
      <c r="F573" s="336"/>
      <c r="G573" s="336"/>
      <c r="H573" s="336"/>
      <c r="I573" s="336"/>
      <c r="J573" s="336"/>
      <c r="K573" s="336"/>
      <c r="L573" s="336"/>
      <c r="M573" s="336"/>
      <c r="N573" s="336"/>
      <c r="O573" s="336"/>
      <c r="P573" s="336"/>
      <c r="Q573" s="336"/>
    </row>
    <row r="574" ht="15.75" customHeight="1">
      <c r="A574" s="336"/>
      <c r="B574" s="336"/>
      <c r="C574" s="336"/>
      <c r="D574" s="336"/>
      <c r="E574" s="336"/>
      <c r="F574" s="336"/>
      <c r="G574" s="336"/>
      <c r="H574" s="336"/>
      <c r="I574" s="336"/>
      <c r="J574" s="336"/>
      <c r="K574" s="336"/>
      <c r="L574" s="336"/>
      <c r="M574" s="336"/>
      <c r="N574" s="336"/>
      <c r="O574" s="336"/>
      <c r="P574" s="336"/>
      <c r="Q574" s="336"/>
    </row>
    <row r="575" ht="15.75" customHeight="1">
      <c r="A575" s="336"/>
      <c r="B575" s="336"/>
      <c r="C575" s="336"/>
      <c r="D575" s="336"/>
      <c r="E575" s="336"/>
      <c r="F575" s="336"/>
      <c r="G575" s="336"/>
      <c r="H575" s="336"/>
      <c r="I575" s="336"/>
      <c r="J575" s="336"/>
      <c r="K575" s="336"/>
      <c r="L575" s="336"/>
      <c r="M575" s="336"/>
      <c r="N575" s="336"/>
      <c r="O575" s="336"/>
      <c r="P575" s="336"/>
      <c r="Q575" s="336"/>
    </row>
    <row r="576" ht="15.75" customHeight="1">
      <c r="A576" s="336"/>
      <c r="B576" s="336"/>
      <c r="C576" s="336"/>
      <c r="D576" s="336"/>
      <c r="E576" s="336"/>
      <c r="F576" s="336"/>
      <c r="G576" s="336"/>
      <c r="H576" s="336"/>
      <c r="I576" s="336"/>
      <c r="J576" s="336"/>
      <c r="K576" s="336"/>
      <c r="L576" s="336"/>
      <c r="M576" s="336"/>
      <c r="N576" s="336"/>
      <c r="O576" s="336"/>
      <c r="P576" s="336"/>
      <c r="Q576" s="336"/>
    </row>
    <row r="577" ht="15.75" customHeight="1">
      <c r="A577" s="336"/>
      <c r="B577" s="336"/>
      <c r="C577" s="336"/>
      <c r="D577" s="336"/>
      <c r="E577" s="336"/>
      <c r="F577" s="336"/>
      <c r="G577" s="336"/>
      <c r="H577" s="336"/>
      <c r="I577" s="336"/>
      <c r="J577" s="336"/>
      <c r="K577" s="336"/>
      <c r="L577" s="336"/>
      <c r="M577" s="336"/>
      <c r="N577" s="336"/>
      <c r="O577" s="336"/>
      <c r="P577" s="336"/>
      <c r="Q577" s="336"/>
    </row>
    <row r="578" ht="15.75" customHeight="1">
      <c r="A578" s="336"/>
      <c r="B578" s="336"/>
      <c r="C578" s="336"/>
      <c r="D578" s="336"/>
      <c r="E578" s="336"/>
      <c r="F578" s="336"/>
      <c r="G578" s="336"/>
      <c r="H578" s="336"/>
      <c r="I578" s="336"/>
      <c r="J578" s="336"/>
      <c r="K578" s="336"/>
      <c r="L578" s="336"/>
      <c r="M578" s="336"/>
      <c r="N578" s="336"/>
      <c r="O578" s="336"/>
      <c r="P578" s="336"/>
      <c r="Q578" s="336"/>
    </row>
    <row r="579" ht="15.75" customHeight="1">
      <c r="A579" s="336"/>
      <c r="B579" s="336"/>
      <c r="C579" s="336"/>
      <c r="D579" s="336"/>
      <c r="E579" s="336"/>
      <c r="F579" s="336"/>
      <c r="G579" s="336"/>
      <c r="H579" s="336"/>
      <c r="I579" s="336"/>
      <c r="J579" s="336"/>
      <c r="K579" s="336"/>
      <c r="L579" s="336"/>
      <c r="M579" s="336"/>
      <c r="N579" s="336"/>
      <c r="O579" s="336"/>
      <c r="P579" s="336"/>
      <c r="Q579" s="336"/>
    </row>
    <row r="580" ht="15.75" customHeight="1">
      <c r="A580" s="336"/>
      <c r="B580" s="336"/>
      <c r="C580" s="336"/>
      <c r="D580" s="336"/>
      <c r="E580" s="336"/>
      <c r="F580" s="336"/>
      <c r="G580" s="336"/>
      <c r="H580" s="336"/>
      <c r="I580" s="336"/>
      <c r="J580" s="336"/>
      <c r="K580" s="336"/>
      <c r="L580" s="336"/>
      <c r="M580" s="336"/>
      <c r="N580" s="336"/>
      <c r="O580" s="336"/>
      <c r="P580" s="336"/>
      <c r="Q580" s="336"/>
    </row>
    <row r="581" ht="15.75" customHeight="1">
      <c r="A581" s="336"/>
      <c r="B581" s="336"/>
      <c r="C581" s="336"/>
      <c r="D581" s="336"/>
      <c r="E581" s="336"/>
      <c r="F581" s="336"/>
      <c r="G581" s="336"/>
      <c r="H581" s="336"/>
      <c r="I581" s="336"/>
      <c r="J581" s="336"/>
      <c r="K581" s="336"/>
      <c r="L581" s="336"/>
      <c r="M581" s="336"/>
      <c r="N581" s="336"/>
      <c r="O581" s="336"/>
      <c r="P581" s="336"/>
      <c r="Q581" s="336"/>
    </row>
    <row r="582" ht="15.75" customHeight="1">
      <c r="A582" s="336"/>
      <c r="B582" s="336"/>
      <c r="C582" s="336"/>
      <c r="D582" s="336"/>
      <c r="E582" s="336"/>
      <c r="F582" s="336"/>
      <c r="G582" s="336"/>
      <c r="H582" s="336"/>
      <c r="I582" s="336"/>
      <c r="J582" s="336"/>
      <c r="K582" s="336"/>
      <c r="L582" s="336"/>
      <c r="M582" s="336"/>
      <c r="N582" s="336"/>
      <c r="O582" s="336"/>
      <c r="P582" s="336"/>
      <c r="Q582" s="336"/>
    </row>
    <row r="583" ht="15.75" customHeight="1">
      <c r="A583" s="336"/>
      <c r="B583" s="336"/>
      <c r="C583" s="336"/>
      <c r="D583" s="336"/>
      <c r="E583" s="336"/>
      <c r="F583" s="336"/>
      <c r="G583" s="336"/>
      <c r="H583" s="336"/>
      <c r="I583" s="336"/>
      <c r="J583" s="336"/>
      <c r="K583" s="336"/>
      <c r="L583" s="336"/>
      <c r="M583" s="336"/>
      <c r="N583" s="336"/>
      <c r="O583" s="336"/>
      <c r="P583" s="336"/>
      <c r="Q583" s="336"/>
    </row>
    <row r="584" ht="15.75" customHeight="1">
      <c r="A584" s="336"/>
      <c r="B584" s="336"/>
      <c r="C584" s="336"/>
      <c r="D584" s="336"/>
      <c r="E584" s="336"/>
      <c r="F584" s="336"/>
      <c r="G584" s="336"/>
      <c r="H584" s="336"/>
      <c r="I584" s="336"/>
      <c r="J584" s="336"/>
      <c r="K584" s="336"/>
      <c r="L584" s="336"/>
      <c r="M584" s="336"/>
      <c r="N584" s="336"/>
      <c r="O584" s="336"/>
      <c r="P584" s="336"/>
      <c r="Q584" s="336"/>
    </row>
    <row r="585" ht="15.75" customHeight="1">
      <c r="A585" s="336"/>
      <c r="B585" s="336"/>
      <c r="C585" s="336"/>
      <c r="D585" s="336"/>
      <c r="E585" s="336"/>
      <c r="F585" s="336"/>
      <c r="G585" s="336"/>
      <c r="H585" s="336"/>
      <c r="I585" s="336"/>
      <c r="J585" s="336"/>
      <c r="K585" s="336"/>
      <c r="L585" s="336"/>
      <c r="M585" s="336"/>
      <c r="N585" s="336"/>
      <c r="O585" s="336"/>
      <c r="P585" s="336"/>
      <c r="Q585" s="336"/>
    </row>
    <row r="586" ht="15.75" customHeight="1">
      <c r="A586" s="336"/>
      <c r="B586" s="336"/>
      <c r="C586" s="336"/>
      <c r="D586" s="336"/>
      <c r="E586" s="336"/>
      <c r="F586" s="336"/>
      <c r="G586" s="336"/>
      <c r="H586" s="336"/>
      <c r="I586" s="336"/>
      <c r="J586" s="336"/>
      <c r="K586" s="336"/>
      <c r="L586" s="336"/>
      <c r="M586" s="336"/>
      <c r="N586" s="336"/>
      <c r="O586" s="336"/>
      <c r="P586" s="336"/>
      <c r="Q586" s="336"/>
    </row>
    <row r="587" ht="15.75" customHeight="1">
      <c r="A587" s="336"/>
      <c r="B587" s="336"/>
      <c r="C587" s="336"/>
      <c r="D587" s="336"/>
      <c r="E587" s="336"/>
      <c r="F587" s="336"/>
      <c r="G587" s="336"/>
      <c r="H587" s="336"/>
      <c r="I587" s="336"/>
      <c r="J587" s="336"/>
      <c r="K587" s="336"/>
      <c r="L587" s="336"/>
      <c r="M587" s="336"/>
      <c r="N587" s="336"/>
      <c r="O587" s="336"/>
      <c r="P587" s="336"/>
      <c r="Q587" s="336"/>
    </row>
    <row r="588" ht="15.75" customHeight="1">
      <c r="A588" s="336"/>
      <c r="B588" s="336"/>
      <c r="C588" s="336"/>
      <c r="D588" s="336"/>
      <c r="E588" s="336"/>
      <c r="F588" s="336"/>
      <c r="G588" s="336"/>
      <c r="H588" s="336"/>
      <c r="I588" s="336"/>
      <c r="J588" s="336"/>
      <c r="K588" s="336"/>
      <c r="L588" s="336"/>
      <c r="M588" s="336"/>
      <c r="N588" s="336"/>
      <c r="O588" s="336"/>
      <c r="P588" s="336"/>
      <c r="Q588" s="336"/>
    </row>
    <row r="589" ht="15.75" customHeight="1">
      <c r="A589" s="336"/>
      <c r="B589" s="336"/>
      <c r="C589" s="336"/>
      <c r="D589" s="336"/>
      <c r="E589" s="336"/>
      <c r="F589" s="336"/>
      <c r="G589" s="336"/>
      <c r="H589" s="336"/>
      <c r="I589" s="336"/>
      <c r="J589" s="336"/>
      <c r="K589" s="336"/>
      <c r="L589" s="336"/>
      <c r="M589" s="336"/>
      <c r="N589" s="336"/>
      <c r="O589" s="336"/>
      <c r="P589" s="336"/>
      <c r="Q589" s="336"/>
    </row>
    <row r="590" ht="15.75" customHeight="1">
      <c r="A590" s="336"/>
      <c r="B590" s="336"/>
      <c r="C590" s="336"/>
      <c r="D590" s="336"/>
      <c r="E590" s="336"/>
      <c r="F590" s="336"/>
      <c r="G590" s="336"/>
      <c r="H590" s="336"/>
      <c r="I590" s="336"/>
      <c r="J590" s="336"/>
      <c r="K590" s="336"/>
      <c r="L590" s="336"/>
      <c r="M590" s="336"/>
      <c r="N590" s="336"/>
      <c r="O590" s="336"/>
      <c r="P590" s="336"/>
      <c r="Q590" s="336"/>
    </row>
    <row r="591" ht="15.75" customHeight="1">
      <c r="A591" s="336"/>
      <c r="B591" s="336"/>
      <c r="C591" s="336"/>
      <c r="D591" s="336"/>
      <c r="E591" s="336"/>
      <c r="F591" s="336"/>
      <c r="G591" s="336"/>
      <c r="H591" s="336"/>
      <c r="I591" s="336"/>
      <c r="J591" s="336"/>
      <c r="K591" s="336"/>
      <c r="L591" s="336"/>
      <c r="M591" s="336"/>
      <c r="N591" s="336"/>
      <c r="O591" s="336"/>
      <c r="P591" s="336"/>
      <c r="Q591" s="336"/>
    </row>
    <row r="592" ht="15.75" customHeight="1">
      <c r="A592" s="336"/>
      <c r="B592" s="336"/>
      <c r="C592" s="336"/>
      <c r="D592" s="336"/>
      <c r="E592" s="336"/>
      <c r="F592" s="336"/>
      <c r="G592" s="336"/>
      <c r="H592" s="336"/>
      <c r="I592" s="336"/>
      <c r="J592" s="336"/>
      <c r="K592" s="336"/>
      <c r="L592" s="336"/>
      <c r="M592" s="336"/>
      <c r="N592" s="336"/>
      <c r="O592" s="336"/>
      <c r="P592" s="336"/>
      <c r="Q592" s="336"/>
    </row>
    <row r="593" ht="15.75" customHeight="1">
      <c r="A593" s="336"/>
      <c r="B593" s="336"/>
      <c r="C593" s="336"/>
      <c r="D593" s="336"/>
      <c r="E593" s="336"/>
      <c r="F593" s="336"/>
      <c r="G593" s="336"/>
      <c r="H593" s="336"/>
      <c r="I593" s="336"/>
      <c r="J593" s="336"/>
      <c r="K593" s="336"/>
      <c r="L593" s="336"/>
      <c r="M593" s="336"/>
      <c r="N593" s="336"/>
      <c r="O593" s="336"/>
      <c r="P593" s="336"/>
      <c r="Q593" s="336"/>
    </row>
    <row r="594" ht="15.75" customHeight="1">
      <c r="A594" s="336"/>
      <c r="B594" s="336"/>
      <c r="C594" s="336"/>
      <c r="D594" s="336"/>
      <c r="E594" s="336"/>
      <c r="F594" s="336"/>
      <c r="G594" s="336"/>
      <c r="H594" s="336"/>
      <c r="I594" s="336"/>
      <c r="J594" s="336"/>
      <c r="K594" s="336"/>
      <c r="L594" s="336"/>
      <c r="M594" s="336"/>
      <c r="N594" s="336"/>
      <c r="O594" s="336"/>
      <c r="P594" s="336"/>
      <c r="Q594" s="336"/>
    </row>
    <row r="595" ht="15.75" customHeight="1">
      <c r="A595" s="336"/>
      <c r="B595" s="336"/>
      <c r="C595" s="336"/>
      <c r="D595" s="336"/>
      <c r="E595" s="336"/>
      <c r="F595" s="336"/>
      <c r="G595" s="336"/>
      <c r="H595" s="336"/>
      <c r="I595" s="336"/>
      <c r="J595" s="336"/>
      <c r="K595" s="336"/>
      <c r="L595" s="336"/>
      <c r="M595" s="336"/>
      <c r="N595" s="336"/>
      <c r="O595" s="336"/>
      <c r="P595" s="336"/>
      <c r="Q595" s="336"/>
    </row>
    <row r="596" ht="15.75" customHeight="1">
      <c r="A596" s="336"/>
      <c r="B596" s="336"/>
      <c r="C596" s="336"/>
      <c r="D596" s="336"/>
      <c r="E596" s="336"/>
      <c r="F596" s="336"/>
      <c r="G596" s="336"/>
      <c r="H596" s="336"/>
      <c r="I596" s="336"/>
      <c r="J596" s="336"/>
      <c r="K596" s="336"/>
      <c r="L596" s="336"/>
      <c r="M596" s="336"/>
      <c r="N596" s="336"/>
      <c r="O596" s="336"/>
      <c r="P596" s="336"/>
      <c r="Q596" s="336"/>
    </row>
    <row r="597" ht="15.75" customHeight="1">
      <c r="A597" s="336"/>
      <c r="B597" s="336"/>
      <c r="C597" s="336"/>
      <c r="D597" s="336"/>
      <c r="E597" s="336"/>
      <c r="F597" s="336"/>
      <c r="G597" s="336"/>
      <c r="H597" s="336"/>
      <c r="I597" s="336"/>
      <c r="J597" s="336"/>
      <c r="K597" s="336"/>
      <c r="L597" s="336"/>
      <c r="M597" s="336"/>
      <c r="N597" s="336"/>
      <c r="O597" s="336"/>
      <c r="P597" s="336"/>
      <c r="Q597" s="336"/>
    </row>
    <row r="598" ht="15.75" customHeight="1">
      <c r="A598" s="336"/>
      <c r="B598" s="336"/>
      <c r="C598" s="336"/>
      <c r="D598" s="336"/>
      <c r="E598" s="336"/>
      <c r="F598" s="336"/>
      <c r="G598" s="336"/>
      <c r="H598" s="336"/>
      <c r="I598" s="336"/>
      <c r="J598" s="336"/>
      <c r="K598" s="336"/>
      <c r="L598" s="336"/>
      <c r="M598" s="336"/>
      <c r="N598" s="336"/>
      <c r="O598" s="336"/>
      <c r="P598" s="336"/>
      <c r="Q598" s="336"/>
    </row>
    <row r="599" ht="15.75" customHeight="1">
      <c r="A599" s="336"/>
      <c r="B599" s="336"/>
      <c r="C599" s="336"/>
      <c r="D599" s="336"/>
      <c r="E599" s="336"/>
      <c r="F599" s="336"/>
      <c r="G599" s="336"/>
      <c r="H599" s="336"/>
      <c r="I599" s="336"/>
      <c r="J599" s="336"/>
      <c r="K599" s="336"/>
      <c r="L599" s="336"/>
      <c r="M599" s="336"/>
      <c r="N599" s="336"/>
      <c r="O599" s="336"/>
      <c r="P599" s="336"/>
      <c r="Q599" s="336"/>
    </row>
    <row r="600" ht="15.75" customHeight="1">
      <c r="A600" s="336"/>
      <c r="B600" s="336"/>
      <c r="C600" s="336"/>
      <c r="D600" s="336"/>
      <c r="E600" s="336"/>
      <c r="F600" s="336"/>
      <c r="G600" s="336"/>
      <c r="H600" s="336"/>
      <c r="I600" s="336"/>
      <c r="J600" s="336"/>
      <c r="K600" s="336"/>
      <c r="L600" s="336"/>
      <c r="M600" s="336"/>
      <c r="N600" s="336"/>
      <c r="O600" s="336"/>
      <c r="P600" s="336"/>
      <c r="Q600" s="336"/>
    </row>
    <row r="601" ht="15.75" customHeight="1">
      <c r="A601" s="336"/>
      <c r="B601" s="336"/>
      <c r="C601" s="336"/>
      <c r="D601" s="336"/>
      <c r="E601" s="336"/>
      <c r="F601" s="336"/>
      <c r="G601" s="336"/>
      <c r="H601" s="336"/>
      <c r="I601" s="336"/>
      <c r="J601" s="336"/>
      <c r="K601" s="336"/>
      <c r="L601" s="336"/>
      <c r="M601" s="336"/>
      <c r="N601" s="336"/>
      <c r="O601" s="336"/>
      <c r="P601" s="336"/>
      <c r="Q601" s="336"/>
    </row>
    <row r="602" ht="15.75" customHeight="1">
      <c r="A602" s="336"/>
      <c r="B602" s="336"/>
      <c r="C602" s="336"/>
      <c r="D602" s="336"/>
      <c r="E602" s="336"/>
      <c r="F602" s="336"/>
      <c r="G602" s="336"/>
      <c r="H602" s="336"/>
      <c r="I602" s="336"/>
      <c r="J602" s="336"/>
      <c r="K602" s="336"/>
      <c r="L602" s="336"/>
      <c r="M602" s="336"/>
      <c r="N602" s="336"/>
      <c r="O602" s="336"/>
      <c r="P602" s="336"/>
      <c r="Q602" s="336"/>
    </row>
    <row r="603" ht="15.75" customHeight="1">
      <c r="A603" s="336"/>
      <c r="B603" s="336"/>
      <c r="C603" s="336"/>
      <c r="D603" s="336"/>
      <c r="E603" s="336"/>
      <c r="F603" s="336"/>
      <c r="G603" s="336"/>
      <c r="H603" s="336"/>
      <c r="I603" s="336"/>
      <c r="J603" s="336"/>
      <c r="K603" s="336"/>
      <c r="L603" s="336"/>
      <c r="M603" s="336"/>
      <c r="N603" s="336"/>
      <c r="O603" s="336"/>
      <c r="P603" s="336"/>
      <c r="Q603" s="336"/>
    </row>
    <row r="604" ht="15.75" customHeight="1">
      <c r="A604" s="336"/>
      <c r="B604" s="336"/>
      <c r="C604" s="336"/>
      <c r="D604" s="336"/>
      <c r="E604" s="336"/>
      <c r="F604" s="336"/>
      <c r="G604" s="336"/>
      <c r="H604" s="336"/>
      <c r="I604" s="336"/>
      <c r="J604" s="336"/>
      <c r="K604" s="336"/>
      <c r="L604" s="336"/>
      <c r="M604" s="336"/>
      <c r="N604" s="336"/>
      <c r="O604" s="336"/>
      <c r="P604" s="336"/>
      <c r="Q604" s="336"/>
    </row>
    <row r="605" ht="15.75" customHeight="1">
      <c r="A605" s="336"/>
      <c r="B605" s="336"/>
      <c r="C605" s="336"/>
      <c r="D605" s="336"/>
      <c r="E605" s="336"/>
      <c r="F605" s="336"/>
      <c r="G605" s="336"/>
      <c r="H605" s="336"/>
      <c r="I605" s="336"/>
      <c r="J605" s="336"/>
      <c r="K605" s="336"/>
      <c r="L605" s="336"/>
      <c r="M605" s="336"/>
      <c r="N605" s="336"/>
      <c r="O605" s="336"/>
      <c r="P605" s="336"/>
      <c r="Q605" s="336"/>
    </row>
    <row r="606" ht="15.75" customHeight="1">
      <c r="A606" s="336"/>
      <c r="B606" s="336"/>
      <c r="C606" s="336"/>
      <c r="D606" s="336"/>
      <c r="E606" s="336"/>
      <c r="F606" s="336"/>
      <c r="G606" s="336"/>
      <c r="H606" s="336"/>
      <c r="I606" s="336"/>
      <c r="J606" s="336"/>
      <c r="K606" s="336"/>
      <c r="L606" s="336"/>
      <c r="M606" s="336"/>
      <c r="N606" s="336"/>
      <c r="O606" s="336"/>
      <c r="P606" s="336"/>
      <c r="Q606" s="336"/>
    </row>
    <row r="607" ht="15.75" customHeight="1">
      <c r="A607" s="336"/>
      <c r="B607" s="336"/>
      <c r="C607" s="336"/>
      <c r="D607" s="336"/>
      <c r="E607" s="336"/>
      <c r="F607" s="336"/>
      <c r="G607" s="336"/>
      <c r="H607" s="336"/>
      <c r="I607" s="336"/>
      <c r="J607" s="336"/>
      <c r="K607" s="336"/>
      <c r="L607" s="336"/>
      <c r="M607" s="336"/>
      <c r="N607" s="336"/>
      <c r="O607" s="336"/>
      <c r="P607" s="336"/>
      <c r="Q607" s="336"/>
    </row>
    <row r="608" ht="15.75" customHeight="1">
      <c r="A608" s="336"/>
      <c r="B608" s="336"/>
      <c r="C608" s="336"/>
      <c r="D608" s="336"/>
      <c r="E608" s="336"/>
      <c r="F608" s="336"/>
      <c r="G608" s="336"/>
      <c r="H608" s="336"/>
      <c r="I608" s="336"/>
      <c r="J608" s="336"/>
      <c r="K608" s="336"/>
      <c r="L608" s="336"/>
      <c r="M608" s="336"/>
      <c r="N608" s="336"/>
      <c r="O608" s="336"/>
      <c r="P608" s="336"/>
      <c r="Q608" s="336"/>
    </row>
    <row r="609" ht="15.75" customHeight="1">
      <c r="A609" s="336"/>
      <c r="B609" s="336"/>
      <c r="C609" s="336"/>
      <c r="D609" s="336"/>
      <c r="E609" s="336"/>
      <c r="F609" s="336"/>
      <c r="G609" s="336"/>
      <c r="H609" s="336"/>
      <c r="I609" s="336"/>
      <c r="J609" s="336"/>
      <c r="K609" s="336"/>
      <c r="L609" s="336"/>
      <c r="M609" s="336"/>
      <c r="N609" s="336"/>
      <c r="O609" s="336"/>
      <c r="P609" s="336"/>
      <c r="Q609" s="336"/>
    </row>
    <row r="610" ht="15.75" customHeight="1">
      <c r="A610" s="336"/>
      <c r="B610" s="336"/>
      <c r="C610" s="336"/>
      <c r="D610" s="336"/>
      <c r="E610" s="336"/>
      <c r="F610" s="336"/>
      <c r="G610" s="336"/>
      <c r="H610" s="336"/>
      <c r="I610" s="336"/>
      <c r="J610" s="336"/>
      <c r="K610" s="336"/>
      <c r="L610" s="336"/>
      <c r="M610" s="336"/>
      <c r="N610" s="336"/>
      <c r="O610" s="336"/>
      <c r="P610" s="336"/>
      <c r="Q610" s="336"/>
    </row>
    <row r="611" ht="15.75" customHeight="1">
      <c r="A611" s="336"/>
      <c r="B611" s="336"/>
      <c r="C611" s="336"/>
      <c r="D611" s="336"/>
      <c r="E611" s="336"/>
      <c r="F611" s="336"/>
      <c r="G611" s="336"/>
      <c r="H611" s="336"/>
      <c r="I611" s="336"/>
      <c r="J611" s="336"/>
      <c r="K611" s="336"/>
      <c r="L611" s="336"/>
      <c r="M611" s="336"/>
      <c r="N611" s="336"/>
      <c r="O611" s="336"/>
      <c r="P611" s="336"/>
      <c r="Q611" s="336"/>
    </row>
    <row r="612" ht="15.75" customHeight="1">
      <c r="A612" s="336"/>
      <c r="B612" s="336"/>
      <c r="C612" s="336"/>
      <c r="D612" s="336"/>
      <c r="E612" s="336"/>
      <c r="F612" s="336"/>
      <c r="G612" s="336"/>
      <c r="H612" s="336"/>
      <c r="I612" s="336"/>
      <c r="J612" s="336"/>
      <c r="K612" s="336"/>
      <c r="L612" s="336"/>
      <c r="M612" s="336"/>
      <c r="N612" s="336"/>
      <c r="O612" s="336"/>
      <c r="P612" s="336"/>
      <c r="Q612" s="336"/>
    </row>
    <row r="613" ht="15.75" customHeight="1">
      <c r="A613" s="336"/>
      <c r="B613" s="336"/>
      <c r="C613" s="336"/>
      <c r="D613" s="336"/>
      <c r="E613" s="336"/>
      <c r="F613" s="336"/>
      <c r="G613" s="336"/>
      <c r="H613" s="336"/>
      <c r="I613" s="336"/>
      <c r="J613" s="336"/>
      <c r="K613" s="336"/>
      <c r="L613" s="336"/>
      <c r="M613" s="336"/>
      <c r="N613" s="336"/>
      <c r="O613" s="336"/>
      <c r="P613" s="336"/>
      <c r="Q613" s="336"/>
    </row>
    <row r="614" ht="15.75" customHeight="1">
      <c r="A614" s="336"/>
      <c r="B614" s="336"/>
      <c r="C614" s="336"/>
      <c r="D614" s="336"/>
      <c r="E614" s="336"/>
      <c r="F614" s="336"/>
      <c r="G614" s="336"/>
      <c r="H614" s="336"/>
      <c r="I614" s="336"/>
      <c r="J614" s="336"/>
      <c r="K614" s="336"/>
      <c r="L614" s="336"/>
      <c r="M614" s="336"/>
      <c r="N614" s="336"/>
      <c r="O614" s="336"/>
      <c r="P614" s="336"/>
      <c r="Q614" s="336"/>
    </row>
    <row r="615" ht="15.75" customHeight="1">
      <c r="A615" s="336"/>
      <c r="B615" s="336"/>
      <c r="C615" s="336"/>
      <c r="D615" s="336"/>
      <c r="E615" s="336"/>
      <c r="F615" s="336"/>
      <c r="G615" s="336"/>
      <c r="H615" s="336"/>
      <c r="I615" s="336"/>
      <c r="J615" s="336"/>
      <c r="K615" s="336"/>
      <c r="L615" s="336"/>
      <c r="M615" s="336"/>
      <c r="N615" s="336"/>
      <c r="O615" s="336"/>
      <c r="P615" s="336"/>
      <c r="Q615" s="336"/>
    </row>
    <row r="616" ht="15.75" customHeight="1">
      <c r="A616" s="336"/>
      <c r="B616" s="336"/>
      <c r="C616" s="336"/>
      <c r="D616" s="336"/>
      <c r="E616" s="336"/>
      <c r="F616" s="336"/>
      <c r="G616" s="336"/>
      <c r="H616" s="336"/>
      <c r="I616" s="336"/>
      <c r="J616" s="336"/>
      <c r="K616" s="336"/>
      <c r="L616" s="336"/>
      <c r="M616" s="336"/>
      <c r="N616" s="336"/>
      <c r="O616" s="336"/>
      <c r="P616" s="336"/>
      <c r="Q616" s="336"/>
    </row>
    <row r="617" ht="15.75" customHeight="1">
      <c r="A617" s="336"/>
      <c r="B617" s="336"/>
      <c r="C617" s="336"/>
      <c r="D617" s="336"/>
      <c r="E617" s="336"/>
      <c r="F617" s="336"/>
      <c r="G617" s="336"/>
      <c r="H617" s="336"/>
      <c r="I617" s="336"/>
      <c r="J617" s="336"/>
      <c r="K617" s="336"/>
      <c r="L617" s="336"/>
      <c r="M617" s="336"/>
      <c r="N617" s="336"/>
      <c r="O617" s="336"/>
      <c r="P617" s="336"/>
      <c r="Q617" s="336"/>
    </row>
    <row r="618" ht="15.75" customHeight="1">
      <c r="A618" s="336"/>
      <c r="B618" s="336"/>
      <c r="C618" s="336"/>
      <c r="D618" s="336"/>
      <c r="E618" s="336"/>
      <c r="F618" s="336"/>
      <c r="G618" s="336"/>
      <c r="H618" s="336"/>
      <c r="I618" s="336"/>
      <c r="J618" s="336"/>
      <c r="K618" s="336"/>
      <c r="L618" s="336"/>
      <c r="M618" s="336"/>
      <c r="N618" s="336"/>
      <c r="O618" s="336"/>
      <c r="P618" s="336"/>
      <c r="Q618" s="336"/>
    </row>
    <row r="619" ht="15.75" customHeight="1">
      <c r="A619" s="336"/>
      <c r="B619" s="336"/>
      <c r="C619" s="336"/>
      <c r="D619" s="336"/>
      <c r="E619" s="336"/>
      <c r="F619" s="336"/>
      <c r="G619" s="336"/>
      <c r="H619" s="336"/>
      <c r="I619" s="336"/>
      <c r="J619" s="336"/>
      <c r="K619" s="336"/>
      <c r="L619" s="336"/>
      <c r="M619" s="336"/>
      <c r="N619" s="336"/>
      <c r="O619" s="336"/>
      <c r="P619" s="336"/>
      <c r="Q619" s="336"/>
    </row>
    <row r="620" ht="15.75" customHeight="1">
      <c r="A620" s="336"/>
      <c r="B620" s="336"/>
      <c r="C620" s="336"/>
      <c r="D620" s="336"/>
      <c r="E620" s="336"/>
      <c r="F620" s="336"/>
      <c r="G620" s="336"/>
      <c r="H620" s="336"/>
      <c r="I620" s="336"/>
      <c r="J620" s="336"/>
      <c r="K620" s="336"/>
      <c r="L620" s="336"/>
      <c r="M620" s="336"/>
      <c r="N620" s="336"/>
      <c r="O620" s="336"/>
      <c r="P620" s="336"/>
      <c r="Q620" s="336"/>
    </row>
    <row r="621" ht="15.75" customHeight="1">
      <c r="A621" s="336"/>
      <c r="B621" s="336"/>
      <c r="C621" s="336"/>
      <c r="D621" s="336"/>
      <c r="E621" s="336"/>
      <c r="F621" s="336"/>
      <c r="G621" s="336"/>
      <c r="H621" s="336"/>
      <c r="I621" s="336"/>
      <c r="J621" s="336"/>
      <c r="K621" s="336"/>
      <c r="L621" s="336"/>
      <c r="M621" s="336"/>
      <c r="N621" s="336"/>
      <c r="O621" s="336"/>
      <c r="P621" s="336"/>
      <c r="Q621" s="336"/>
    </row>
    <row r="622" ht="15.75" customHeight="1">
      <c r="A622" s="336"/>
      <c r="B622" s="336"/>
      <c r="C622" s="336"/>
      <c r="D622" s="336"/>
      <c r="E622" s="336"/>
      <c r="F622" s="336"/>
      <c r="G622" s="336"/>
      <c r="H622" s="336"/>
      <c r="I622" s="336"/>
      <c r="J622" s="336"/>
      <c r="K622" s="336"/>
      <c r="L622" s="336"/>
      <c r="M622" s="336"/>
      <c r="N622" s="336"/>
      <c r="O622" s="336"/>
      <c r="P622" s="336"/>
      <c r="Q622" s="336"/>
    </row>
    <row r="623" ht="15.75" customHeight="1">
      <c r="A623" s="336"/>
      <c r="B623" s="336"/>
      <c r="C623" s="336"/>
      <c r="D623" s="336"/>
      <c r="E623" s="336"/>
      <c r="F623" s="336"/>
      <c r="G623" s="336"/>
      <c r="H623" s="336"/>
      <c r="I623" s="336"/>
      <c r="J623" s="336"/>
      <c r="K623" s="336"/>
      <c r="L623" s="336"/>
      <c r="M623" s="336"/>
      <c r="N623" s="336"/>
      <c r="O623" s="336"/>
      <c r="P623" s="336"/>
      <c r="Q623" s="336"/>
    </row>
    <row r="624" ht="15.75" customHeight="1">
      <c r="A624" s="336"/>
      <c r="B624" s="336"/>
      <c r="C624" s="336"/>
      <c r="D624" s="336"/>
      <c r="E624" s="336"/>
      <c r="F624" s="336"/>
      <c r="G624" s="336"/>
      <c r="H624" s="336"/>
      <c r="I624" s="336"/>
      <c r="J624" s="336"/>
      <c r="K624" s="336"/>
      <c r="L624" s="336"/>
      <c r="M624" s="336"/>
      <c r="N624" s="336"/>
      <c r="O624" s="336"/>
      <c r="P624" s="336"/>
      <c r="Q624" s="336"/>
    </row>
    <row r="625" ht="15.75" customHeight="1">
      <c r="A625" s="336"/>
      <c r="B625" s="336"/>
      <c r="C625" s="336"/>
      <c r="D625" s="336"/>
      <c r="E625" s="336"/>
      <c r="F625" s="336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  <c r="Q625" s="336"/>
    </row>
    <row r="626" ht="15.75" customHeight="1">
      <c r="A626" s="336"/>
      <c r="B626" s="336"/>
      <c r="C626" s="336"/>
      <c r="D626" s="336"/>
      <c r="E626" s="336"/>
      <c r="F626" s="336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  <c r="Q626" s="336"/>
    </row>
    <row r="627" ht="15.75" customHeight="1">
      <c r="A627" s="336"/>
      <c r="B627" s="336"/>
      <c r="C627" s="336"/>
      <c r="D627" s="336"/>
      <c r="E627" s="336"/>
      <c r="F627" s="336"/>
      <c r="G627" s="336"/>
      <c r="H627" s="336"/>
      <c r="I627" s="336"/>
      <c r="J627" s="336"/>
      <c r="K627" s="336"/>
      <c r="L627" s="336"/>
      <c r="M627" s="336"/>
      <c r="N627" s="336"/>
      <c r="O627" s="336"/>
      <c r="P627" s="336"/>
      <c r="Q627" s="336"/>
    </row>
    <row r="628" ht="15.75" customHeight="1">
      <c r="A628" s="336"/>
      <c r="B628" s="336"/>
      <c r="C628" s="336"/>
      <c r="D628" s="336"/>
      <c r="E628" s="336"/>
      <c r="F628" s="336"/>
      <c r="G628" s="336"/>
      <c r="H628" s="336"/>
      <c r="I628" s="336"/>
      <c r="J628" s="336"/>
      <c r="K628" s="336"/>
      <c r="L628" s="336"/>
      <c r="M628" s="336"/>
      <c r="N628" s="336"/>
      <c r="O628" s="336"/>
      <c r="P628" s="336"/>
      <c r="Q628" s="336"/>
    </row>
    <row r="629" ht="15.75" customHeight="1">
      <c r="A629" s="336"/>
      <c r="B629" s="336"/>
      <c r="C629" s="336"/>
      <c r="D629" s="336"/>
      <c r="E629" s="336"/>
      <c r="F629" s="336"/>
      <c r="G629" s="336"/>
      <c r="H629" s="336"/>
      <c r="I629" s="336"/>
      <c r="J629" s="336"/>
      <c r="K629" s="336"/>
      <c r="L629" s="336"/>
      <c r="M629" s="336"/>
      <c r="N629" s="336"/>
      <c r="O629" s="336"/>
      <c r="P629" s="336"/>
      <c r="Q629" s="336"/>
    </row>
    <row r="630" ht="15.75" customHeight="1">
      <c r="A630" s="336"/>
      <c r="B630" s="336"/>
      <c r="C630" s="336"/>
      <c r="D630" s="336"/>
      <c r="E630" s="336"/>
      <c r="F630" s="336"/>
      <c r="G630" s="336"/>
      <c r="H630" s="336"/>
      <c r="I630" s="336"/>
      <c r="J630" s="336"/>
      <c r="K630" s="336"/>
      <c r="L630" s="336"/>
      <c r="M630" s="336"/>
      <c r="N630" s="336"/>
      <c r="O630" s="336"/>
      <c r="P630" s="336"/>
      <c r="Q630" s="336"/>
    </row>
    <row r="631" ht="15.75" customHeight="1">
      <c r="A631" s="336"/>
      <c r="B631" s="336"/>
      <c r="C631" s="336"/>
      <c r="D631" s="336"/>
      <c r="E631" s="336"/>
      <c r="F631" s="336"/>
      <c r="G631" s="336"/>
      <c r="H631" s="336"/>
      <c r="I631" s="336"/>
      <c r="J631" s="336"/>
      <c r="K631" s="336"/>
      <c r="L631" s="336"/>
      <c r="M631" s="336"/>
      <c r="N631" s="336"/>
      <c r="O631" s="336"/>
      <c r="P631" s="336"/>
      <c r="Q631" s="336"/>
    </row>
    <row r="632" ht="15.75" customHeight="1">
      <c r="A632" s="336"/>
      <c r="B632" s="336"/>
      <c r="C632" s="336"/>
      <c r="D632" s="336"/>
      <c r="E632" s="336"/>
      <c r="F632" s="336"/>
      <c r="G632" s="336"/>
      <c r="H632" s="336"/>
      <c r="I632" s="336"/>
      <c r="J632" s="336"/>
      <c r="K632" s="336"/>
      <c r="L632" s="336"/>
      <c r="M632" s="336"/>
      <c r="N632" s="336"/>
      <c r="O632" s="336"/>
      <c r="P632" s="336"/>
      <c r="Q632" s="336"/>
    </row>
    <row r="633" ht="15.75" customHeight="1">
      <c r="A633" s="336"/>
      <c r="B633" s="336"/>
      <c r="C633" s="336"/>
      <c r="D633" s="336"/>
      <c r="E633" s="336"/>
      <c r="F633" s="336"/>
      <c r="G633" s="336"/>
      <c r="H633" s="336"/>
      <c r="I633" s="336"/>
      <c r="J633" s="336"/>
      <c r="K633" s="336"/>
      <c r="L633" s="336"/>
      <c r="M633" s="336"/>
      <c r="N633" s="336"/>
      <c r="O633" s="336"/>
      <c r="P633" s="336"/>
      <c r="Q633" s="336"/>
    </row>
    <row r="634" ht="15.75" customHeight="1">
      <c r="A634" s="336"/>
      <c r="B634" s="336"/>
      <c r="C634" s="336"/>
      <c r="D634" s="336"/>
      <c r="E634" s="336"/>
      <c r="F634" s="336"/>
      <c r="G634" s="336"/>
      <c r="H634" s="336"/>
      <c r="I634" s="336"/>
      <c r="J634" s="336"/>
      <c r="K634" s="336"/>
      <c r="L634" s="336"/>
      <c r="M634" s="336"/>
      <c r="N634" s="336"/>
      <c r="O634" s="336"/>
      <c r="P634" s="336"/>
      <c r="Q634" s="336"/>
    </row>
    <row r="635" ht="15.75" customHeight="1">
      <c r="A635" s="336"/>
      <c r="B635" s="336"/>
      <c r="C635" s="336"/>
      <c r="D635" s="336"/>
      <c r="E635" s="336"/>
      <c r="F635" s="336"/>
      <c r="G635" s="336"/>
      <c r="H635" s="336"/>
      <c r="I635" s="336"/>
      <c r="J635" s="336"/>
      <c r="K635" s="336"/>
      <c r="L635" s="336"/>
      <c r="M635" s="336"/>
      <c r="N635" s="336"/>
      <c r="O635" s="336"/>
      <c r="P635" s="336"/>
      <c r="Q635" s="336"/>
    </row>
    <row r="636" ht="15.75" customHeight="1">
      <c r="A636" s="336"/>
      <c r="B636" s="336"/>
      <c r="C636" s="336"/>
      <c r="D636" s="336"/>
      <c r="E636" s="336"/>
      <c r="F636" s="336"/>
      <c r="G636" s="336"/>
      <c r="H636" s="336"/>
      <c r="I636" s="336"/>
      <c r="J636" s="336"/>
      <c r="K636" s="336"/>
      <c r="L636" s="336"/>
      <c r="M636" s="336"/>
      <c r="N636" s="336"/>
      <c r="O636" s="336"/>
      <c r="P636" s="336"/>
      <c r="Q636" s="336"/>
    </row>
    <row r="637" ht="15.75" customHeight="1">
      <c r="A637" s="336"/>
      <c r="B637" s="336"/>
      <c r="C637" s="336"/>
      <c r="D637" s="336"/>
      <c r="E637" s="336"/>
      <c r="F637" s="336"/>
      <c r="G637" s="336"/>
      <c r="H637" s="336"/>
      <c r="I637" s="336"/>
      <c r="J637" s="336"/>
      <c r="K637" s="336"/>
      <c r="L637" s="336"/>
      <c r="M637" s="336"/>
      <c r="N637" s="336"/>
      <c r="O637" s="336"/>
      <c r="P637" s="336"/>
      <c r="Q637" s="336"/>
    </row>
    <row r="638" ht="15.75" customHeight="1">
      <c r="A638" s="336"/>
      <c r="B638" s="336"/>
      <c r="C638" s="336"/>
      <c r="D638" s="336"/>
      <c r="E638" s="336"/>
      <c r="F638" s="336"/>
      <c r="G638" s="336"/>
      <c r="H638" s="336"/>
      <c r="I638" s="336"/>
      <c r="J638" s="336"/>
      <c r="K638" s="336"/>
      <c r="L638" s="336"/>
      <c r="M638" s="336"/>
      <c r="N638" s="336"/>
      <c r="O638" s="336"/>
      <c r="P638" s="336"/>
      <c r="Q638" s="336"/>
    </row>
    <row r="639" ht="15.75" customHeight="1">
      <c r="A639" s="336"/>
      <c r="B639" s="336"/>
      <c r="C639" s="336"/>
      <c r="D639" s="336"/>
      <c r="E639" s="336"/>
      <c r="F639" s="336"/>
      <c r="G639" s="336"/>
      <c r="H639" s="336"/>
      <c r="I639" s="336"/>
      <c r="J639" s="336"/>
      <c r="K639" s="336"/>
      <c r="L639" s="336"/>
      <c r="M639" s="336"/>
      <c r="N639" s="336"/>
      <c r="O639" s="336"/>
      <c r="P639" s="336"/>
      <c r="Q639" s="336"/>
    </row>
    <row r="640" ht="15.75" customHeight="1">
      <c r="A640" s="336"/>
      <c r="B640" s="336"/>
      <c r="C640" s="336"/>
      <c r="D640" s="336"/>
      <c r="E640" s="336"/>
      <c r="F640" s="336"/>
      <c r="G640" s="336"/>
      <c r="H640" s="336"/>
      <c r="I640" s="336"/>
      <c r="J640" s="336"/>
      <c r="K640" s="336"/>
      <c r="L640" s="336"/>
      <c r="M640" s="336"/>
      <c r="N640" s="336"/>
      <c r="O640" s="336"/>
      <c r="P640" s="336"/>
      <c r="Q640" s="336"/>
    </row>
    <row r="641" ht="15.75" customHeight="1">
      <c r="A641" s="336"/>
      <c r="B641" s="336"/>
      <c r="C641" s="336"/>
      <c r="D641" s="336"/>
      <c r="E641" s="336"/>
      <c r="F641" s="336"/>
      <c r="G641" s="336"/>
      <c r="H641" s="336"/>
      <c r="I641" s="336"/>
      <c r="J641" s="336"/>
      <c r="K641" s="336"/>
      <c r="L641" s="336"/>
      <c r="M641" s="336"/>
      <c r="N641" s="336"/>
      <c r="O641" s="336"/>
      <c r="P641" s="336"/>
      <c r="Q641" s="336"/>
    </row>
    <row r="642" ht="15.75" customHeight="1">
      <c r="A642" s="336"/>
      <c r="B642" s="336"/>
      <c r="C642" s="336"/>
      <c r="D642" s="336"/>
      <c r="E642" s="336"/>
      <c r="F642" s="336"/>
      <c r="G642" s="336"/>
      <c r="H642" s="336"/>
      <c r="I642" s="336"/>
      <c r="J642" s="336"/>
      <c r="K642" s="336"/>
      <c r="L642" s="336"/>
      <c r="M642" s="336"/>
      <c r="N642" s="336"/>
      <c r="O642" s="336"/>
      <c r="P642" s="336"/>
      <c r="Q642" s="336"/>
    </row>
    <row r="643" ht="15.75" customHeight="1">
      <c r="A643" s="336"/>
      <c r="B643" s="336"/>
      <c r="C643" s="336"/>
      <c r="D643" s="336"/>
      <c r="E643" s="336"/>
      <c r="F643" s="336"/>
      <c r="G643" s="336"/>
      <c r="H643" s="336"/>
      <c r="I643" s="336"/>
      <c r="J643" s="336"/>
      <c r="K643" s="336"/>
      <c r="L643" s="336"/>
      <c r="M643" s="336"/>
      <c r="N643" s="336"/>
      <c r="O643" s="336"/>
      <c r="P643" s="336"/>
      <c r="Q643" s="336"/>
    </row>
    <row r="644" ht="15.75" customHeight="1">
      <c r="A644" s="336"/>
      <c r="B644" s="336"/>
      <c r="C644" s="336"/>
      <c r="D644" s="336"/>
      <c r="E644" s="336"/>
      <c r="F644" s="336"/>
      <c r="G644" s="336"/>
      <c r="H644" s="336"/>
      <c r="I644" s="336"/>
      <c r="J644" s="336"/>
      <c r="K644" s="336"/>
      <c r="L644" s="336"/>
      <c r="M644" s="336"/>
      <c r="N644" s="336"/>
      <c r="O644" s="336"/>
      <c r="P644" s="336"/>
      <c r="Q644" s="336"/>
    </row>
    <row r="645" ht="15.75" customHeight="1">
      <c r="A645" s="336"/>
      <c r="B645" s="336"/>
      <c r="C645" s="336"/>
      <c r="D645" s="336"/>
      <c r="E645" s="336"/>
      <c r="F645" s="336"/>
      <c r="G645" s="336"/>
      <c r="H645" s="336"/>
      <c r="I645" s="336"/>
      <c r="J645" s="336"/>
      <c r="K645" s="336"/>
      <c r="L645" s="336"/>
      <c r="M645" s="336"/>
      <c r="N645" s="336"/>
      <c r="O645" s="336"/>
      <c r="P645" s="336"/>
      <c r="Q645" s="336"/>
    </row>
    <row r="646" ht="15.75" customHeight="1">
      <c r="A646" s="336"/>
      <c r="B646" s="336"/>
      <c r="C646" s="336"/>
      <c r="D646" s="336"/>
      <c r="E646" s="336"/>
      <c r="F646" s="336"/>
      <c r="G646" s="336"/>
      <c r="H646" s="336"/>
      <c r="I646" s="336"/>
      <c r="J646" s="336"/>
      <c r="K646" s="336"/>
      <c r="L646" s="336"/>
      <c r="M646" s="336"/>
      <c r="N646" s="336"/>
      <c r="O646" s="336"/>
      <c r="P646" s="336"/>
      <c r="Q646" s="336"/>
    </row>
    <row r="647" ht="15.75" customHeight="1">
      <c r="A647" s="336"/>
      <c r="B647" s="336"/>
      <c r="C647" s="336"/>
      <c r="D647" s="336"/>
      <c r="E647" s="336"/>
      <c r="F647" s="336"/>
      <c r="G647" s="336"/>
      <c r="H647" s="336"/>
      <c r="I647" s="336"/>
      <c r="J647" s="336"/>
      <c r="K647" s="336"/>
      <c r="L647" s="336"/>
      <c r="M647" s="336"/>
      <c r="N647" s="336"/>
      <c r="O647" s="336"/>
      <c r="P647" s="336"/>
      <c r="Q647" s="336"/>
    </row>
    <row r="648" ht="15.75" customHeight="1">
      <c r="A648" s="336"/>
      <c r="B648" s="336"/>
      <c r="C648" s="336"/>
      <c r="D648" s="336"/>
      <c r="E648" s="336"/>
      <c r="F648" s="336"/>
      <c r="G648" s="336"/>
      <c r="H648" s="336"/>
      <c r="I648" s="336"/>
      <c r="J648" s="336"/>
      <c r="K648" s="336"/>
      <c r="L648" s="336"/>
      <c r="M648" s="336"/>
      <c r="N648" s="336"/>
      <c r="O648" s="336"/>
      <c r="P648" s="336"/>
      <c r="Q648" s="336"/>
    </row>
    <row r="649" ht="15.75" customHeight="1">
      <c r="A649" s="336"/>
      <c r="B649" s="336"/>
      <c r="C649" s="336"/>
      <c r="D649" s="336"/>
      <c r="E649" s="336"/>
      <c r="F649" s="336"/>
      <c r="G649" s="336"/>
      <c r="H649" s="336"/>
      <c r="I649" s="336"/>
      <c r="J649" s="336"/>
      <c r="K649" s="336"/>
      <c r="L649" s="336"/>
      <c r="M649" s="336"/>
      <c r="N649" s="336"/>
      <c r="O649" s="336"/>
      <c r="P649" s="336"/>
      <c r="Q649" s="336"/>
    </row>
    <row r="650" ht="15.75" customHeight="1">
      <c r="A650" s="336"/>
      <c r="B650" s="336"/>
      <c r="C650" s="336"/>
      <c r="D650" s="336"/>
      <c r="E650" s="336"/>
      <c r="F650" s="336"/>
      <c r="G650" s="336"/>
      <c r="H650" s="336"/>
      <c r="I650" s="336"/>
      <c r="J650" s="336"/>
      <c r="K650" s="336"/>
      <c r="L650" s="336"/>
      <c r="M650" s="336"/>
      <c r="N650" s="336"/>
      <c r="O650" s="336"/>
      <c r="P650" s="336"/>
      <c r="Q650" s="336"/>
    </row>
    <row r="651" ht="15.75" customHeight="1">
      <c r="A651" s="336"/>
      <c r="B651" s="336"/>
      <c r="C651" s="336"/>
      <c r="D651" s="336"/>
      <c r="E651" s="336"/>
      <c r="F651" s="336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  <c r="Q651" s="336"/>
    </row>
    <row r="652" ht="15.75" customHeight="1">
      <c r="A652" s="336"/>
      <c r="B652" s="336"/>
      <c r="C652" s="336"/>
      <c r="D652" s="336"/>
      <c r="E652" s="336"/>
      <c r="F652" s="336"/>
      <c r="G652" s="336"/>
      <c r="H652" s="336"/>
      <c r="I652" s="336"/>
      <c r="J652" s="336"/>
      <c r="K652" s="336"/>
      <c r="L652" s="336"/>
      <c r="M652" s="336"/>
      <c r="N652" s="336"/>
      <c r="O652" s="336"/>
      <c r="P652" s="336"/>
      <c r="Q652" s="336"/>
    </row>
    <row r="653" ht="15.75" customHeight="1">
      <c r="A653" s="336"/>
      <c r="B653" s="336"/>
      <c r="C653" s="336"/>
      <c r="D653" s="336"/>
      <c r="E653" s="336"/>
      <c r="F653" s="336"/>
      <c r="G653" s="336"/>
      <c r="H653" s="336"/>
      <c r="I653" s="336"/>
      <c r="J653" s="336"/>
      <c r="K653" s="336"/>
      <c r="L653" s="336"/>
      <c r="M653" s="336"/>
      <c r="N653" s="336"/>
      <c r="O653" s="336"/>
      <c r="P653" s="336"/>
      <c r="Q653" s="336"/>
    </row>
    <row r="654" ht="15.75" customHeight="1">
      <c r="A654" s="336"/>
      <c r="B654" s="336"/>
      <c r="C654" s="336"/>
      <c r="D654" s="336"/>
      <c r="E654" s="336"/>
      <c r="F654" s="336"/>
      <c r="G654" s="336"/>
      <c r="H654" s="336"/>
      <c r="I654" s="336"/>
      <c r="J654" s="336"/>
      <c r="K654" s="336"/>
      <c r="L654" s="336"/>
      <c r="M654" s="336"/>
      <c r="N654" s="336"/>
      <c r="O654" s="336"/>
      <c r="P654" s="336"/>
      <c r="Q654" s="336"/>
    </row>
    <row r="655" ht="15.75" customHeight="1">
      <c r="A655" s="336"/>
      <c r="B655" s="336"/>
      <c r="C655" s="336"/>
      <c r="D655" s="336"/>
      <c r="E655" s="336"/>
      <c r="F655" s="336"/>
      <c r="G655" s="336"/>
      <c r="H655" s="336"/>
      <c r="I655" s="336"/>
      <c r="J655" s="336"/>
      <c r="K655" s="336"/>
      <c r="L655" s="336"/>
      <c r="M655" s="336"/>
      <c r="N655" s="336"/>
      <c r="O655" s="336"/>
      <c r="P655" s="336"/>
      <c r="Q655" s="336"/>
    </row>
    <row r="656" ht="15.75" customHeight="1">
      <c r="A656" s="336"/>
      <c r="B656" s="336"/>
      <c r="C656" s="336"/>
      <c r="D656" s="336"/>
      <c r="E656" s="336"/>
      <c r="F656" s="336"/>
      <c r="G656" s="336"/>
      <c r="H656" s="336"/>
      <c r="I656" s="336"/>
      <c r="J656" s="336"/>
      <c r="K656" s="336"/>
      <c r="L656" s="336"/>
      <c r="M656" s="336"/>
      <c r="N656" s="336"/>
      <c r="O656" s="336"/>
      <c r="P656" s="336"/>
      <c r="Q656" s="336"/>
    </row>
    <row r="657" ht="15.75" customHeight="1">
      <c r="A657" s="336"/>
      <c r="B657" s="336"/>
      <c r="C657" s="336"/>
      <c r="D657" s="336"/>
      <c r="E657" s="336"/>
      <c r="F657" s="336"/>
      <c r="G657" s="336"/>
      <c r="H657" s="336"/>
      <c r="I657" s="336"/>
      <c r="J657" s="336"/>
      <c r="K657" s="336"/>
      <c r="L657" s="336"/>
      <c r="M657" s="336"/>
      <c r="N657" s="336"/>
      <c r="O657" s="336"/>
      <c r="P657" s="336"/>
      <c r="Q657" s="336"/>
    </row>
    <row r="658" ht="15.75" customHeight="1">
      <c r="A658" s="336"/>
      <c r="B658" s="336"/>
      <c r="C658" s="336"/>
      <c r="D658" s="336"/>
      <c r="E658" s="336"/>
      <c r="F658" s="336"/>
      <c r="G658" s="336"/>
      <c r="H658" s="336"/>
      <c r="I658" s="336"/>
      <c r="J658" s="336"/>
      <c r="K658" s="336"/>
      <c r="L658" s="336"/>
      <c r="M658" s="336"/>
      <c r="N658" s="336"/>
      <c r="O658" s="336"/>
      <c r="P658" s="336"/>
      <c r="Q658" s="336"/>
    </row>
    <row r="659" ht="15.75" customHeight="1">
      <c r="A659" s="336"/>
      <c r="B659" s="336"/>
      <c r="C659" s="336"/>
      <c r="D659" s="336"/>
      <c r="E659" s="336"/>
      <c r="F659" s="336"/>
      <c r="G659" s="336"/>
      <c r="H659" s="336"/>
      <c r="I659" s="336"/>
      <c r="J659" s="336"/>
      <c r="K659" s="336"/>
      <c r="L659" s="336"/>
      <c r="M659" s="336"/>
      <c r="N659" s="336"/>
      <c r="O659" s="336"/>
      <c r="P659" s="336"/>
      <c r="Q659" s="336"/>
    </row>
    <row r="660" ht="15.75" customHeight="1">
      <c r="A660" s="336"/>
      <c r="B660" s="336"/>
      <c r="C660" s="336"/>
      <c r="D660" s="336"/>
      <c r="E660" s="336"/>
      <c r="F660" s="336"/>
      <c r="G660" s="336"/>
      <c r="H660" s="336"/>
      <c r="I660" s="336"/>
      <c r="J660" s="336"/>
      <c r="K660" s="336"/>
      <c r="L660" s="336"/>
      <c r="M660" s="336"/>
      <c r="N660" s="336"/>
      <c r="O660" s="336"/>
      <c r="P660" s="336"/>
      <c r="Q660" s="336"/>
    </row>
    <row r="661" ht="15.75" customHeight="1">
      <c r="A661" s="336"/>
      <c r="B661" s="336"/>
      <c r="C661" s="336"/>
      <c r="D661" s="336"/>
      <c r="E661" s="336"/>
      <c r="F661" s="336"/>
      <c r="G661" s="336"/>
      <c r="H661" s="336"/>
      <c r="I661" s="336"/>
      <c r="J661" s="336"/>
      <c r="K661" s="336"/>
      <c r="L661" s="336"/>
      <c r="M661" s="336"/>
      <c r="N661" s="336"/>
      <c r="O661" s="336"/>
      <c r="P661" s="336"/>
      <c r="Q661" s="336"/>
    </row>
    <row r="662" ht="15.75" customHeight="1">
      <c r="A662" s="336"/>
      <c r="B662" s="336"/>
      <c r="C662" s="336"/>
      <c r="D662" s="336"/>
      <c r="E662" s="336"/>
      <c r="F662" s="336"/>
      <c r="G662" s="336"/>
      <c r="H662" s="336"/>
      <c r="I662" s="336"/>
      <c r="J662" s="336"/>
      <c r="K662" s="336"/>
      <c r="L662" s="336"/>
      <c r="M662" s="336"/>
      <c r="N662" s="336"/>
      <c r="O662" s="336"/>
      <c r="P662" s="336"/>
      <c r="Q662" s="336"/>
    </row>
    <row r="663" ht="15.75" customHeight="1">
      <c r="A663" s="336"/>
      <c r="B663" s="336"/>
      <c r="C663" s="336"/>
      <c r="D663" s="336"/>
      <c r="E663" s="336"/>
      <c r="F663" s="336"/>
      <c r="G663" s="336"/>
      <c r="H663" s="336"/>
      <c r="I663" s="336"/>
      <c r="J663" s="336"/>
      <c r="K663" s="336"/>
      <c r="L663" s="336"/>
      <c r="M663" s="336"/>
      <c r="N663" s="336"/>
      <c r="O663" s="336"/>
      <c r="P663" s="336"/>
      <c r="Q663" s="336"/>
    </row>
    <row r="664" ht="15.75" customHeight="1">
      <c r="A664" s="336"/>
      <c r="B664" s="336"/>
      <c r="C664" s="336"/>
      <c r="D664" s="336"/>
      <c r="E664" s="336"/>
      <c r="F664" s="336"/>
      <c r="G664" s="336"/>
      <c r="H664" s="336"/>
      <c r="I664" s="336"/>
      <c r="J664" s="336"/>
      <c r="K664" s="336"/>
      <c r="L664" s="336"/>
      <c r="M664" s="336"/>
      <c r="N664" s="336"/>
      <c r="O664" s="336"/>
      <c r="P664" s="336"/>
      <c r="Q664" s="336"/>
    </row>
    <row r="665" ht="15.75" customHeight="1">
      <c r="A665" s="336"/>
      <c r="B665" s="336"/>
      <c r="C665" s="336"/>
      <c r="D665" s="336"/>
      <c r="E665" s="336"/>
      <c r="F665" s="336"/>
      <c r="G665" s="336"/>
      <c r="H665" s="336"/>
      <c r="I665" s="336"/>
      <c r="J665" s="336"/>
      <c r="K665" s="336"/>
      <c r="L665" s="336"/>
      <c r="M665" s="336"/>
      <c r="N665" s="336"/>
      <c r="O665" s="336"/>
      <c r="P665" s="336"/>
      <c r="Q665" s="336"/>
    </row>
    <row r="666" ht="15.75" customHeight="1">
      <c r="A666" s="336"/>
      <c r="B666" s="336"/>
      <c r="C666" s="336"/>
      <c r="D666" s="336"/>
      <c r="E666" s="336"/>
      <c r="F666" s="336"/>
      <c r="G666" s="336"/>
      <c r="H666" s="336"/>
      <c r="I666" s="336"/>
      <c r="J666" s="336"/>
      <c r="K666" s="336"/>
      <c r="L666" s="336"/>
      <c r="M666" s="336"/>
      <c r="N666" s="336"/>
      <c r="O666" s="336"/>
      <c r="P666" s="336"/>
      <c r="Q666" s="336"/>
    </row>
    <row r="667" ht="15.75" customHeight="1">
      <c r="A667" s="336"/>
      <c r="B667" s="336"/>
      <c r="C667" s="336"/>
      <c r="D667" s="336"/>
      <c r="E667" s="336"/>
      <c r="F667" s="336"/>
      <c r="G667" s="336"/>
      <c r="H667" s="336"/>
      <c r="I667" s="336"/>
      <c r="J667" s="336"/>
      <c r="K667" s="336"/>
      <c r="L667" s="336"/>
      <c r="M667" s="336"/>
      <c r="N667" s="336"/>
      <c r="O667" s="336"/>
      <c r="P667" s="336"/>
      <c r="Q667" s="336"/>
    </row>
    <row r="668" ht="15.75" customHeight="1">
      <c r="A668" s="336"/>
      <c r="B668" s="336"/>
      <c r="C668" s="336"/>
      <c r="D668" s="336"/>
      <c r="E668" s="336"/>
      <c r="F668" s="336"/>
      <c r="G668" s="336"/>
      <c r="H668" s="336"/>
      <c r="I668" s="336"/>
      <c r="J668" s="336"/>
      <c r="K668" s="336"/>
      <c r="L668" s="336"/>
      <c r="M668" s="336"/>
      <c r="N668" s="336"/>
      <c r="O668" s="336"/>
      <c r="P668" s="336"/>
      <c r="Q668" s="336"/>
    </row>
    <row r="669" ht="15.75" customHeight="1">
      <c r="A669" s="336"/>
      <c r="B669" s="336"/>
      <c r="C669" s="336"/>
      <c r="D669" s="336"/>
      <c r="E669" s="336"/>
      <c r="F669" s="336"/>
      <c r="G669" s="336"/>
      <c r="H669" s="336"/>
      <c r="I669" s="336"/>
      <c r="J669" s="336"/>
      <c r="K669" s="336"/>
      <c r="L669" s="336"/>
      <c r="M669" s="336"/>
      <c r="N669" s="336"/>
      <c r="O669" s="336"/>
      <c r="P669" s="336"/>
      <c r="Q669" s="336"/>
    </row>
    <row r="670" ht="15.75" customHeight="1">
      <c r="A670" s="336"/>
      <c r="B670" s="336"/>
      <c r="C670" s="336"/>
      <c r="D670" s="336"/>
      <c r="E670" s="336"/>
      <c r="F670" s="336"/>
      <c r="G670" s="336"/>
      <c r="H670" s="336"/>
      <c r="I670" s="336"/>
      <c r="J670" s="336"/>
      <c r="K670" s="336"/>
      <c r="L670" s="336"/>
      <c r="M670" s="336"/>
      <c r="N670" s="336"/>
      <c r="O670" s="336"/>
      <c r="P670" s="336"/>
      <c r="Q670" s="336"/>
    </row>
    <row r="671" ht="15.75" customHeight="1">
      <c r="A671" s="336"/>
      <c r="B671" s="336"/>
      <c r="C671" s="336"/>
      <c r="D671" s="336"/>
      <c r="E671" s="336"/>
      <c r="F671" s="336"/>
      <c r="G671" s="336"/>
      <c r="H671" s="336"/>
      <c r="I671" s="336"/>
      <c r="J671" s="336"/>
      <c r="K671" s="336"/>
      <c r="L671" s="336"/>
      <c r="M671" s="336"/>
      <c r="N671" s="336"/>
      <c r="O671" s="336"/>
      <c r="P671" s="336"/>
      <c r="Q671" s="336"/>
    </row>
    <row r="672" ht="15.75" customHeight="1">
      <c r="A672" s="336"/>
      <c r="B672" s="336"/>
      <c r="C672" s="336"/>
      <c r="D672" s="336"/>
      <c r="E672" s="336"/>
      <c r="F672" s="336"/>
      <c r="G672" s="336"/>
      <c r="H672" s="336"/>
      <c r="I672" s="336"/>
      <c r="J672" s="336"/>
      <c r="K672" s="336"/>
      <c r="L672" s="336"/>
      <c r="M672" s="336"/>
      <c r="N672" s="336"/>
      <c r="O672" s="336"/>
      <c r="P672" s="336"/>
      <c r="Q672" s="336"/>
    </row>
    <row r="673" ht="15.75" customHeight="1">
      <c r="A673" s="336"/>
      <c r="B673" s="336"/>
      <c r="C673" s="336"/>
      <c r="D673" s="336"/>
      <c r="E673" s="336"/>
      <c r="F673" s="336"/>
      <c r="G673" s="336"/>
      <c r="H673" s="336"/>
      <c r="I673" s="336"/>
      <c r="J673" s="336"/>
      <c r="K673" s="336"/>
      <c r="L673" s="336"/>
      <c r="M673" s="336"/>
      <c r="N673" s="336"/>
      <c r="O673" s="336"/>
      <c r="P673" s="336"/>
      <c r="Q673" s="336"/>
    </row>
    <row r="674" ht="15.75" customHeight="1">
      <c r="A674" s="336"/>
      <c r="B674" s="336"/>
      <c r="C674" s="336"/>
      <c r="D674" s="336"/>
      <c r="E674" s="336"/>
      <c r="F674" s="336"/>
      <c r="G674" s="336"/>
      <c r="H674" s="336"/>
      <c r="I674" s="336"/>
      <c r="J674" s="336"/>
      <c r="K674" s="336"/>
      <c r="L674" s="336"/>
      <c r="M674" s="336"/>
      <c r="N674" s="336"/>
      <c r="O674" s="336"/>
      <c r="P674" s="336"/>
      <c r="Q674" s="336"/>
    </row>
    <row r="675" ht="15.75" customHeight="1">
      <c r="A675" s="336"/>
      <c r="B675" s="336"/>
      <c r="C675" s="336"/>
      <c r="D675" s="336"/>
      <c r="E675" s="336"/>
      <c r="F675" s="336"/>
      <c r="G675" s="336"/>
      <c r="H675" s="336"/>
      <c r="I675" s="336"/>
      <c r="J675" s="336"/>
      <c r="K675" s="336"/>
      <c r="L675" s="336"/>
      <c r="M675" s="336"/>
      <c r="N675" s="336"/>
      <c r="O675" s="336"/>
      <c r="P675" s="336"/>
      <c r="Q675" s="336"/>
    </row>
    <row r="676" ht="15.75" customHeight="1">
      <c r="A676" s="336"/>
      <c r="B676" s="336"/>
      <c r="C676" s="336"/>
      <c r="D676" s="336"/>
      <c r="E676" s="336"/>
      <c r="F676" s="336"/>
      <c r="G676" s="336"/>
      <c r="H676" s="336"/>
      <c r="I676" s="336"/>
      <c r="J676" s="336"/>
      <c r="K676" s="336"/>
      <c r="L676" s="336"/>
      <c r="M676" s="336"/>
      <c r="N676" s="336"/>
      <c r="O676" s="336"/>
      <c r="P676" s="336"/>
      <c r="Q676" s="336"/>
    </row>
    <row r="677" ht="15.75" customHeight="1">
      <c r="A677" s="336"/>
      <c r="B677" s="336"/>
      <c r="C677" s="336"/>
      <c r="D677" s="336"/>
      <c r="E677" s="336"/>
      <c r="F677" s="336"/>
      <c r="G677" s="336"/>
      <c r="H677" s="336"/>
      <c r="I677" s="336"/>
      <c r="J677" s="336"/>
      <c r="K677" s="336"/>
      <c r="L677" s="336"/>
      <c r="M677" s="336"/>
      <c r="N677" s="336"/>
      <c r="O677" s="336"/>
      <c r="P677" s="336"/>
      <c r="Q677" s="336"/>
    </row>
    <row r="678" ht="15.75" customHeight="1">
      <c r="A678" s="336"/>
      <c r="B678" s="336"/>
      <c r="C678" s="336"/>
      <c r="D678" s="336"/>
      <c r="E678" s="336"/>
      <c r="F678" s="336"/>
      <c r="G678" s="336"/>
      <c r="H678" s="336"/>
      <c r="I678" s="336"/>
      <c r="J678" s="336"/>
      <c r="K678" s="336"/>
      <c r="L678" s="336"/>
      <c r="M678" s="336"/>
      <c r="N678" s="336"/>
      <c r="O678" s="336"/>
      <c r="P678" s="336"/>
      <c r="Q678" s="336"/>
    </row>
    <row r="679" ht="15.75" customHeight="1">
      <c r="A679" s="336"/>
      <c r="B679" s="336"/>
      <c r="C679" s="336"/>
      <c r="D679" s="336"/>
      <c r="E679" s="336"/>
      <c r="F679" s="336"/>
      <c r="G679" s="336"/>
      <c r="H679" s="336"/>
      <c r="I679" s="336"/>
      <c r="J679" s="336"/>
      <c r="K679" s="336"/>
      <c r="L679" s="336"/>
      <c r="M679" s="336"/>
      <c r="N679" s="336"/>
      <c r="O679" s="336"/>
      <c r="P679" s="336"/>
      <c r="Q679" s="336"/>
    </row>
    <row r="680" ht="15.75" customHeight="1">
      <c r="A680" s="336"/>
      <c r="B680" s="336"/>
      <c r="C680" s="336"/>
      <c r="D680" s="336"/>
      <c r="E680" s="336"/>
      <c r="F680" s="336"/>
      <c r="G680" s="336"/>
      <c r="H680" s="336"/>
      <c r="I680" s="336"/>
      <c r="J680" s="336"/>
      <c r="K680" s="336"/>
      <c r="L680" s="336"/>
      <c r="M680" s="336"/>
      <c r="N680" s="336"/>
      <c r="O680" s="336"/>
      <c r="P680" s="336"/>
      <c r="Q680" s="336"/>
    </row>
    <row r="681" ht="15.75" customHeight="1">
      <c r="A681" s="336"/>
      <c r="B681" s="336"/>
      <c r="C681" s="336"/>
      <c r="D681" s="336"/>
      <c r="E681" s="336"/>
      <c r="F681" s="336"/>
      <c r="G681" s="336"/>
      <c r="H681" s="336"/>
      <c r="I681" s="336"/>
      <c r="J681" s="336"/>
      <c r="K681" s="336"/>
      <c r="L681" s="336"/>
      <c r="M681" s="336"/>
      <c r="N681" s="336"/>
      <c r="O681" s="336"/>
      <c r="P681" s="336"/>
      <c r="Q681" s="336"/>
    </row>
    <row r="682" ht="15.75" customHeight="1">
      <c r="A682" s="336"/>
      <c r="B682" s="336"/>
      <c r="C682" s="336"/>
      <c r="D682" s="336"/>
      <c r="E682" s="336"/>
      <c r="F682" s="336"/>
      <c r="G682" s="336"/>
      <c r="H682" s="336"/>
      <c r="I682" s="336"/>
      <c r="J682" s="336"/>
      <c r="K682" s="336"/>
      <c r="L682" s="336"/>
      <c r="M682" s="336"/>
      <c r="N682" s="336"/>
      <c r="O682" s="336"/>
      <c r="P682" s="336"/>
      <c r="Q682" s="336"/>
    </row>
    <row r="683" ht="15.75" customHeight="1">
      <c r="A683" s="336"/>
      <c r="B683" s="336"/>
      <c r="C683" s="336"/>
      <c r="D683" s="336"/>
      <c r="E683" s="336"/>
      <c r="F683" s="336"/>
      <c r="G683" s="336"/>
      <c r="H683" s="336"/>
      <c r="I683" s="336"/>
      <c r="J683" s="336"/>
      <c r="K683" s="336"/>
      <c r="L683" s="336"/>
      <c r="M683" s="336"/>
      <c r="N683" s="336"/>
      <c r="O683" s="336"/>
      <c r="P683" s="336"/>
      <c r="Q683" s="336"/>
    </row>
    <row r="684" ht="15.75" customHeight="1">
      <c r="A684" s="336"/>
      <c r="B684" s="336"/>
      <c r="C684" s="336"/>
      <c r="D684" s="336"/>
      <c r="E684" s="336"/>
      <c r="F684" s="336"/>
      <c r="G684" s="336"/>
      <c r="H684" s="336"/>
      <c r="I684" s="336"/>
      <c r="J684" s="336"/>
      <c r="K684" s="336"/>
      <c r="L684" s="336"/>
      <c r="M684" s="336"/>
      <c r="N684" s="336"/>
      <c r="O684" s="336"/>
      <c r="P684" s="336"/>
      <c r="Q684" s="336"/>
    </row>
    <row r="685" ht="15.75" customHeight="1">
      <c r="A685" s="336"/>
      <c r="B685" s="336"/>
      <c r="C685" s="336"/>
      <c r="D685" s="336"/>
      <c r="E685" s="336"/>
      <c r="F685" s="336"/>
      <c r="G685" s="336"/>
      <c r="H685" s="336"/>
      <c r="I685" s="336"/>
      <c r="J685" s="336"/>
      <c r="K685" s="336"/>
      <c r="L685" s="336"/>
      <c r="M685" s="336"/>
      <c r="N685" s="336"/>
      <c r="O685" s="336"/>
      <c r="P685" s="336"/>
      <c r="Q685" s="336"/>
    </row>
    <row r="686" ht="15.75" customHeight="1">
      <c r="A686" s="336"/>
      <c r="B686" s="336"/>
      <c r="C686" s="336"/>
      <c r="D686" s="336"/>
      <c r="E686" s="336"/>
      <c r="F686" s="336"/>
      <c r="G686" s="336"/>
      <c r="H686" s="336"/>
      <c r="I686" s="336"/>
      <c r="J686" s="336"/>
      <c r="K686" s="336"/>
      <c r="L686" s="336"/>
      <c r="M686" s="336"/>
      <c r="N686" s="336"/>
      <c r="O686" s="336"/>
      <c r="P686" s="336"/>
      <c r="Q686" s="336"/>
    </row>
    <row r="687" ht="15.75" customHeight="1">
      <c r="A687" s="336"/>
      <c r="B687" s="336"/>
      <c r="C687" s="336"/>
      <c r="D687" s="336"/>
      <c r="E687" s="336"/>
      <c r="F687" s="336"/>
      <c r="G687" s="336"/>
      <c r="H687" s="336"/>
      <c r="I687" s="336"/>
      <c r="J687" s="336"/>
      <c r="K687" s="336"/>
      <c r="L687" s="336"/>
      <c r="M687" s="336"/>
      <c r="N687" s="336"/>
      <c r="O687" s="336"/>
      <c r="P687" s="336"/>
      <c r="Q687" s="336"/>
    </row>
    <row r="688" ht="15.75" customHeight="1">
      <c r="A688" s="336"/>
      <c r="B688" s="336"/>
      <c r="C688" s="336"/>
      <c r="D688" s="336"/>
      <c r="E688" s="336"/>
      <c r="F688" s="336"/>
      <c r="G688" s="336"/>
      <c r="H688" s="336"/>
      <c r="I688" s="336"/>
      <c r="J688" s="336"/>
      <c r="K688" s="336"/>
      <c r="L688" s="336"/>
      <c r="M688" s="336"/>
      <c r="N688" s="336"/>
      <c r="O688" s="336"/>
      <c r="P688" s="336"/>
      <c r="Q688" s="336"/>
    </row>
    <row r="689" ht="15.75" customHeight="1">
      <c r="A689" s="336"/>
      <c r="B689" s="336"/>
      <c r="C689" s="336"/>
      <c r="D689" s="336"/>
      <c r="E689" s="336"/>
      <c r="F689" s="336"/>
      <c r="G689" s="336"/>
      <c r="H689" s="336"/>
      <c r="I689" s="336"/>
      <c r="J689" s="336"/>
      <c r="K689" s="336"/>
      <c r="L689" s="336"/>
      <c r="M689" s="336"/>
      <c r="N689" s="336"/>
      <c r="O689" s="336"/>
      <c r="P689" s="336"/>
      <c r="Q689" s="336"/>
    </row>
    <row r="690" ht="15.75" customHeight="1">
      <c r="A690" s="336"/>
      <c r="B690" s="336"/>
      <c r="C690" s="336"/>
      <c r="D690" s="336"/>
      <c r="E690" s="336"/>
      <c r="F690" s="336"/>
      <c r="G690" s="336"/>
      <c r="H690" s="336"/>
      <c r="I690" s="336"/>
      <c r="J690" s="336"/>
      <c r="K690" s="336"/>
      <c r="L690" s="336"/>
      <c r="M690" s="336"/>
      <c r="N690" s="336"/>
      <c r="O690" s="336"/>
      <c r="P690" s="336"/>
      <c r="Q690" s="336"/>
    </row>
    <row r="691" ht="15.75" customHeight="1">
      <c r="A691" s="336"/>
      <c r="B691" s="336"/>
      <c r="C691" s="336"/>
      <c r="D691" s="336"/>
      <c r="E691" s="336"/>
      <c r="F691" s="336"/>
      <c r="G691" s="336"/>
      <c r="H691" s="336"/>
      <c r="I691" s="336"/>
      <c r="J691" s="336"/>
      <c r="K691" s="336"/>
      <c r="L691" s="336"/>
      <c r="M691" s="336"/>
      <c r="N691" s="336"/>
      <c r="O691" s="336"/>
      <c r="P691" s="336"/>
      <c r="Q691" s="336"/>
    </row>
    <row r="692" ht="15.75" customHeight="1">
      <c r="A692" s="336"/>
      <c r="B692" s="336"/>
      <c r="C692" s="336"/>
      <c r="D692" s="336"/>
      <c r="E692" s="336"/>
      <c r="F692" s="336"/>
      <c r="G692" s="336"/>
      <c r="H692" s="336"/>
      <c r="I692" s="336"/>
      <c r="J692" s="336"/>
      <c r="K692" s="336"/>
      <c r="L692" s="336"/>
      <c r="M692" s="336"/>
      <c r="N692" s="336"/>
      <c r="O692" s="336"/>
      <c r="P692" s="336"/>
      <c r="Q692" s="336"/>
    </row>
    <row r="693" ht="15.75" customHeight="1">
      <c r="A693" s="336"/>
      <c r="B693" s="336"/>
      <c r="C693" s="336"/>
      <c r="D693" s="336"/>
      <c r="E693" s="336"/>
      <c r="F693" s="336"/>
      <c r="G693" s="336"/>
      <c r="H693" s="336"/>
      <c r="I693" s="336"/>
      <c r="J693" s="336"/>
      <c r="K693" s="336"/>
      <c r="L693" s="336"/>
      <c r="M693" s="336"/>
      <c r="N693" s="336"/>
      <c r="O693" s="336"/>
      <c r="P693" s="336"/>
      <c r="Q693" s="336"/>
    </row>
    <row r="694" ht="15.75" customHeight="1">
      <c r="A694" s="336"/>
      <c r="B694" s="336"/>
      <c r="C694" s="336"/>
      <c r="D694" s="336"/>
      <c r="E694" s="336"/>
      <c r="F694" s="336"/>
      <c r="G694" s="336"/>
      <c r="H694" s="336"/>
      <c r="I694" s="336"/>
      <c r="J694" s="336"/>
      <c r="K694" s="336"/>
      <c r="L694" s="336"/>
      <c r="M694" s="336"/>
      <c r="N694" s="336"/>
      <c r="O694" s="336"/>
      <c r="P694" s="336"/>
      <c r="Q694" s="336"/>
    </row>
    <row r="695" ht="15.75" customHeight="1">
      <c r="A695" s="336"/>
      <c r="B695" s="336"/>
      <c r="C695" s="336"/>
      <c r="D695" s="336"/>
      <c r="E695" s="336"/>
      <c r="F695" s="336"/>
      <c r="G695" s="336"/>
      <c r="H695" s="336"/>
      <c r="I695" s="336"/>
      <c r="J695" s="336"/>
      <c r="K695" s="336"/>
      <c r="L695" s="336"/>
      <c r="M695" s="336"/>
      <c r="N695" s="336"/>
      <c r="O695" s="336"/>
      <c r="P695" s="336"/>
      <c r="Q695" s="336"/>
    </row>
    <row r="696" ht="15.75" customHeight="1">
      <c r="A696" s="336"/>
      <c r="B696" s="336"/>
      <c r="C696" s="336"/>
      <c r="D696" s="336"/>
      <c r="E696" s="336"/>
      <c r="F696" s="336"/>
      <c r="G696" s="336"/>
      <c r="H696" s="336"/>
      <c r="I696" s="336"/>
      <c r="J696" s="336"/>
      <c r="K696" s="336"/>
      <c r="L696" s="336"/>
      <c r="M696" s="336"/>
      <c r="N696" s="336"/>
      <c r="O696" s="336"/>
      <c r="P696" s="336"/>
      <c r="Q696" s="336"/>
    </row>
    <row r="697" ht="15.75" customHeight="1">
      <c r="A697" s="336"/>
      <c r="B697" s="336"/>
      <c r="C697" s="336"/>
      <c r="D697" s="336"/>
      <c r="E697" s="336"/>
      <c r="F697" s="336"/>
      <c r="G697" s="336"/>
      <c r="H697" s="336"/>
      <c r="I697" s="336"/>
      <c r="J697" s="336"/>
      <c r="K697" s="336"/>
      <c r="L697" s="336"/>
      <c r="M697" s="336"/>
      <c r="N697" s="336"/>
      <c r="O697" s="336"/>
      <c r="P697" s="336"/>
      <c r="Q697" s="336"/>
    </row>
    <row r="698" ht="15.75" customHeight="1">
      <c r="A698" s="336"/>
      <c r="B698" s="336"/>
      <c r="C698" s="336"/>
      <c r="D698" s="336"/>
      <c r="E698" s="336"/>
      <c r="F698" s="336"/>
      <c r="G698" s="336"/>
      <c r="H698" s="336"/>
      <c r="I698" s="336"/>
      <c r="J698" s="336"/>
      <c r="K698" s="336"/>
      <c r="L698" s="336"/>
      <c r="M698" s="336"/>
      <c r="N698" s="336"/>
      <c r="O698" s="336"/>
      <c r="P698" s="336"/>
      <c r="Q698" s="336"/>
    </row>
    <row r="699" ht="15.75" customHeight="1">
      <c r="A699" s="336"/>
      <c r="B699" s="336"/>
      <c r="C699" s="336"/>
      <c r="D699" s="336"/>
      <c r="E699" s="336"/>
      <c r="F699" s="336"/>
      <c r="G699" s="336"/>
      <c r="H699" s="336"/>
      <c r="I699" s="336"/>
      <c r="J699" s="336"/>
      <c r="K699" s="336"/>
      <c r="L699" s="336"/>
      <c r="M699" s="336"/>
      <c r="N699" s="336"/>
      <c r="O699" s="336"/>
      <c r="P699" s="336"/>
      <c r="Q699" s="336"/>
    </row>
    <row r="700" ht="15.75" customHeight="1">
      <c r="A700" s="336"/>
      <c r="B700" s="336"/>
      <c r="C700" s="336"/>
      <c r="D700" s="336"/>
      <c r="E700" s="336"/>
      <c r="F700" s="336"/>
      <c r="G700" s="336"/>
      <c r="H700" s="336"/>
      <c r="I700" s="336"/>
      <c r="J700" s="336"/>
      <c r="K700" s="336"/>
      <c r="L700" s="336"/>
      <c r="M700" s="336"/>
      <c r="N700" s="336"/>
      <c r="O700" s="336"/>
      <c r="P700" s="336"/>
      <c r="Q700" s="336"/>
    </row>
    <row r="701" ht="15.75" customHeight="1">
      <c r="A701" s="336"/>
      <c r="B701" s="336"/>
      <c r="C701" s="336"/>
      <c r="D701" s="336"/>
      <c r="E701" s="336"/>
      <c r="F701" s="336"/>
      <c r="G701" s="336"/>
      <c r="H701" s="336"/>
      <c r="I701" s="336"/>
      <c r="J701" s="336"/>
      <c r="K701" s="336"/>
      <c r="L701" s="336"/>
      <c r="M701" s="336"/>
      <c r="N701" s="336"/>
      <c r="O701" s="336"/>
      <c r="P701" s="336"/>
      <c r="Q701" s="336"/>
    </row>
    <row r="702" ht="15.75" customHeight="1">
      <c r="A702" s="336"/>
      <c r="B702" s="336"/>
      <c r="C702" s="336"/>
      <c r="D702" s="336"/>
      <c r="E702" s="336"/>
      <c r="F702" s="336"/>
      <c r="G702" s="336"/>
      <c r="H702" s="336"/>
      <c r="I702" s="336"/>
      <c r="J702" s="336"/>
      <c r="K702" s="336"/>
      <c r="L702" s="336"/>
      <c r="M702" s="336"/>
      <c r="N702" s="336"/>
      <c r="O702" s="336"/>
      <c r="P702" s="336"/>
      <c r="Q702" s="336"/>
    </row>
    <row r="703" ht="15.75" customHeight="1">
      <c r="A703" s="336"/>
      <c r="B703" s="336"/>
      <c r="C703" s="336"/>
      <c r="D703" s="336"/>
      <c r="E703" s="336"/>
      <c r="F703" s="336"/>
      <c r="G703" s="336"/>
      <c r="H703" s="336"/>
      <c r="I703" s="336"/>
      <c r="J703" s="336"/>
      <c r="K703" s="336"/>
      <c r="L703" s="336"/>
      <c r="M703" s="336"/>
      <c r="N703" s="336"/>
      <c r="O703" s="336"/>
      <c r="P703" s="336"/>
      <c r="Q703" s="336"/>
    </row>
    <row r="704" ht="15.75" customHeight="1">
      <c r="A704" s="336"/>
      <c r="B704" s="336"/>
      <c r="C704" s="336"/>
      <c r="D704" s="336"/>
      <c r="E704" s="336"/>
      <c r="F704" s="336"/>
      <c r="G704" s="336"/>
      <c r="H704" s="336"/>
      <c r="I704" s="336"/>
      <c r="J704" s="336"/>
      <c r="K704" s="336"/>
      <c r="L704" s="336"/>
      <c r="M704" s="336"/>
      <c r="N704" s="336"/>
      <c r="O704" s="336"/>
      <c r="P704" s="336"/>
      <c r="Q704" s="336"/>
    </row>
    <row r="705" ht="15.75" customHeight="1">
      <c r="A705" s="336"/>
      <c r="B705" s="336"/>
      <c r="C705" s="336"/>
      <c r="D705" s="336"/>
      <c r="E705" s="336"/>
      <c r="F705" s="336"/>
      <c r="G705" s="336"/>
      <c r="H705" s="336"/>
      <c r="I705" s="336"/>
      <c r="J705" s="336"/>
      <c r="K705" s="336"/>
      <c r="L705" s="336"/>
      <c r="M705" s="336"/>
      <c r="N705" s="336"/>
      <c r="O705" s="336"/>
      <c r="P705" s="336"/>
      <c r="Q705" s="336"/>
    </row>
    <row r="706" ht="15.75" customHeight="1">
      <c r="A706" s="336"/>
      <c r="B706" s="336"/>
      <c r="C706" s="336"/>
      <c r="D706" s="336"/>
      <c r="E706" s="336"/>
      <c r="F706" s="336"/>
      <c r="G706" s="336"/>
      <c r="H706" s="336"/>
      <c r="I706" s="336"/>
      <c r="J706" s="336"/>
      <c r="K706" s="336"/>
      <c r="L706" s="336"/>
      <c r="M706" s="336"/>
      <c r="N706" s="336"/>
      <c r="O706" s="336"/>
      <c r="P706" s="336"/>
      <c r="Q706" s="336"/>
    </row>
    <row r="707" ht="15.75" customHeight="1">
      <c r="A707" s="336"/>
      <c r="B707" s="336"/>
      <c r="C707" s="336"/>
      <c r="D707" s="336"/>
      <c r="E707" s="336"/>
      <c r="F707" s="336"/>
      <c r="G707" s="336"/>
      <c r="H707" s="336"/>
      <c r="I707" s="336"/>
      <c r="J707" s="336"/>
      <c r="K707" s="336"/>
      <c r="L707" s="336"/>
      <c r="M707" s="336"/>
      <c r="N707" s="336"/>
      <c r="O707" s="336"/>
      <c r="P707" s="336"/>
      <c r="Q707" s="336"/>
    </row>
    <row r="708" ht="15.75" customHeight="1">
      <c r="A708" s="336"/>
      <c r="B708" s="336"/>
      <c r="C708" s="336"/>
      <c r="D708" s="336"/>
      <c r="E708" s="336"/>
      <c r="F708" s="336"/>
      <c r="G708" s="336"/>
      <c r="H708" s="336"/>
      <c r="I708" s="336"/>
      <c r="J708" s="336"/>
      <c r="K708" s="336"/>
      <c r="L708" s="336"/>
      <c r="M708" s="336"/>
      <c r="N708" s="336"/>
      <c r="O708" s="336"/>
      <c r="P708" s="336"/>
      <c r="Q708" s="336"/>
    </row>
    <row r="709" ht="15.75" customHeight="1">
      <c r="A709" s="336"/>
      <c r="B709" s="336"/>
      <c r="C709" s="336"/>
      <c r="D709" s="336"/>
      <c r="E709" s="336"/>
      <c r="F709" s="336"/>
      <c r="G709" s="336"/>
      <c r="H709" s="336"/>
      <c r="I709" s="336"/>
      <c r="J709" s="336"/>
      <c r="K709" s="336"/>
      <c r="L709" s="336"/>
      <c r="M709" s="336"/>
      <c r="N709" s="336"/>
      <c r="O709" s="336"/>
      <c r="P709" s="336"/>
      <c r="Q709" s="336"/>
    </row>
    <row r="710" ht="15.75" customHeight="1">
      <c r="A710" s="336"/>
      <c r="B710" s="336"/>
      <c r="C710" s="336"/>
      <c r="D710" s="336"/>
      <c r="E710" s="336"/>
      <c r="F710" s="336"/>
      <c r="G710" s="336"/>
      <c r="H710" s="336"/>
      <c r="I710" s="336"/>
      <c r="J710" s="336"/>
      <c r="K710" s="336"/>
      <c r="L710" s="336"/>
      <c r="M710" s="336"/>
      <c r="N710" s="336"/>
      <c r="O710" s="336"/>
      <c r="P710" s="336"/>
      <c r="Q710" s="336"/>
    </row>
    <row r="711" ht="15.75" customHeight="1">
      <c r="A711" s="336"/>
      <c r="B711" s="336"/>
      <c r="C711" s="336"/>
      <c r="D711" s="336"/>
      <c r="E711" s="336"/>
      <c r="F711" s="336"/>
      <c r="G711" s="336"/>
      <c r="H711" s="336"/>
      <c r="I711" s="336"/>
      <c r="J711" s="336"/>
      <c r="K711" s="336"/>
      <c r="L711" s="336"/>
      <c r="M711" s="336"/>
      <c r="N711" s="336"/>
      <c r="O711" s="336"/>
      <c r="P711" s="336"/>
      <c r="Q711" s="336"/>
    </row>
    <row r="712" ht="15.75" customHeight="1">
      <c r="A712" s="336"/>
      <c r="B712" s="336"/>
      <c r="C712" s="336"/>
      <c r="D712" s="336"/>
      <c r="E712" s="336"/>
      <c r="F712" s="336"/>
      <c r="G712" s="336"/>
      <c r="H712" s="336"/>
      <c r="I712" s="336"/>
      <c r="J712" s="336"/>
      <c r="K712" s="336"/>
      <c r="L712" s="336"/>
      <c r="M712" s="336"/>
      <c r="N712" s="336"/>
      <c r="O712" s="336"/>
      <c r="P712" s="336"/>
      <c r="Q712" s="336"/>
    </row>
    <row r="713" ht="15.75" customHeight="1">
      <c r="A713" s="336"/>
      <c r="B713" s="336"/>
      <c r="C713" s="336"/>
      <c r="D713" s="336"/>
      <c r="E713" s="336"/>
      <c r="F713" s="336"/>
      <c r="G713" s="336"/>
      <c r="H713" s="336"/>
      <c r="I713" s="336"/>
      <c r="J713" s="336"/>
      <c r="K713" s="336"/>
      <c r="L713" s="336"/>
      <c r="M713" s="336"/>
      <c r="N713" s="336"/>
      <c r="O713" s="336"/>
      <c r="P713" s="336"/>
      <c r="Q713" s="336"/>
    </row>
    <row r="714" ht="15.75" customHeight="1">
      <c r="A714" s="336"/>
      <c r="B714" s="336"/>
      <c r="C714" s="336"/>
      <c r="D714" s="336"/>
      <c r="E714" s="336"/>
      <c r="F714" s="336"/>
      <c r="G714" s="336"/>
      <c r="H714" s="336"/>
      <c r="I714" s="336"/>
      <c r="J714" s="336"/>
      <c r="K714" s="336"/>
      <c r="L714" s="336"/>
      <c r="M714" s="336"/>
      <c r="N714" s="336"/>
      <c r="O714" s="336"/>
      <c r="P714" s="336"/>
      <c r="Q714" s="336"/>
    </row>
    <row r="715" ht="15.75" customHeight="1">
      <c r="A715" s="336"/>
      <c r="B715" s="336"/>
      <c r="C715" s="336"/>
      <c r="D715" s="336"/>
      <c r="E715" s="336"/>
      <c r="F715" s="336"/>
      <c r="G715" s="336"/>
      <c r="H715" s="336"/>
      <c r="I715" s="336"/>
      <c r="J715" s="336"/>
      <c r="K715" s="336"/>
      <c r="L715" s="336"/>
      <c r="M715" s="336"/>
      <c r="N715" s="336"/>
      <c r="O715" s="336"/>
      <c r="P715" s="336"/>
      <c r="Q715" s="336"/>
    </row>
    <row r="716" ht="15.75" customHeight="1">
      <c r="A716" s="336"/>
      <c r="B716" s="336"/>
      <c r="C716" s="336"/>
      <c r="D716" s="336"/>
      <c r="E716" s="336"/>
      <c r="F716" s="336"/>
      <c r="G716" s="336"/>
      <c r="H716" s="336"/>
      <c r="I716" s="336"/>
      <c r="J716" s="336"/>
      <c r="K716" s="336"/>
      <c r="L716" s="336"/>
      <c r="M716" s="336"/>
      <c r="N716" s="336"/>
      <c r="O716" s="336"/>
      <c r="P716" s="336"/>
      <c r="Q716" s="336"/>
    </row>
    <row r="717" ht="15.75" customHeight="1">
      <c r="A717" s="336"/>
      <c r="B717" s="336"/>
      <c r="C717" s="336"/>
      <c r="D717" s="336"/>
      <c r="E717" s="336"/>
      <c r="F717" s="336"/>
      <c r="G717" s="336"/>
      <c r="H717" s="336"/>
      <c r="I717" s="336"/>
      <c r="J717" s="336"/>
      <c r="K717" s="336"/>
      <c r="L717" s="336"/>
      <c r="M717" s="336"/>
      <c r="N717" s="336"/>
      <c r="O717" s="336"/>
      <c r="P717" s="336"/>
      <c r="Q717" s="336"/>
    </row>
    <row r="718" ht="15.75" customHeight="1">
      <c r="A718" s="336"/>
      <c r="B718" s="336"/>
      <c r="C718" s="336"/>
      <c r="D718" s="336"/>
      <c r="E718" s="336"/>
      <c r="F718" s="336"/>
      <c r="G718" s="336"/>
      <c r="H718" s="336"/>
      <c r="I718" s="336"/>
      <c r="J718" s="336"/>
      <c r="K718" s="336"/>
      <c r="L718" s="336"/>
      <c r="M718" s="336"/>
      <c r="N718" s="336"/>
      <c r="O718" s="336"/>
      <c r="P718" s="336"/>
      <c r="Q718" s="336"/>
    </row>
    <row r="719" ht="15.75" customHeight="1">
      <c r="A719" s="336"/>
      <c r="B719" s="336"/>
      <c r="C719" s="336"/>
      <c r="D719" s="336"/>
      <c r="E719" s="336"/>
      <c r="F719" s="336"/>
      <c r="G719" s="336"/>
      <c r="H719" s="336"/>
      <c r="I719" s="336"/>
      <c r="J719" s="336"/>
      <c r="K719" s="336"/>
      <c r="L719" s="336"/>
      <c r="M719" s="336"/>
      <c r="N719" s="336"/>
      <c r="O719" s="336"/>
      <c r="P719" s="336"/>
      <c r="Q719" s="336"/>
    </row>
    <row r="720" ht="15.75" customHeight="1">
      <c r="A720" s="336"/>
      <c r="B720" s="336"/>
      <c r="C720" s="336"/>
      <c r="D720" s="336"/>
      <c r="E720" s="336"/>
      <c r="F720" s="336"/>
      <c r="G720" s="336"/>
      <c r="H720" s="336"/>
      <c r="I720" s="336"/>
      <c r="J720" s="336"/>
      <c r="K720" s="336"/>
      <c r="L720" s="336"/>
      <c r="M720" s="336"/>
      <c r="N720" s="336"/>
      <c r="O720" s="336"/>
      <c r="P720" s="336"/>
      <c r="Q720" s="336"/>
    </row>
    <row r="721" ht="15.75" customHeight="1">
      <c r="A721" s="336"/>
      <c r="B721" s="336"/>
      <c r="C721" s="336"/>
      <c r="D721" s="336"/>
      <c r="E721" s="336"/>
      <c r="F721" s="336"/>
      <c r="G721" s="336"/>
      <c r="H721" s="336"/>
      <c r="I721" s="336"/>
      <c r="J721" s="336"/>
      <c r="K721" s="336"/>
      <c r="L721" s="336"/>
      <c r="M721" s="336"/>
      <c r="N721" s="336"/>
      <c r="O721" s="336"/>
      <c r="P721" s="336"/>
      <c r="Q721" s="336"/>
    </row>
    <row r="722" ht="15.75" customHeight="1">
      <c r="A722" s="336"/>
      <c r="B722" s="336"/>
      <c r="C722" s="336"/>
      <c r="D722" s="336"/>
      <c r="E722" s="336"/>
      <c r="F722" s="336"/>
      <c r="G722" s="336"/>
      <c r="H722" s="336"/>
      <c r="I722" s="336"/>
      <c r="J722" s="336"/>
      <c r="K722" s="336"/>
      <c r="L722" s="336"/>
      <c r="M722" s="336"/>
      <c r="N722" s="336"/>
      <c r="O722" s="336"/>
      <c r="P722" s="336"/>
      <c r="Q722" s="336"/>
    </row>
    <row r="723" ht="15.75" customHeight="1">
      <c r="A723" s="336"/>
      <c r="B723" s="336"/>
      <c r="C723" s="336"/>
      <c r="D723" s="336"/>
      <c r="E723" s="336"/>
      <c r="F723" s="336"/>
      <c r="G723" s="336"/>
      <c r="H723" s="336"/>
      <c r="I723" s="336"/>
      <c r="J723" s="336"/>
      <c r="K723" s="336"/>
      <c r="L723" s="336"/>
      <c r="M723" s="336"/>
      <c r="N723" s="336"/>
      <c r="O723" s="336"/>
      <c r="P723" s="336"/>
      <c r="Q723" s="336"/>
    </row>
    <row r="724" ht="15.75" customHeight="1">
      <c r="A724" s="336"/>
      <c r="B724" s="336"/>
      <c r="C724" s="336"/>
      <c r="D724" s="336"/>
      <c r="E724" s="336"/>
      <c r="F724" s="336"/>
      <c r="G724" s="336"/>
      <c r="H724" s="336"/>
      <c r="I724" s="336"/>
      <c r="J724" s="336"/>
      <c r="K724" s="336"/>
      <c r="L724" s="336"/>
      <c r="M724" s="336"/>
      <c r="N724" s="336"/>
      <c r="O724" s="336"/>
      <c r="P724" s="336"/>
      <c r="Q724" s="336"/>
    </row>
    <row r="725" ht="15.75" customHeight="1">
      <c r="A725" s="336"/>
      <c r="B725" s="336"/>
      <c r="C725" s="336"/>
      <c r="D725" s="336"/>
      <c r="E725" s="336"/>
      <c r="F725" s="336"/>
      <c r="G725" s="336"/>
      <c r="H725" s="336"/>
      <c r="I725" s="336"/>
      <c r="J725" s="336"/>
      <c r="K725" s="336"/>
      <c r="L725" s="336"/>
      <c r="M725" s="336"/>
      <c r="N725" s="336"/>
      <c r="O725" s="336"/>
      <c r="P725" s="336"/>
      <c r="Q725" s="336"/>
    </row>
    <row r="726" ht="15.75" customHeight="1">
      <c r="A726" s="336"/>
      <c r="B726" s="336"/>
      <c r="C726" s="336"/>
      <c r="D726" s="336"/>
      <c r="E726" s="336"/>
      <c r="F726" s="336"/>
      <c r="G726" s="336"/>
      <c r="H726" s="336"/>
      <c r="I726" s="336"/>
      <c r="J726" s="336"/>
      <c r="K726" s="336"/>
      <c r="L726" s="336"/>
      <c r="M726" s="336"/>
      <c r="N726" s="336"/>
      <c r="O726" s="336"/>
      <c r="P726" s="336"/>
      <c r="Q726" s="336"/>
    </row>
    <row r="727" ht="15.75" customHeight="1">
      <c r="A727" s="336"/>
      <c r="B727" s="336"/>
      <c r="C727" s="336"/>
      <c r="D727" s="336"/>
      <c r="E727" s="336"/>
      <c r="F727" s="336"/>
      <c r="G727" s="336"/>
      <c r="H727" s="336"/>
      <c r="I727" s="336"/>
      <c r="J727" s="336"/>
      <c r="K727" s="336"/>
      <c r="L727" s="336"/>
      <c r="M727" s="336"/>
      <c r="N727" s="336"/>
      <c r="O727" s="336"/>
      <c r="P727" s="336"/>
      <c r="Q727" s="336"/>
    </row>
    <row r="728" ht="15.75" customHeight="1">
      <c r="A728" s="336"/>
      <c r="B728" s="336"/>
      <c r="C728" s="336"/>
      <c r="D728" s="336"/>
      <c r="E728" s="336"/>
      <c r="F728" s="336"/>
      <c r="G728" s="336"/>
      <c r="H728" s="336"/>
      <c r="I728" s="336"/>
      <c r="J728" s="336"/>
      <c r="K728" s="336"/>
      <c r="L728" s="336"/>
      <c r="M728" s="336"/>
      <c r="N728" s="336"/>
      <c r="O728" s="336"/>
      <c r="P728" s="336"/>
      <c r="Q728" s="336"/>
    </row>
    <row r="729" ht="15.75" customHeight="1">
      <c r="A729" s="336"/>
      <c r="B729" s="336"/>
      <c r="C729" s="336"/>
      <c r="D729" s="336"/>
      <c r="E729" s="336"/>
      <c r="F729" s="336"/>
      <c r="G729" s="336"/>
      <c r="H729" s="336"/>
      <c r="I729" s="336"/>
      <c r="J729" s="336"/>
      <c r="K729" s="336"/>
      <c r="L729" s="336"/>
      <c r="M729" s="336"/>
      <c r="N729" s="336"/>
      <c r="O729" s="336"/>
      <c r="P729" s="336"/>
      <c r="Q729" s="336"/>
    </row>
    <row r="730" ht="15.75" customHeight="1">
      <c r="A730" s="336"/>
      <c r="B730" s="336"/>
      <c r="C730" s="336"/>
      <c r="D730" s="336"/>
      <c r="E730" s="336"/>
      <c r="F730" s="336"/>
      <c r="G730" s="336"/>
      <c r="H730" s="336"/>
      <c r="I730" s="336"/>
      <c r="J730" s="336"/>
      <c r="K730" s="336"/>
      <c r="L730" s="336"/>
      <c r="M730" s="336"/>
      <c r="N730" s="336"/>
      <c r="O730" s="336"/>
      <c r="P730" s="336"/>
      <c r="Q730" s="336"/>
    </row>
    <row r="731" ht="15.75" customHeight="1">
      <c r="A731" s="336"/>
      <c r="B731" s="336"/>
      <c r="C731" s="336"/>
      <c r="D731" s="336"/>
      <c r="E731" s="336"/>
      <c r="F731" s="336"/>
      <c r="G731" s="336"/>
      <c r="H731" s="336"/>
      <c r="I731" s="336"/>
      <c r="J731" s="336"/>
      <c r="K731" s="336"/>
      <c r="L731" s="336"/>
      <c r="M731" s="336"/>
      <c r="N731" s="336"/>
      <c r="O731" s="336"/>
      <c r="P731" s="336"/>
      <c r="Q731" s="336"/>
    </row>
    <row r="732" ht="15.75" customHeight="1">
      <c r="A732" s="336"/>
      <c r="B732" s="336"/>
      <c r="C732" s="336"/>
      <c r="D732" s="336"/>
      <c r="E732" s="336"/>
      <c r="F732" s="336"/>
      <c r="G732" s="336"/>
      <c r="H732" s="336"/>
      <c r="I732" s="336"/>
      <c r="J732" s="336"/>
      <c r="K732" s="336"/>
      <c r="L732" s="336"/>
      <c r="M732" s="336"/>
      <c r="N732" s="336"/>
      <c r="O732" s="336"/>
      <c r="P732" s="336"/>
      <c r="Q732" s="336"/>
    </row>
    <row r="733" ht="15.75" customHeight="1">
      <c r="A733" s="336"/>
      <c r="B733" s="336"/>
      <c r="C733" s="336"/>
      <c r="D733" s="336"/>
      <c r="E733" s="336"/>
      <c r="F733" s="336"/>
      <c r="G733" s="336"/>
      <c r="H733" s="336"/>
      <c r="I733" s="336"/>
      <c r="J733" s="336"/>
      <c r="K733" s="336"/>
      <c r="L733" s="336"/>
      <c r="M733" s="336"/>
      <c r="N733" s="336"/>
      <c r="O733" s="336"/>
      <c r="P733" s="336"/>
      <c r="Q733" s="336"/>
    </row>
    <row r="734" ht="15.75" customHeight="1">
      <c r="A734" s="336"/>
      <c r="B734" s="336"/>
      <c r="C734" s="336"/>
      <c r="D734" s="336"/>
      <c r="E734" s="336"/>
      <c r="F734" s="336"/>
      <c r="G734" s="336"/>
      <c r="H734" s="336"/>
      <c r="I734" s="336"/>
      <c r="J734" s="336"/>
      <c r="K734" s="336"/>
      <c r="L734" s="336"/>
      <c r="M734" s="336"/>
      <c r="N734" s="336"/>
      <c r="O734" s="336"/>
      <c r="P734" s="336"/>
      <c r="Q734" s="336"/>
    </row>
    <row r="735" ht="15.75" customHeight="1">
      <c r="A735" s="336"/>
      <c r="B735" s="336"/>
      <c r="C735" s="336"/>
      <c r="D735" s="336"/>
      <c r="E735" s="336"/>
      <c r="F735" s="336"/>
      <c r="G735" s="336"/>
      <c r="H735" s="336"/>
      <c r="I735" s="336"/>
      <c r="J735" s="336"/>
      <c r="K735" s="336"/>
      <c r="L735" s="336"/>
      <c r="M735" s="336"/>
      <c r="N735" s="336"/>
      <c r="O735" s="336"/>
      <c r="P735" s="336"/>
      <c r="Q735" s="336"/>
    </row>
    <row r="736" ht="15.75" customHeight="1">
      <c r="A736" s="336"/>
      <c r="B736" s="336"/>
      <c r="C736" s="336"/>
      <c r="D736" s="336"/>
      <c r="E736" s="336"/>
      <c r="F736" s="336"/>
      <c r="G736" s="336"/>
      <c r="H736" s="336"/>
      <c r="I736" s="336"/>
      <c r="J736" s="336"/>
      <c r="K736" s="336"/>
      <c r="L736" s="336"/>
      <c r="M736" s="336"/>
      <c r="N736" s="336"/>
      <c r="O736" s="336"/>
      <c r="P736" s="336"/>
      <c r="Q736" s="336"/>
    </row>
    <row r="737" ht="15.75" customHeight="1">
      <c r="A737" s="336"/>
      <c r="B737" s="336"/>
      <c r="C737" s="336"/>
      <c r="D737" s="336"/>
      <c r="E737" s="336"/>
      <c r="F737" s="336"/>
      <c r="G737" s="336"/>
      <c r="H737" s="336"/>
      <c r="I737" s="336"/>
      <c r="J737" s="336"/>
      <c r="K737" s="336"/>
      <c r="L737" s="336"/>
      <c r="M737" s="336"/>
      <c r="N737" s="336"/>
      <c r="O737" s="336"/>
      <c r="P737" s="336"/>
      <c r="Q737" s="336"/>
    </row>
    <row r="738" ht="15.75" customHeight="1">
      <c r="A738" s="336"/>
      <c r="B738" s="336"/>
      <c r="C738" s="336"/>
      <c r="D738" s="336"/>
      <c r="E738" s="336"/>
      <c r="F738" s="336"/>
      <c r="G738" s="336"/>
      <c r="H738" s="336"/>
      <c r="I738" s="336"/>
      <c r="J738" s="336"/>
      <c r="K738" s="336"/>
      <c r="L738" s="336"/>
      <c r="M738" s="336"/>
      <c r="N738" s="336"/>
      <c r="O738" s="336"/>
      <c r="P738" s="336"/>
      <c r="Q738" s="336"/>
    </row>
    <row r="739" ht="15.75" customHeight="1">
      <c r="A739" s="336"/>
      <c r="B739" s="336"/>
      <c r="C739" s="336"/>
      <c r="D739" s="336"/>
      <c r="E739" s="336"/>
      <c r="F739" s="336"/>
      <c r="G739" s="336"/>
      <c r="H739" s="336"/>
      <c r="I739" s="336"/>
      <c r="J739" s="336"/>
      <c r="K739" s="336"/>
      <c r="L739" s="336"/>
      <c r="M739" s="336"/>
      <c r="N739" s="336"/>
      <c r="O739" s="336"/>
      <c r="P739" s="336"/>
      <c r="Q739" s="336"/>
    </row>
    <row r="740" ht="15.75" customHeight="1">
      <c r="A740" s="336"/>
      <c r="B740" s="336"/>
      <c r="C740" s="336"/>
      <c r="D740" s="336"/>
      <c r="E740" s="336"/>
      <c r="F740" s="336"/>
      <c r="G740" s="336"/>
      <c r="H740" s="336"/>
      <c r="I740" s="336"/>
      <c r="J740" s="336"/>
      <c r="K740" s="336"/>
      <c r="L740" s="336"/>
      <c r="M740" s="336"/>
      <c r="N740" s="336"/>
      <c r="O740" s="336"/>
      <c r="P740" s="336"/>
      <c r="Q740" s="336"/>
    </row>
    <row r="741" ht="15.75" customHeight="1">
      <c r="A741" s="336"/>
      <c r="B741" s="336"/>
      <c r="C741" s="336"/>
      <c r="D741" s="336"/>
      <c r="E741" s="336"/>
      <c r="F741" s="336"/>
      <c r="G741" s="336"/>
      <c r="H741" s="336"/>
      <c r="I741" s="336"/>
      <c r="J741" s="336"/>
      <c r="K741" s="336"/>
      <c r="L741" s="336"/>
      <c r="M741" s="336"/>
      <c r="N741" s="336"/>
      <c r="O741" s="336"/>
      <c r="P741" s="336"/>
      <c r="Q741" s="336"/>
    </row>
    <row r="742" ht="15.75" customHeight="1">
      <c r="A742" s="336"/>
      <c r="B742" s="336"/>
      <c r="C742" s="336"/>
      <c r="D742" s="336"/>
      <c r="E742" s="336"/>
      <c r="F742" s="336"/>
      <c r="G742" s="336"/>
      <c r="H742" s="336"/>
      <c r="I742" s="336"/>
      <c r="J742" s="336"/>
      <c r="K742" s="336"/>
      <c r="L742" s="336"/>
      <c r="M742" s="336"/>
      <c r="N742" s="336"/>
      <c r="O742" s="336"/>
      <c r="P742" s="336"/>
      <c r="Q742" s="336"/>
    </row>
    <row r="743" ht="15.75" customHeight="1">
      <c r="A743" s="336"/>
      <c r="B743" s="336"/>
      <c r="C743" s="336"/>
      <c r="D743" s="336"/>
      <c r="E743" s="336"/>
      <c r="F743" s="336"/>
      <c r="G743" s="336"/>
      <c r="H743" s="336"/>
      <c r="I743" s="336"/>
      <c r="J743" s="336"/>
      <c r="K743" s="336"/>
      <c r="L743" s="336"/>
      <c r="M743" s="336"/>
      <c r="N743" s="336"/>
      <c r="O743" s="336"/>
      <c r="P743" s="336"/>
      <c r="Q743" s="336"/>
    </row>
    <row r="744" ht="15.75" customHeight="1">
      <c r="A744" s="336"/>
      <c r="B744" s="336"/>
      <c r="C744" s="336"/>
      <c r="D744" s="336"/>
      <c r="E744" s="336"/>
      <c r="F744" s="336"/>
      <c r="G744" s="336"/>
      <c r="H744" s="336"/>
      <c r="I744" s="336"/>
      <c r="J744" s="336"/>
      <c r="K744" s="336"/>
      <c r="L744" s="336"/>
      <c r="M744" s="336"/>
      <c r="N744" s="336"/>
      <c r="O744" s="336"/>
      <c r="P744" s="336"/>
      <c r="Q744" s="336"/>
    </row>
    <row r="745" ht="15.75" customHeight="1">
      <c r="A745" s="336"/>
      <c r="B745" s="336"/>
      <c r="C745" s="336"/>
      <c r="D745" s="336"/>
      <c r="E745" s="336"/>
      <c r="F745" s="336"/>
      <c r="G745" s="336"/>
      <c r="H745" s="336"/>
      <c r="I745" s="336"/>
      <c r="J745" s="336"/>
      <c r="K745" s="336"/>
      <c r="L745" s="336"/>
      <c r="M745" s="336"/>
      <c r="N745" s="336"/>
      <c r="O745" s="336"/>
      <c r="P745" s="336"/>
      <c r="Q745" s="336"/>
    </row>
    <row r="746" ht="15.75" customHeight="1">
      <c r="A746" s="336"/>
      <c r="B746" s="336"/>
      <c r="C746" s="336"/>
      <c r="D746" s="336"/>
      <c r="E746" s="336"/>
      <c r="F746" s="336"/>
      <c r="G746" s="336"/>
      <c r="H746" s="336"/>
      <c r="I746" s="336"/>
      <c r="J746" s="336"/>
      <c r="K746" s="336"/>
      <c r="L746" s="336"/>
      <c r="M746" s="336"/>
      <c r="N746" s="336"/>
      <c r="O746" s="336"/>
      <c r="P746" s="336"/>
      <c r="Q746" s="336"/>
    </row>
    <row r="747" ht="15.75" customHeight="1">
      <c r="A747" s="336"/>
      <c r="B747" s="336"/>
      <c r="C747" s="336"/>
      <c r="D747" s="336"/>
      <c r="E747" s="336"/>
      <c r="F747" s="336"/>
      <c r="G747" s="336"/>
      <c r="H747" s="336"/>
      <c r="I747" s="336"/>
      <c r="J747" s="336"/>
      <c r="K747" s="336"/>
      <c r="L747" s="336"/>
      <c r="M747" s="336"/>
      <c r="N747" s="336"/>
      <c r="O747" s="336"/>
      <c r="P747" s="336"/>
      <c r="Q747" s="336"/>
    </row>
    <row r="748" ht="15.75" customHeight="1">
      <c r="A748" s="336"/>
      <c r="B748" s="336"/>
      <c r="C748" s="336"/>
      <c r="D748" s="336"/>
      <c r="E748" s="336"/>
      <c r="F748" s="336"/>
      <c r="G748" s="336"/>
      <c r="H748" s="336"/>
      <c r="I748" s="336"/>
      <c r="J748" s="336"/>
      <c r="K748" s="336"/>
      <c r="L748" s="336"/>
      <c r="M748" s="336"/>
      <c r="N748" s="336"/>
      <c r="O748" s="336"/>
      <c r="P748" s="336"/>
      <c r="Q748" s="336"/>
    </row>
    <row r="749" ht="15.75" customHeight="1">
      <c r="A749" s="336"/>
      <c r="B749" s="336"/>
      <c r="C749" s="336"/>
      <c r="D749" s="336"/>
      <c r="E749" s="336"/>
      <c r="F749" s="336"/>
      <c r="G749" s="336"/>
      <c r="H749" s="336"/>
      <c r="I749" s="336"/>
      <c r="J749" s="336"/>
      <c r="K749" s="336"/>
      <c r="L749" s="336"/>
      <c r="M749" s="336"/>
      <c r="N749" s="336"/>
      <c r="O749" s="336"/>
      <c r="P749" s="336"/>
      <c r="Q749" s="336"/>
    </row>
    <row r="750" ht="15.75" customHeight="1">
      <c r="A750" s="336"/>
      <c r="B750" s="336"/>
      <c r="C750" s="336"/>
      <c r="D750" s="336"/>
      <c r="E750" s="336"/>
      <c r="F750" s="336"/>
      <c r="G750" s="336"/>
      <c r="H750" s="336"/>
      <c r="I750" s="336"/>
      <c r="J750" s="336"/>
      <c r="K750" s="336"/>
      <c r="L750" s="336"/>
      <c r="M750" s="336"/>
      <c r="N750" s="336"/>
      <c r="O750" s="336"/>
      <c r="P750" s="336"/>
      <c r="Q750" s="336"/>
    </row>
    <row r="751" ht="15.75" customHeight="1">
      <c r="A751" s="336"/>
      <c r="B751" s="336"/>
      <c r="C751" s="336"/>
      <c r="D751" s="336"/>
      <c r="E751" s="336"/>
      <c r="F751" s="336"/>
      <c r="G751" s="336"/>
      <c r="H751" s="336"/>
      <c r="I751" s="336"/>
      <c r="J751" s="336"/>
      <c r="K751" s="336"/>
      <c r="L751" s="336"/>
      <c r="M751" s="336"/>
      <c r="N751" s="336"/>
      <c r="O751" s="336"/>
      <c r="P751" s="336"/>
      <c r="Q751" s="336"/>
    </row>
    <row r="752" ht="15.75" customHeight="1">
      <c r="A752" s="336"/>
      <c r="B752" s="336"/>
      <c r="C752" s="336"/>
      <c r="D752" s="336"/>
      <c r="E752" s="336"/>
      <c r="F752" s="336"/>
      <c r="G752" s="336"/>
      <c r="H752" s="336"/>
      <c r="I752" s="336"/>
      <c r="J752" s="336"/>
      <c r="K752" s="336"/>
      <c r="L752" s="336"/>
      <c r="M752" s="336"/>
      <c r="N752" s="336"/>
      <c r="O752" s="336"/>
      <c r="P752" s="336"/>
      <c r="Q752" s="336"/>
    </row>
    <row r="753" ht="15.75" customHeight="1">
      <c r="A753" s="336"/>
      <c r="B753" s="336"/>
      <c r="C753" s="336"/>
      <c r="D753" s="336"/>
      <c r="E753" s="336"/>
      <c r="F753" s="336"/>
      <c r="G753" s="336"/>
      <c r="H753" s="336"/>
      <c r="I753" s="336"/>
      <c r="J753" s="336"/>
      <c r="K753" s="336"/>
      <c r="L753" s="336"/>
      <c r="M753" s="336"/>
      <c r="N753" s="336"/>
      <c r="O753" s="336"/>
      <c r="P753" s="336"/>
      <c r="Q753" s="336"/>
    </row>
    <row r="754" ht="15.75" customHeight="1">
      <c r="A754" s="336"/>
      <c r="B754" s="336"/>
      <c r="C754" s="336"/>
      <c r="D754" s="336"/>
      <c r="E754" s="336"/>
      <c r="F754" s="336"/>
      <c r="G754" s="336"/>
      <c r="H754" s="336"/>
      <c r="I754" s="336"/>
      <c r="J754" s="336"/>
      <c r="K754" s="336"/>
      <c r="L754" s="336"/>
      <c r="M754" s="336"/>
      <c r="N754" s="336"/>
      <c r="O754" s="336"/>
      <c r="P754" s="336"/>
      <c r="Q754" s="336"/>
    </row>
    <row r="755" ht="15.75" customHeight="1">
      <c r="A755" s="336"/>
      <c r="B755" s="336"/>
      <c r="C755" s="336"/>
      <c r="D755" s="336"/>
      <c r="E755" s="336"/>
      <c r="F755" s="336"/>
      <c r="G755" s="336"/>
      <c r="H755" s="336"/>
      <c r="I755" s="336"/>
      <c r="J755" s="336"/>
      <c r="K755" s="336"/>
      <c r="L755" s="336"/>
      <c r="M755" s="336"/>
      <c r="N755" s="336"/>
      <c r="O755" s="336"/>
      <c r="P755" s="336"/>
      <c r="Q755" s="336"/>
    </row>
    <row r="756" ht="15.75" customHeight="1">
      <c r="A756" s="336"/>
      <c r="B756" s="336"/>
      <c r="C756" s="336"/>
      <c r="D756" s="336"/>
      <c r="E756" s="336"/>
      <c r="F756" s="336"/>
      <c r="G756" s="336"/>
      <c r="H756" s="336"/>
      <c r="I756" s="336"/>
      <c r="J756" s="336"/>
      <c r="K756" s="336"/>
      <c r="L756" s="336"/>
      <c r="M756" s="336"/>
      <c r="N756" s="336"/>
      <c r="O756" s="336"/>
      <c r="P756" s="336"/>
      <c r="Q756" s="336"/>
    </row>
    <row r="757" ht="15.75" customHeight="1">
      <c r="A757" s="336"/>
      <c r="B757" s="336"/>
      <c r="C757" s="336"/>
      <c r="D757" s="336"/>
      <c r="E757" s="336"/>
      <c r="F757" s="336"/>
      <c r="G757" s="336"/>
      <c r="H757" s="336"/>
      <c r="I757" s="336"/>
      <c r="J757" s="336"/>
      <c r="K757" s="336"/>
      <c r="L757" s="336"/>
      <c r="M757" s="336"/>
      <c r="N757" s="336"/>
      <c r="O757" s="336"/>
      <c r="P757" s="336"/>
      <c r="Q757" s="336"/>
    </row>
    <row r="758" ht="15.75" customHeight="1">
      <c r="A758" s="336"/>
      <c r="B758" s="336"/>
      <c r="C758" s="336"/>
      <c r="D758" s="336"/>
      <c r="E758" s="336"/>
      <c r="F758" s="336"/>
      <c r="G758" s="336"/>
      <c r="H758" s="336"/>
      <c r="I758" s="336"/>
      <c r="J758" s="336"/>
      <c r="K758" s="336"/>
      <c r="L758" s="336"/>
      <c r="M758" s="336"/>
      <c r="N758" s="336"/>
      <c r="O758" s="336"/>
      <c r="P758" s="336"/>
      <c r="Q758" s="336"/>
    </row>
    <row r="759" ht="15.75" customHeight="1">
      <c r="A759" s="336"/>
      <c r="B759" s="336"/>
      <c r="C759" s="336"/>
      <c r="D759" s="336"/>
      <c r="E759" s="336"/>
      <c r="F759" s="336"/>
      <c r="G759" s="336"/>
      <c r="H759" s="336"/>
      <c r="I759" s="336"/>
      <c r="J759" s="336"/>
      <c r="K759" s="336"/>
      <c r="L759" s="336"/>
      <c r="M759" s="336"/>
      <c r="N759" s="336"/>
      <c r="O759" s="336"/>
      <c r="P759" s="336"/>
      <c r="Q759" s="336"/>
    </row>
    <row r="760" ht="15.75" customHeight="1">
      <c r="A760" s="336"/>
      <c r="B760" s="336"/>
      <c r="C760" s="336"/>
      <c r="D760" s="336"/>
      <c r="E760" s="336"/>
      <c r="F760" s="336"/>
      <c r="G760" s="336"/>
      <c r="H760" s="336"/>
      <c r="I760" s="336"/>
      <c r="J760" s="336"/>
      <c r="K760" s="336"/>
      <c r="L760" s="336"/>
      <c r="M760" s="336"/>
      <c r="N760" s="336"/>
      <c r="O760" s="336"/>
      <c r="P760" s="336"/>
      <c r="Q760" s="336"/>
    </row>
    <row r="761" ht="15.75" customHeight="1">
      <c r="A761" s="336"/>
      <c r="B761" s="336"/>
      <c r="C761" s="336"/>
      <c r="D761" s="336"/>
      <c r="E761" s="336"/>
      <c r="F761" s="336"/>
      <c r="G761" s="336"/>
      <c r="H761" s="336"/>
      <c r="I761" s="336"/>
      <c r="J761" s="336"/>
      <c r="K761" s="336"/>
      <c r="L761" s="336"/>
      <c r="M761" s="336"/>
      <c r="N761" s="336"/>
      <c r="O761" s="336"/>
      <c r="P761" s="336"/>
      <c r="Q761" s="336"/>
    </row>
    <row r="762" ht="15.75" customHeight="1">
      <c r="A762" s="336"/>
      <c r="B762" s="336"/>
      <c r="C762" s="336"/>
      <c r="D762" s="336"/>
      <c r="E762" s="336"/>
      <c r="F762" s="336"/>
      <c r="G762" s="336"/>
      <c r="H762" s="336"/>
      <c r="I762" s="336"/>
      <c r="J762" s="336"/>
      <c r="K762" s="336"/>
      <c r="L762" s="336"/>
      <c r="M762" s="336"/>
      <c r="N762" s="336"/>
      <c r="O762" s="336"/>
      <c r="P762" s="336"/>
      <c r="Q762" s="336"/>
    </row>
    <row r="763" ht="15.75" customHeight="1">
      <c r="A763" s="336"/>
      <c r="B763" s="336"/>
      <c r="C763" s="336"/>
      <c r="D763" s="336"/>
      <c r="E763" s="336"/>
      <c r="F763" s="336"/>
      <c r="G763" s="336"/>
      <c r="H763" s="336"/>
      <c r="I763" s="336"/>
      <c r="J763" s="336"/>
      <c r="K763" s="336"/>
      <c r="L763" s="336"/>
      <c r="M763" s="336"/>
      <c r="N763" s="336"/>
      <c r="O763" s="336"/>
      <c r="P763" s="336"/>
      <c r="Q763" s="336"/>
    </row>
    <row r="764" ht="15.75" customHeight="1">
      <c r="A764" s="336"/>
      <c r="B764" s="336"/>
      <c r="C764" s="336"/>
      <c r="D764" s="336"/>
      <c r="E764" s="336"/>
      <c r="F764" s="336"/>
      <c r="G764" s="336"/>
      <c r="H764" s="336"/>
      <c r="I764" s="336"/>
      <c r="J764" s="336"/>
      <c r="K764" s="336"/>
      <c r="L764" s="336"/>
      <c r="M764" s="336"/>
      <c r="N764" s="336"/>
      <c r="O764" s="336"/>
      <c r="P764" s="336"/>
      <c r="Q764" s="336"/>
    </row>
    <row r="765" ht="15.75" customHeight="1">
      <c r="A765" s="336"/>
      <c r="B765" s="336"/>
      <c r="C765" s="336"/>
      <c r="D765" s="336"/>
      <c r="E765" s="336"/>
      <c r="F765" s="336"/>
      <c r="G765" s="336"/>
      <c r="H765" s="336"/>
      <c r="I765" s="336"/>
      <c r="J765" s="336"/>
      <c r="K765" s="336"/>
      <c r="L765" s="336"/>
      <c r="M765" s="336"/>
      <c r="N765" s="336"/>
      <c r="O765" s="336"/>
      <c r="P765" s="336"/>
      <c r="Q765" s="336"/>
    </row>
    <row r="766" ht="15.75" customHeight="1">
      <c r="A766" s="336"/>
      <c r="B766" s="336"/>
      <c r="C766" s="336"/>
      <c r="D766" s="336"/>
      <c r="E766" s="336"/>
      <c r="F766" s="336"/>
      <c r="G766" s="336"/>
      <c r="H766" s="336"/>
      <c r="I766" s="336"/>
      <c r="J766" s="336"/>
      <c r="K766" s="336"/>
      <c r="L766" s="336"/>
      <c r="M766" s="336"/>
      <c r="N766" s="336"/>
      <c r="O766" s="336"/>
      <c r="P766" s="336"/>
      <c r="Q766" s="336"/>
    </row>
    <row r="767" ht="15.75" customHeight="1">
      <c r="A767" s="336"/>
      <c r="B767" s="336"/>
      <c r="C767" s="336"/>
      <c r="D767" s="336"/>
      <c r="E767" s="336"/>
      <c r="F767" s="336"/>
      <c r="G767" s="336"/>
      <c r="H767" s="336"/>
      <c r="I767" s="336"/>
      <c r="J767" s="336"/>
      <c r="K767" s="336"/>
      <c r="L767" s="336"/>
      <c r="M767" s="336"/>
      <c r="N767" s="336"/>
      <c r="O767" s="336"/>
      <c r="P767" s="336"/>
      <c r="Q767" s="336"/>
    </row>
    <row r="768" ht="15.75" customHeight="1">
      <c r="A768" s="336"/>
      <c r="B768" s="336"/>
      <c r="C768" s="336"/>
      <c r="D768" s="336"/>
      <c r="E768" s="336"/>
      <c r="F768" s="336"/>
      <c r="G768" s="336"/>
      <c r="H768" s="336"/>
      <c r="I768" s="336"/>
      <c r="J768" s="336"/>
      <c r="K768" s="336"/>
      <c r="L768" s="336"/>
      <c r="M768" s="336"/>
      <c r="N768" s="336"/>
      <c r="O768" s="336"/>
      <c r="P768" s="336"/>
      <c r="Q768" s="336"/>
    </row>
    <row r="769" ht="15.75" customHeight="1">
      <c r="A769" s="336"/>
      <c r="B769" s="336"/>
      <c r="C769" s="336"/>
      <c r="D769" s="336"/>
      <c r="E769" s="336"/>
      <c r="F769" s="336"/>
      <c r="G769" s="336"/>
      <c r="H769" s="336"/>
      <c r="I769" s="336"/>
      <c r="J769" s="336"/>
      <c r="K769" s="336"/>
      <c r="L769" s="336"/>
      <c r="M769" s="336"/>
      <c r="N769" s="336"/>
      <c r="O769" s="336"/>
      <c r="P769" s="336"/>
      <c r="Q769" s="336"/>
    </row>
    <row r="770" ht="15.75" customHeight="1">
      <c r="A770" s="336"/>
      <c r="B770" s="336"/>
      <c r="C770" s="336"/>
      <c r="D770" s="336"/>
      <c r="E770" s="336"/>
      <c r="F770" s="336"/>
      <c r="G770" s="336"/>
      <c r="H770" s="336"/>
      <c r="I770" s="336"/>
      <c r="J770" s="336"/>
      <c r="K770" s="336"/>
      <c r="L770" s="336"/>
      <c r="M770" s="336"/>
      <c r="N770" s="336"/>
      <c r="O770" s="336"/>
      <c r="P770" s="336"/>
      <c r="Q770" s="336"/>
    </row>
    <row r="771" ht="15.75" customHeight="1">
      <c r="A771" s="336"/>
      <c r="B771" s="336"/>
      <c r="C771" s="336"/>
      <c r="D771" s="336"/>
      <c r="E771" s="336"/>
      <c r="F771" s="336"/>
      <c r="G771" s="336"/>
      <c r="H771" s="336"/>
      <c r="I771" s="336"/>
      <c r="J771" s="336"/>
      <c r="K771" s="336"/>
      <c r="L771" s="336"/>
      <c r="M771" s="336"/>
      <c r="N771" s="336"/>
      <c r="O771" s="336"/>
      <c r="P771" s="336"/>
      <c r="Q771" s="336"/>
    </row>
    <row r="772" ht="15.75" customHeight="1">
      <c r="A772" s="336"/>
      <c r="B772" s="336"/>
      <c r="C772" s="336"/>
      <c r="D772" s="336"/>
      <c r="E772" s="336"/>
      <c r="F772" s="336"/>
      <c r="G772" s="336"/>
      <c r="H772" s="336"/>
      <c r="I772" s="336"/>
      <c r="J772" s="336"/>
      <c r="K772" s="336"/>
      <c r="L772" s="336"/>
      <c r="M772" s="336"/>
      <c r="N772" s="336"/>
      <c r="O772" s="336"/>
      <c r="P772" s="336"/>
      <c r="Q772" s="336"/>
    </row>
    <row r="773" ht="15.75" customHeight="1">
      <c r="A773" s="336"/>
      <c r="B773" s="336"/>
      <c r="C773" s="336"/>
      <c r="D773" s="336"/>
      <c r="E773" s="336"/>
      <c r="F773" s="336"/>
      <c r="G773" s="336"/>
      <c r="H773" s="336"/>
      <c r="I773" s="336"/>
      <c r="J773" s="336"/>
      <c r="K773" s="336"/>
      <c r="L773" s="336"/>
      <c r="M773" s="336"/>
      <c r="N773" s="336"/>
      <c r="O773" s="336"/>
      <c r="P773" s="336"/>
      <c r="Q773" s="336"/>
    </row>
    <row r="774" ht="15.75" customHeight="1">
      <c r="A774" s="336"/>
      <c r="B774" s="336"/>
      <c r="C774" s="336"/>
      <c r="D774" s="336"/>
      <c r="E774" s="336"/>
      <c r="F774" s="336"/>
      <c r="G774" s="336"/>
      <c r="H774" s="336"/>
      <c r="I774" s="336"/>
      <c r="J774" s="336"/>
      <c r="K774" s="336"/>
      <c r="L774" s="336"/>
      <c r="M774" s="336"/>
      <c r="N774" s="336"/>
      <c r="O774" s="336"/>
      <c r="P774" s="336"/>
      <c r="Q774" s="336"/>
    </row>
    <row r="775" ht="15.75" customHeight="1">
      <c r="A775" s="336"/>
      <c r="B775" s="336"/>
      <c r="C775" s="336"/>
      <c r="D775" s="336"/>
      <c r="E775" s="336"/>
      <c r="F775" s="336"/>
      <c r="G775" s="336"/>
      <c r="H775" s="336"/>
      <c r="I775" s="336"/>
      <c r="J775" s="336"/>
      <c r="K775" s="336"/>
      <c r="L775" s="336"/>
      <c r="M775" s="336"/>
      <c r="N775" s="336"/>
      <c r="O775" s="336"/>
      <c r="P775" s="336"/>
      <c r="Q775" s="336"/>
    </row>
    <row r="776" ht="15.75" customHeight="1">
      <c r="A776" s="336"/>
      <c r="B776" s="336"/>
      <c r="C776" s="336"/>
      <c r="D776" s="336"/>
      <c r="E776" s="336"/>
      <c r="F776" s="336"/>
      <c r="G776" s="336"/>
      <c r="H776" s="336"/>
      <c r="I776" s="336"/>
      <c r="J776" s="336"/>
      <c r="K776" s="336"/>
      <c r="L776" s="336"/>
      <c r="M776" s="336"/>
      <c r="N776" s="336"/>
      <c r="O776" s="336"/>
      <c r="P776" s="336"/>
      <c r="Q776" s="336"/>
    </row>
    <row r="777" ht="15.75" customHeight="1">
      <c r="A777" s="336"/>
      <c r="B777" s="336"/>
      <c r="C777" s="336"/>
      <c r="D777" s="336"/>
      <c r="E777" s="336"/>
      <c r="F777" s="336"/>
      <c r="G777" s="336"/>
      <c r="H777" s="336"/>
      <c r="I777" s="336"/>
      <c r="J777" s="336"/>
      <c r="K777" s="336"/>
      <c r="L777" s="336"/>
      <c r="M777" s="336"/>
      <c r="N777" s="336"/>
      <c r="O777" s="336"/>
      <c r="P777" s="336"/>
      <c r="Q777" s="336"/>
    </row>
    <row r="778" ht="15.75" customHeight="1">
      <c r="A778" s="336"/>
      <c r="B778" s="336"/>
      <c r="C778" s="336"/>
      <c r="D778" s="336"/>
      <c r="E778" s="336"/>
      <c r="F778" s="336"/>
      <c r="G778" s="336"/>
      <c r="H778" s="336"/>
      <c r="I778" s="336"/>
      <c r="J778" s="336"/>
      <c r="K778" s="336"/>
      <c r="L778" s="336"/>
      <c r="M778" s="336"/>
      <c r="N778" s="336"/>
      <c r="O778" s="336"/>
      <c r="P778" s="336"/>
      <c r="Q778" s="336"/>
    </row>
    <row r="779" ht="15.75" customHeight="1">
      <c r="A779" s="336"/>
      <c r="B779" s="336"/>
      <c r="C779" s="336"/>
      <c r="D779" s="336"/>
      <c r="E779" s="336"/>
      <c r="F779" s="336"/>
      <c r="G779" s="336"/>
      <c r="H779" s="336"/>
      <c r="I779" s="336"/>
      <c r="J779" s="336"/>
      <c r="K779" s="336"/>
      <c r="L779" s="336"/>
      <c r="M779" s="336"/>
      <c r="N779" s="336"/>
      <c r="O779" s="336"/>
      <c r="P779" s="336"/>
      <c r="Q779" s="336"/>
    </row>
    <row r="780" ht="15.75" customHeight="1">
      <c r="A780" s="336"/>
      <c r="B780" s="336"/>
      <c r="C780" s="336"/>
      <c r="D780" s="336"/>
      <c r="E780" s="336"/>
      <c r="F780" s="336"/>
      <c r="G780" s="336"/>
      <c r="H780" s="336"/>
      <c r="I780" s="336"/>
      <c r="J780" s="336"/>
      <c r="K780" s="336"/>
      <c r="L780" s="336"/>
      <c r="M780" s="336"/>
      <c r="N780" s="336"/>
      <c r="O780" s="336"/>
      <c r="P780" s="336"/>
      <c r="Q780" s="336"/>
    </row>
    <row r="781" ht="15.75" customHeight="1">
      <c r="A781" s="336"/>
      <c r="B781" s="336"/>
      <c r="C781" s="336"/>
      <c r="D781" s="336"/>
      <c r="E781" s="336"/>
      <c r="F781" s="336"/>
      <c r="G781" s="336"/>
      <c r="H781" s="336"/>
      <c r="I781" s="336"/>
      <c r="J781" s="336"/>
      <c r="K781" s="336"/>
      <c r="L781" s="336"/>
      <c r="M781" s="336"/>
      <c r="N781" s="336"/>
      <c r="O781" s="336"/>
      <c r="P781" s="336"/>
      <c r="Q781" s="336"/>
    </row>
    <row r="782" ht="15.75" customHeight="1">
      <c r="A782" s="336"/>
      <c r="B782" s="336"/>
      <c r="C782" s="336"/>
      <c r="D782" s="336"/>
      <c r="E782" s="336"/>
      <c r="F782" s="336"/>
      <c r="G782" s="336"/>
      <c r="H782" s="336"/>
      <c r="I782" s="336"/>
      <c r="J782" s="336"/>
      <c r="K782" s="336"/>
      <c r="L782" s="336"/>
      <c r="M782" s="336"/>
      <c r="N782" s="336"/>
      <c r="O782" s="336"/>
      <c r="P782" s="336"/>
      <c r="Q782" s="336"/>
    </row>
    <row r="783" ht="15.75" customHeight="1">
      <c r="A783" s="336"/>
      <c r="B783" s="336"/>
      <c r="C783" s="336"/>
      <c r="D783" s="336"/>
      <c r="E783" s="336"/>
      <c r="F783" s="336"/>
      <c r="G783" s="336"/>
      <c r="H783" s="336"/>
      <c r="I783" s="336"/>
      <c r="J783" s="336"/>
      <c r="K783" s="336"/>
      <c r="L783" s="336"/>
      <c r="M783" s="336"/>
      <c r="N783" s="336"/>
      <c r="O783" s="336"/>
      <c r="P783" s="336"/>
      <c r="Q783" s="336"/>
    </row>
    <row r="784" ht="15.75" customHeight="1">
      <c r="A784" s="336"/>
      <c r="B784" s="336"/>
      <c r="C784" s="336"/>
      <c r="D784" s="336"/>
      <c r="E784" s="336"/>
      <c r="F784" s="336"/>
      <c r="G784" s="336"/>
      <c r="H784" s="336"/>
      <c r="I784" s="336"/>
      <c r="J784" s="336"/>
      <c r="K784" s="336"/>
      <c r="L784" s="336"/>
      <c r="M784" s="336"/>
      <c r="N784" s="336"/>
      <c r="O784" s="336"/>
      <c r="P784" s="336"/>
      <c r="Q784" s="336"/>
    </row>
    <row r="785" ht="15.75" customHeight="1">
      <c r="A785" s="336"/>
      <c r="B785" s="336"/>
      <c r="C785" s="336"/>
      <c r="D785" s="336"/>
      <c r="E785" s="336"/>
      <c r="F785" s="336"/>
      <c r="G785" s="336"/>
      <c r="H785" s="336"/>
      <c r="I785" s="336"/>
      <c r="J785" s="336"/>
      <c r="K785" s="336"/>
      <c r="L785" s="336"/>
      <c r="M785" s="336"/>
      <c r="N785" s="336"/>
      <c r="O785" s="336"/>
      <c r="P785" s="336"/>
      <c r="Q785" s="336"/>
    </row>
    <row r="786" ht="15.75" customHeight="1">
      <c r="A786" s="336"/>
      <c r="B786" s="336"/>
      <c r="C786" s="336"/>
      <c r="D786" s="336"/>
      <c r="E786" s="336"/>
      <c r="F786" s="336"/>
      <c r="G786" s="336"/>
      <c r="H786" s="336"/>
      <c r="I786" s="336"/>
      <c r="J786" s="336"/>
      <c r="K786" s="336"/>
      <c r="L786" s="336"/>
      <c r="M786" s="336"/>
      <c r="N786" s="336"/>
      <c r="O786" s="336"/>
      <c r="P786" s="336"/>
      <c r="Q786" s="336"/>
    </row>
    <row r="787" ht="15.75" customHeight="1">
      <c r="A787" s="336"/>
      <c r="B787" s="336"/>
      <c r="C787" s="336"/>
      <c r="D787" s="336"/>
      <c r="E787" s="336"/>
      <c r="F787" s="336"/>
      <c r="G787" s="336"/>
      <c r="H787" s="336"/>
      <c r="I787" s="336"/>
      <c r="J787" s="336"/>
      <c r="K787" s="336"/>
      <c r="L787" s="336"/>
      <c r="M787" s="336"/>
      <c r="N787" s="336"/>
      <c r="O787" s="336"/>
      <c r="P787" s="336"/>
      <c r="Q787" s="336"/>
    </row>
    <row r="788" ht="15.75" customHeight="1">
      <c r="A788" s="336"/>
      <c r="B788" s="336"/>
      <c r="C788" s="336"/>
      <c r="D788" s="336"/>
      <c r="E788" s="336"/>
      <c r="F788" s="336"/>
      <c r="G788" s="336"/>
      <c r="H788" s="336"/>
      <c r="I788" s="336"/>
      <c r="J788" s="336"/>
      <c r="K788" s="336"/>
      <c r="L788" s="336"/>
      <c r="M788" s="336"/>
      <c r="N788" s="336"/>
      <c r="O788" s="336"/>
      <c r="P788" s="336"/>
      <c r="Q788" s="336"/>
    </row>
    <row r="789" ht="15.75" customHeight="1">
      <c r="A789" s="336"/>
      <c r="B789" s="336"/>
      <c r="C789" s="336"/>
      <c r="D789" s="336"/>
      <c r="E789" s="336"/>
      <c r="F789" s="336"/>
      <c r="G789" s="336"/>
      <c r="H789" s="336"/>
      <c r="I789" s="336"/>
      <c r="J789" s="336"/>
      <c r="K789" s="336"/>
      <c r="L789" s="336"/>
      <c r="M789" s="336"/>
      <c r="N789" s="336"/>
      <c r="O789" s="336"/>
      <c r="P789" s="336"/>
      <c r="Q789" s="336"/>
    </row>
    <row r="790" ht="15.75" customHeight="1">
      <c r="A790" s="336"/>
      <c r="B790" s="336"/>
      <c r="C790" s="336"/>
      <c r="D790" s="336"/>
      <c r="E790" s="336"/>
      <c r="F790" s="336"/>
      <c r="G790" s="336"/>
      <c r="H790" s="336"/>
      <c r="I790" s="336"/>
      <c r="J790" s="336"/>
      <c r="K790" s="336"/>
      <c r="L790" s="336"/>
      <c r="M790" s="336"/>
      <c r="N790" s="336"/>
      <c r="O790" s="336"/>
      <c r="P790" s="336"/>
      <c r="Q790" s="336"/>
    </row>
    <row r="791" ht="15.75" customHeight="1">
      <c r="A791" s="336"/>
      <c r="B791" s="336"/>
      <c r="C791" s="336"/>
      <c r="D791" s="336"/>
      <c r="E791" s="336"/>
      <c r="F791" s="336"/>
      <c r="G791" s="336"/>
      <c r="H791" s="336"/>
      <c r="I791" s="336"/>
      <c r="J791" s="336"/>
      <c r="K791" s="336"/>
      <c r="L791" s="336"/>
      <c r="M791" s="336"/>
      <c r="N791" s="336"/>
      <c r="O791" s="336"/>
      <c r="P791" s="336"/>
      <c r="Q791" s="336"/>
    </row>
    <row r="792" ht="15.75" customHeight="1">
      <c r="A792" s="336"/>
      <c r="B792" s="336"/>
      <c r="C792" s="336"/>
      <c r="D792" s="336"/>
      <c r="E792" s="336"/>
      <c r="F792" s="336"/>
      <c r="G792" s="336"/>
      <c r="H792" s="336"/>
      <c r="I792" s="336"/>
      <c r="J792" s="336"/>
      <c r="K792" s="336"/>
      <c r="L792" s="336"/>
      <c r="M792" s="336"/>
      <c r="N792" s="336"/>
      <c r="O792" s="336"/>
      <c r="P792" s="336"/>
      <c r="Q792" s="336"/>
    </row>
    <row r="793" ht="15.75" customHeight="1">
      <c r="A793" s="336"/>
      <c r="B793" s="336"/>
      <c r="C793" s="336"/>
      <c r="D793" s="336"/>
      <c r="E793" s="336"/>
      <c r="F793" s="336"/>
      <c r="G793" s="336"/>
      <c r="H793" s="336"/>
      <c r="I793" s="336"/>
      <c r="J793" s="336"/>
      <c r="K793" s="336"/>
      <c r="L793" s="336"/>
      <c r="M793" s="336"/>
      <c r="N793" s="336"/>
      <c r="O793" s="336"/>
      <c r="P793" s="336"/>
      <c r="Q793" s="336"/>
    </row>
    <row r="794" ht="15.75" customHeight="1">
      <c r="A794" s="336"/>
      <c r="B794" s="336"/>
      <c r="C794" s="336"/>
      <c r="D794" s="336"/>
      <c r="E794" s="336"/>
      <c r="F794" s="336"/>
      <c r="G794" s="336"/>
      <c r="H794" s="336"/>
      <c r="I794" s="336"/>
      <c r="J794" s="336"/>
      <c r="K794" s="336"/>
      <c r="L794" s="336"/>
      <c r="M794" s="336"/>
      <c r="N794" s="336"/>
      <c r="O794" s="336"/>
      <c r="P794" s="336"/>
      <c r="Q794" s="336"/>
    </row>
    <row r="795" ht="15.75" customHeight="1">
      <c r="A795" s="336"/>
      <c r="B795" s="336"/>
      <c r="C795" s="336"/>
      <c r="D795" s="336"/>
      <c r="E795" s="336"/>
      <c r="F795" s="336"/>
      <c r="G795" s="336"/>
      <c r="H795" s="336"/>
      <c r="I795" s="336"/>
      <c r="J795" s="336"/>
      <c r="K795" s="336"/>
      <c r="L795" s="336"/>
      <c r="M795" s="336"/>
      <c r="N795" s="336"/>
      <c r="O795" s="336"/>
      <c r="P795" s="336"/>
      <c r="Q795" s="336"/>
    </row>
    <row r="796" ht="15.75" customHeight="1">
      <c r="A796" s="336"/>
      <c r="B796" s="336"/>
      <c r="C796" s="336"/>
      <c r="D796" s="336"/>
      <c r="E796" s="336"/>
      <c r="F796" s="336"/>
      <c r="G796" s="336"/>
      <c r="H796" s="336"/>
      <c r="I796" s="336"/>
      <c r="J796" s="336"/>
      <c r="K796" s="336"/>
      <c r="L796" s="336"/>
      <c r="M796" s="336"/>
      <c r="N796" s="336"/>
      <c r="O796" s="336"/>
      <c r="P796" s="336"/>
      <c r="Q796" s="336"/>
    </row>
    <row r="797" ht="15.75" customHeight="1">
      <c r="A797" s="336"/>
      <c r="B797" s="336"/>
      <c r="C797" s="336"/>
      <c r="D797" s="336"/>
      <c r="E797" s="336"/>
      <c r="F797" s="336"/>
      <c r="G797" s="336"/>
      <c r="H797" s="336"/>
      <c r="I797" s="336"/>
      <c r="J797" s="336"/>
      <c r="K797" s="336"/>
      <c r="L797" s="336"/>
      <c r="M797" s="336"/>
      <c r="N797" s="336"/>
      <c r="O797" s="336"/>
      <c r="P797" s="336"/>
      <c r="Q797" s="336"/>
    </row>
    <row r="798" ht="15.75" customHeight="1">
      <c r="A798" s="336"/>
      <c r="B798" s="336"/>
      <c r="C798" s="336"/>
      <c r="D798" s="336"/>
      <c r="E798" s="336"/>
      <c r="F798" s="336"/>
      <c r="G798" s="336"/>
      <c r="H798" s="336"/>
      <c r="I798" s="336"/>
      <c r="J798" s="336"/>
      <c r="K798" s="336"/>
      <c r="L798" s="336"/>
      <c r="M798" s="336"/>
      <c r="N798" s="336"/>
      <c r="O798" s="336"/>
      <c r="P798" s="336"/>
      <c r="Q798" s="336"/>
    </row>
    <row r="799" ht="15.75" customHeight="1">
      <c r="A799" s="336"/>
      <c r="B799" s="336"/>
      <c r="C799" s="336"/>
      <c r="D799" s="336"/>
      <c r="E799" s="336"/>
      <c r="F799" s="336"/>
      <c r="G799" s="336"/>
      <c r="H799" s="336"/>
      <c r="I799" s="336"/>
      <c r="J799" s="336"/>
      <c r="K799" s="336"/>
      <c r="L799" s="336"/>
      <c r="M799" s="336"/>
      <c r="N799" s="336"/>
      <c r="O799" s="336"/>
      <c r="P799" s="336"/>
      <c r="Q799" s="336"/>
    </row>
    <row r="800" ht="15.75" customHeight="1">
      <c r="A800" s="336"/>
      <c r="B800" s="336"/>
      <c r="C800" s="336"/>
      <c r="D800" s="336"/>
      <c r="E800" s="336"/>
      <c r="F800" s="336"/>
      <c r="G800" s="336"/>
      <c r="H800" s="336"/>
      <c r="I800" s="336"/>
      <c r="J800" s="336"/>
      <c r="K800" s="336"/>
      <c r="L800" s="336"/>
      <c r="M800" s="336"/>
      <c r="N800" s="336"/>
      <c r="O800" s="336"/>
      <c r="P800" s="336"/>
      <c r="Q800" s="336"/>
    </row>
    <row r="801" ht="15.75" customHeight="1">
      <c r="A801" s="336"/>
      <c r="B801" s="336"/>
      <c r="C801" s="336"/>
      <c r="D801" s="336"/>
      <c r="E801" s="336"/>
      <c r="F801" s="336"/>
      <c r="G801" s="336"/>
      <c r="H801" s="336"/>
      <c r="I801" s="336"/>
      <c r="J801" s="336"/>
      <c r="K801" s="336"/>
      <c r="L801" s="336"/>
      <c r="M801" s="336"/>
      <c r="N801" s="336"/>
      <c r="O801" s="336"/>
      <c r="P801" s="336"/>
      <c r="Q801" s="336"/>
    </row>
    <row r="802" ht="15.75" customHeight="1">
      <c r="A802" s="336"/>
      <c r="B802" s="336"/>
      <c r="C802" s="336"/>
      <c r="D802" s="336"/>
      <c r="E802" s="336"/>
      <c r="F802" s="336"/>
      <c r="G802" s="336"/>
      <c r="H802" s="336"/>
      <c r="I802" s="336"/>
      <c r="J802" s="336"/>
      <c r="K802" s="336"/>
      <c r="L802" s="336"/>
      <c r="M802" s="336"/>
      <c r="N802" s="336"/>
      <c r="O802" s="336"/>
      <c r="P802" s="336"/>
      <c r="Q802" s="336"/>
    </row>
    <row r="803" ht="15.75" customHeight="1">
      <c r="A803" s="336"/>
      <c r="B803" s="336"/>
      <c r="C803" s="336"/>
      <c r="D803" s="336"/>
      <c r="E803" s="336"/>
      <c r="F803" s="336"/>
      <c r="G803" s="336"/>
      <c r="H803" s="336"/>
      <c r="I803" s="336"/>
      <c r="J803" s="336"/>
      <c r="K803" s="336"/>
      <c r="L803" s="336"/>
      <c r="M803" s="336"/>
      <c r="N803" s="336"/>
      <c r="O803" s="336"/>
      <c r="P803" s="336"/>
      <c r="Q803" s="336"/>
    </row>
    <row r="804" ht="15.75" customHeight="1">
      <c r="A804" s="336"/>
      <c r="B804" s="336"/>
      <c r="C804" s="336"/>
      <c r="D804" s="336"/>
      <c r="E804" s="336"/>
      <c r="F804" s="336"/>
      <c r="G804" s="336"/>
      <c r="H804" s="336"/>
      <c r="I804" s="336"/>
      <c r="J804" s="336"/>
      <c r="K804" s="336"/>
      <c r="L804" s="336"/>
      <c r="M804" s="336"/>
      <c r="N804" s="336"/>
      <c r="O804" s="336"/>
      <c r="P804" s="336"/>
      <c r="Q804" s="336"/>
    </row>
    <row r="805" ht="15.75" customHeight="1">
      <c r="A805" s="336"/>
      <c r="B805" s="336"/>
      <c r="C805" s="336"/>
      <c r="D805" s="336"/>
      <c r="E805" s="336"/>
      <c r="F805" s="336"/>
      <c r="G805" s="336"/>
      <c r="H805" s="336"/>
      <c r="I805" s="336"/>
      <c r="J805" s="336"/>
      <c r="K805" s="336"/>
      <c r="L805" s="336"/>
      <c r="M805" s="336"/>
      <c r="N805" s="336"/>
      <c r="O805" s="336"/>
      <c r="P805" s="336"/>
      <c r="Q805" s="336"/>
    </row>
    <row r="806" ht="15.75" customHeight="1">
      <c r="A806" s="336"/>
      <c r="B806" s="336"/>
      <c r="C806" s="336"/>
      <c r="D806" s="336"/>
      <c r="E806" s="336"/>
      <c r="F806" s="336"/>
      <c r="G806" s="336"/>
      <c r="H806" s="336"/>
      <c r="I806" s="336"/>
      <c r="J806" s="336"/>
      <c r="K806" s="336"/>
      <c r="L806" s="336"/>
      <c r="M806" s="336"/>
      <c r="N806" s="336"/>
      <c r="O806" s="336"/>
      <c r="P806" s="336"/>
      <c r="Q806" s="336"/>
    </row>
    <row r="807" ht="15.75" customHeight="1">
      <c r="A807" s="336"/>
      <c r="B807" s="336"/>
      <c r="C807" s="336"/>
      <c r="D807" s="336"/>
      <c r="E807" s="336"/>
      <c r="F807" s="336"/>
      <c r="G807" s="336"/>
      <c r="H807" s="336"/>
      <c r="I807" s="336"/>
      <c r="J807" s="336"/>
      <c r="K807" s="336"/>
      <c r="L807" s="336"/>
      <c r="M807" s="336"/>
      <c r="N807" s="336"/>
      <c r="O807" s="336"/>
      <c r="P807" s="336"/>
      <c r="Q807" s="336"/>
    </row>
    <row r="808" ht="15.75" customHeight="1">
      <c r="A808" s="336"/>
      <c r="B808" s="336"/>
      <c r="C808" s="336"/>
      <c r="D808" s="336"/>
      <c r="E808" s="336"/>
      <c r="F808" s="336"/>
      <c r="G808" s="336"/>
      <c r="H808" s="336"/>
      <c r="I808" s="336"/>
      <c r="J808" s="336"/>
      <c r="K808" s="336"/>
      <c r="L808" s="336"/>
      <c r="M808" s="336"/>
      <c r="N808" s="336"/>
      <c r="O808" s="336"/>
      <c r="P808" s="336"/>
      <c r="Q808" s="336"/>
    </row>
    <row r="809" ht="15.75" customHeight="1">
      <c r="A809" s="336"/>
      <c r="B809" s="336"/>
      <c r="C809" s="336"/>
      <c r="D809" s="336"/>
      <c r="E809" s="336"/>
      <c r="F809" s="336"/>
      <c r="G809" s="336"/>
      <c r="H809" s="336"/>
      <c r="I809" s="336"/>
      <c r="J809" s="336"/>
      <c r="K809" s="336"/>
      <c r="L809" s="336"/>
      <c r="M809" s="336"/>
      <c r="N809" s="336"/>
      <c r="O809" s="336"/>
      <c r="P809" s="336"/>
      <c r="Q809" s="336"/>
    </row>
    <row r="810" ht="15.75" customHeight="1">
      <c r="A810" s="336"/>
      <c r="B810" s="336"/>
      <c r="C810" s="336"/>
      <c r="D810" s="336"/>
      <c r="E810" s="336"/>
      <c r="F810" s="336"/>
      <c r="G810" s="336"/>
      <c r="H810" s="336"/>
      <c r="I810" s="336"/>
      <c r="J810" s="336"/>
      <c r="K810" s="336"/>
      <c r="L810" s="336"/>
      <c r="M810" s="336"/>
      <c r="N810" s="336"/>
      <c r="O810" s="336"/>
      <c r="P810" s="336"/>
      <c r="Q810" s="336"/>
    </row>
    <row r="811" ht="15.75" customHeight="1">
      <c r="A811" s="336"/>
      <c r="B811" s="336"/>
      <c r="C811" s="336"/>
      <c r="D811" s="336"/>
      <c r="E811" s="336"/>
      <c r="F811" s="336"/>
      <c r="G811" s="336"/>
      <c r="H811" s="336"/>
      <c r="I811" s="336"/>
      <c r="J811" s="336"/>
      <c r="K811" s="336"/>
      <c r="L811" s="336"/>
      <c r="M811" s="336"/>
      <c r="N811" s="336"/>
      <c r="O811" s="336"/>
      <c r="P811" s="336"/>
      <c r="Q811" s="336"/>
    </row>
    <row r="812" ht="15.75" customHeight="1">
      <c r="A812" s="336"/>
      <c r="B812" s="336"/>
      <c r="C812" s="336"/>
      <c r="D812" s="336"/>
      <c r="E812" s="336"/>
      <c r="F812" s="336"/>
      <c r="G812" s="336"/>
      <c r="H812" s="336"/>
      <c r="I812" s="336"/>
      <c r="J812" s="336"/>
      <c r="K812" s="336"/>
      <c r="L812" s="336"/>
      <c r="M812" s="336"/>
      <c r="N812" s="336"/>
      <c r="O812" s="336"/>
      <c r="P812" s="336"/>
      <c r="Q812" s="336"/>
    </row>
    <row r="813" ht="15.75" customHeight="1">
      <c r="A813" s="336"/>
      <c r="B813" s="336"/>
      <c r="C813" s="336"/>
      <c r="D813" s="336"/>
      <c r="E813" s="336"/>
      <c r="F813" s="336"/>
      <c r="G813" s="336"/>
      <c r="H813" s="336"/>
      <c r="I813" s="336"/>
      <c r="J813" s="336"/>
      <c r="K813" s="336"/>
      <c r="L813" s="336"/>
      <c r="M813" s="336"/>
      <c r="N813" s="336"/>
      <c r="O813" s="336"/>
      <c r="P813" s="336"/>
      <c r="Q813" s="336"/>
    </row>
    <row r="814" ht="15.75" customHeight="1">
      <c r="A814" s="336"/>
      <c r="B814" s="336"/>
      <c r="C814" s="336"/>
      <c r="D814" s="336"/>
      <c r="E814" s="336"/>
      <c r="F814" s="336"/>
      <c r="G814" s="336"/>
      <c r="H814" s="336"/>
      <c r="I814" s="336"/>
      <c r="J814" s="336"/>
      <c r="K814" s="336"/>
      <c r="L814" s="336"/>
      <c r="M814" s="336"/>
      <c r="N814" s="336"/>
      <c r="O814" s="336"/>
      <c r="P814" s="336"/>
      <c r="Q814" s="336"/>
    </row>
    <row r="815" ht="15.75" customHeight="1">
      <c r="A815" s="336"/>
      <c r="B815" s="336"/>
      <c r="C815" s="336"/>
      <c r="D815" s="336"/>
      <c r="E815" s="336"/>
      <c r="F815" s="336"/>
      <c r="G815" s="336"/>
      <c r="H815" s="336"/>
      <c r="I815" s="336"/>
      <c r="J815" s="336"/>
      <c r="K815" s="336"/>
      <c r="L815" s="336"/>
      <c r="M815" s="336"/>
      <c r="N815" s="336"/>
      <c r="O815" s="336"/>
      <c r="P815" s="336"/>
      <c r="Q815" s="336"/>
    </row>
    <row r="816" ht="15.75" customHeight="1">
      <c r="A816" s="336"/>
      <c r="B816" s="336"/>
      <c r="C816" s="336"/>
      <c r="D816" s="336"/>
      <c r="E816" s="336"/>
      <c r="F816" s="336"/>
      <c r="G816" s="336"/>
      <c r="H816" s="336"/>
      <c r="I816" s="336"/>
      <c r="J816" s="336"/>
      <c r="K816" s="336"/>
      <c r="L816" s="336"/>
      <c r="M816" s="336"/>
      <c r="N816" s="336"/>
      <c r="O816" s="336"/>
      <c r="P816" s="336"/>
      <c r="Q816" s="336"/>
    </row>
    <row r="817" ht="15.75" customHeight="1">
      <c r="A817" s="336"/>
      <c r="B817" s="336"/>
      <c r="C817" s="336"/>
      <c r="D817" s="336"/>
      <c r="E817" s="336"/>
      <c r="F817" s="336"/>
      <c r="G817" s="336"/>
      <c r="H817" s="336"/>
      <c r="I817" s="336"/>
      <c r="J817" s="336"/>
      <c r="K817" s="336"/>
      <c r="L817" s="336"/>
      <c r="M817" s="336"/>
      <c r="N817" s="336"/>
      <c r="O817" s="336"/>
      <c r="P817" s="336"/>
      <c r="Q817" s="336"/>
    </row>
    <row r="818" ht="15.75" customHeight="1">
      <c r="A818" s="336"/>
      <c r="B818" s="336"/>
      <c r="C818" s="336"/>
      <c r="D818" s="336"/>
      <c r="E818" s="336"/>
      <c r="F818" s="336"/>
      <c r="G818" s="336"/>
      <c r="H818" s="336"/>
      <c r="I818" s="336"/>
      <c r="J818" s="336"/>
      <c r="K818" s="336"/>
      <c r="L818" s="336"/>
      <c r="M818" s="336"/>
      <c r="N818" s="336"/>
      <c r="O818" s="336"/>
      <c r="P818" s="336"/>
      <c r="Q818" s="336"/>
    </row>
    <row r="819" ht="15.75" customHeight="1">
      <c r="A819" s="336"/>
      <c r="B819" s="336"/>
      <c r="C819" s="336"/>
      <c r="D819" s="336"/>
      <c r="E819" s="336"/>
      <c r="F819" s="336"/>
      <c r="G819" s="336"/>
      <c r="H819" s="336"/>
      <c r="I819" s="336"/>
      <c r="J819" s="336"/>
      <c r="K819" s="336"/>
      <c r="L819" s="336"/>
      <c r="M819" s="336"/>
      <c r="N819" s="336"/>
      <c r="O819" s="336"/>
      <c r="P819" s="336"/>
      <c r="Q819" s="336"/>
    </row>
    <row r="820" ht="15.75" customHeight="1">
      <c r="A820" s="336"/>
      <c r="B820" s="336"/>
      <c r="C820" s="336"/>
      <c r="D820" s="336"/>
      <c r="E820" s="336"/>
      <c r="F820" s="336"/>
      <c r="G820" s="336"/>
      <c r="H820" s="336"/>
      <c r="I820" s="336"/>
      <c r="J820" s="336"/>
      <c r="K820" s="336"/>
      <c r="L820" s="336"/>
      <c r="M820" s="336"/>
      <c r="N820" s="336"/>
      <c r="O820" s="336"/>
      <c r="P820" s="336"/>
      <c r="Q820" s="336"/>
    </row>
    <row r="821" ht="15.75" customHeight="1">
      <c r="A821" s="336"/>
      <c r="B821" s="336"/>
      <c r="C821" s="336"/>
      <c r="D821" s="336"/>
      <c r="E821" s="336"/>
      <c r="F821" s="336"/>
      <c r="G821" s="336"/>
      <c r="H821" s="336"/>
      <c r="I821" s="336"/>
      <c r="J821" s="336"/>
      <c r="K821" s="336"/>
      <c r="L821" s="336"/>
      <c r="M821" s="336"/>
      <c r="N821" s="336"/>
      <c r="O821" s="336"/>
      <c r="P821" s="336"/>
      <c r="Q821" s="336"/>
    </row>
    <row r="822" ht="15.75" customHeight="1">
      <c r="A822" s="336"/>
      <c r="B822" s="336"/>
      <c r="C822" s="336"/>
      <c r="D822" s="336"/>
      <c r="E822" s="336"/>
      <c r="F822" s="336"/>
      <c r="G822" s="336"/>
      <c r="H822" s="336"/>
      <c r="I822" s="336"/>
      <c r="J822" s="336"/>
      <c r="K822" s="336"/>
      <c r="L822" s="336"/>
      <c r="M822" s="336"/>
      <c r="N822" s="336"/>
      <c r="O822" s="336"/>
      <c r="P822" s="336"/>
      <c r="Q822" s="336"/>
    </row>
    <row r="823" ht="15.75" customHeight="1">
      <c r="A823" s="336"/>
      <c r="B823" s="336"/>
      <c r="C823" s="336"/>
      <c r="D823" s="336"/>
      <c r="E823" s="336"/>
      <c r="F823" s="336"/>
      <c r="G823" s="336"/>
      <c r="H823" s="336"/>
      <c r="I823" s="336"/>
      <c r="J823" s="336"/>
      <c r="K823" s="336"/>
      <c r="L823" s="336"/>
      <c r="M823" s="336"/>
      <c r="N823" s="336"/>
      <c r="O823" s="336"/>
      <c r="P823" s="336"/>
      <c r="Q823" s="336"/>
    </row>
    <row r="824" ht="15.75" customHeight="1">
      <c r="A824" s="336"/>
      <c r="B824" s="336"/>
      <c r="C824" s="336"/>
      <c r="D824" s="336"/>
      <c r="E824" s="336"/>
      <c r="F824" s="336"/>
      <c r="G824" s="336"/>
      <c r="H824" s="336"/>
      <c r="I824" s="336"/>
      <c r="J824" s="336"/>
      <c r="K824" s="336"/>
      <c r="L824" s="336"/>
      <c r="M824" s="336"/>
      <c r="N824" s="336"/>
      <c r="O824" s="336"/>
      <c r="P824" s="336"/>
      <c r="Q824" s="336"/>
    </row>
    <row r="825" ht="15.75" customHeight="1">
      <c r="A825" s="336"/>
      <c r="B825" s="336"/>
      <c r="C825" s="336"/>
      <c r="D825" s="336"/>
      <c r="E825" s="336"/>
      <c r="F825" s="336"/>
      <c r="G825" s="336"/>
      <c r="H825" s="336"/>
      <c r="I825" s="336"/>
      <c r="J825" s="336"/>
      <c r="K825" s="336"/>
      <c r="L825" s="336"/>
      <c r="M825" s="336"/>
      <c r="N825" s="336"/>
      <c r="O825" s="336"/>
      <c r="P825" s="336"/>
      <c r="Q825" s="336"/>
    </row>
    <row r="826" ht="15.75" customHeight="1">
      <c r="A826" s="336"/>
      <c r="B826" s="336"/>
      <c r="C826" s="336"/>
      <c r="D826" s="336"/>
      <c r="E826" s="336"/>
      <c r="F826" s="336"/>
      <c r="G826" s="336"/>
      <c r="H826" s="336"/>
      <c r="I826" s="336"/>
      <c r="J826" s="336"/>
      <c r="K826" s="336"/>
      <c r="L826" s="336"/>
      <c r="M826" s="336"/>
      <c r="N826" s="336"/>
      <c r="O826" s="336"/>
      <c r="P826" s="336"/>
      <c r="Q826" s="336"/>
    </row>
    <row r="827" ht="15.75" customHeight="1">
      <c r="A827" s="336"/>
      <c r="B827" s="336"/>
      <c r="C827" s="336"/>
      <c r="D827" s="336"/>
      <c r="E827" s="336"/>
      <c r="F827" s="336"/>
      <c r="G827" s="336"/>
      <c r="H827" s="336"/>
      <c r="I827" s="336"/>
      <c r="J827" s="336"/>
      <c r="K827" s="336"/>
      <c r="L827" s="336"/>
      <c r="M827" s="336"/>
      <c r="N827" s="336"/>
      <c r="O827" s="336"/>
      <c r="P827" s="336"/>
      <c r="Q827" s="336"/>
    </row>
    <row r="828" ht="15.75" customHeight="1">
      <c r="A828" s="336"/>
      <c r="B828" s="336"/>
      <c r="C828" s="336"/>
      <c r="D828" s="336"/>
      <c r="E828" s="336"/>
      <c r="F828" s="336"/>
      <c r="G828" s="336"/>
      <c r="H828" s="336"/>
      <c r="I828" s="336"/>
      <c r="J828" s="336"/>
      <c r="K828" s="336"/>
      <c r="L828" s="336"/>
      <c r="M828" s="336"/>
      <c r="N828" s="336"/>
      <c r="O828" s="336"/>
      <c r="P828" s="336"/>
      <c r="Q828" s="336"/>
    </row>
    <row r="829" ht="15.75" customHeight="1">
      <c r="A829" s="336"/>
      <c r="B829" s="336"/>
      <c r="C829" s="336"/>
      <c r="D829" s="336"/>
      <c r="E829" s="336"/>
      <c r="F829" s="336"/>
      <c r="G829" s="336"/>
      <c r="H829" s="336"/>
      <c r="I829" s="336"/>
      <c r="J829" s="336"/>
      <c r="K829" s="336"/>
      <c r="L829" s="336"/>
      <c r="M829" s="336"/>
      <c r="N829" s="336"/>
      <c r="O829" s="336"/>
      <c r="P829" s="336"/>
      <c r="Q829" s="336"/>
    </row>
    <row r="830" ht="15.75" customHeight="1">
      <c r="A830" s="336"/>
      <c r="B830" s="336"/>
      <c r="C830" s="336"/>
      <c r="D830" s="336"/>
      <c r="E830" s="336"/>
      <c r="F830" s="336"/>
      <c r="G830" s="336"/>
      <c r="H830" s="336"/>
      <c r="I830" s="336"/>
      <c r="J830" s="336"/>
      <c r="K830" s="336"/>
      <c r="L830" s="336"/>
      <c r="M830" s="336"/>
      <c r="N830" s="336"/>
      <c r="O830" s="336"/>
      <c r="P830" s="336"/>
      <c r="Q830" s="336"/>
    </row>
    <row r="831" ht="15.75" customHeight="1">
      <c r="A831" s="336"/>
      <c r="B831" s="336"/>
      <c r="C831" s="336"/>
      <c r="D831" s="336"/>
      <c r="E831" s="336"/>
      <c r="F831" s="336"/>
      <c r="G831" s="336"/>
      <c r="H831" s="336"/>
      <c r="I831" s="336"/>
      <c r="J831" s="336"/>
      <c r="K831" s="336"/>
      <c r="L831" s="336"/>
      <c r="M831" s="336"/>
      <c r="N831" s="336"/>
      <c r="O831" s="336"/>
      <c r="P831" s="336"/>
      <c r="Q831" s="336"/>
    </row>
    <row r="832" ht="15.75" customHeight="1">
      <c r="A832" s="336"/>
      <c r="B832" s="336"/>
      <c r="C832" s="336"/>
      <c r="D832" s="336"/>
      <c r="E832" s="336"/>
      <c r="F832" s="336"/>
      <c r="G832" s="336"/>
      <c r="H832" s="336"/>
      <c r="I832" s="336"/>
      <c r="J832" s="336"/>
      <c r="K832" s="336"/>
      <c r="L832" s="336"/>
      <c r="M832" s="336"/>
      <c r="N832" s="336"/>
      <c r="O832" s="336"/>
      <c r="P832" s="336"/>
      <c r="Q832" s="336"/>
    </row>
    <row r="833" ht="15.75" customHeight="1">
      <c r="A833" s="336"/>
      <c r="B833" s="336"/>
      <c r="C833" s="336"/>
      <c r="D833" s="336"/>
      <c r="E833" s="336"/>
      <c r="F833" s="336"/>
      <c r="G833" s="336"/>
      <c r="H833" s="336"/>
      <c r="I833" s="336"/>
      <c r="J833" s="336"/>
      <c r="K833" s="336"/>
      <c r="L833" s="336"/>
      <c r="M833" s="336"/>
      <c r="N833" s="336"/>
      <c r="O833" s="336"/>
      <c r="P833" s="336"/>
      <c r="Q833" s="336"/>
    </row>
    <row r="834" ht="15.75" customHeight="1">
      <c r="A834" s="336"/>
      <c r="B834" s="336"/>
      <c r="C834" s="336"/>
      <c r="D834" s="336"/>
      <c r="E834" s="336"/>
      <c r="F834" s="336"/>
      <c r="G834" s="336"/>
      <c r="H834" s="336"/>
      <c r="I834" s="336"/>
      <c r="J834" s="336"/>
      <c r="K834" s="336"/>
      <c r="L834" s="336"/>
      <c r="M834" s="336"/>
      <c r="N834" s="336"/>
      <c r="O834" s="336"/>
      <c r="P834" s="336"/>
      <c r="Q834" s="336"/>
    </row>
    <row r="835" ht="15.75" customHeight="1">
      <c r="A835" s="336"/>
      <c r="B835" s="336"/>
      <c r="C835" s="336"/>
      <c r="D835" s="336"/>
      <c r="E835" s="336"/>
      <c r="F835" s="336"/>
      <c r="G835" s="336"/>
      <c r="H835" s="336"/>
      <c r="I835" s="336"/>
      <c r="J835" s="336"/>
      <c r="K835" s="336"/>
      <c r="L835" s="336"/>
      <c r="M835" s="336"/>
      <c r="N835" s="336"/>
      <c r="O835" s="336"/>
      <c r="P835" s="336"/>
      <c r="Q835" s="336"/>
    </row>
    <row r="836" ht="15.75" customHeight="1">
      <c r="A836" s="336"/>
      <c r="B836" s="336"/>
      <c r="C836" s="336"/>
      <c r="D836" s="336"/>
      <c r="E836" s="336"/>
      <c r="F836" s="336"/>
      <c r="G836" s="336"/>
      <c r="H836" s="336"/>
      <c r="I836" s="336"/>
      <c r="J836" s="336"/>
      <c r="K836" s="336"/>
      <c r="L836" s="336"/>
      <c r="M836" s="336"/>
      <c r="N836" s="336"/>
      <c r="O836" s="336"/>
      <c r="P836" s="336"/>
      <c r="Q836" s="336"/>
    </row>
    <row r="837" ht="15.75" customHeight="1">
      <c r="A837" s="336"/>
      <c r="B837" s="336"/>
      <c r="C837" s="336"/>
      <c r="D837" s="336"/>
      <c r="E837" s="336"/>
      <c r="F837" s="336"/>
      <c r="G837" s="336"/>
      <c r="H837" s="336"/>
      <c r="I837" s="336"/>
      <c r="J837" s="336"/>
      <c r="K837" s="336"/>
      <c r="L837" s="336"/>
      <c r="M837" s="336"/>
      <c r="N837" s="336"/>
      <c r="O837" s="336"/>
      <c r="P837" s="336"/>
      <c r="Q837" s="336"/>
    </row>
    <row r="838" ht="15.75" customHeight="1">
      <c r="A838" s="336"/>
      <c r="B838" s="336"/>
      <c r="C838" s="336"/>
      <c r="D838" s="336"/>
      <c r="E838" s="336"/>
      <c r="F838" s="336"/>
      <c r="G838" s="336"/>
      <c r="H838" s="336"/>
      <c r="I838" s="336"/>
      <c r="J838" s="336"/>
      <c r="K838" s="336"/>
      <c r="L838" s="336"/>
      <c r="M838" s="336"/>
      <c r="N838" s="336"/>
      <c r="O838" s="336"/>
      <c r="P838" s="336"/>
      <c r="Q838" s="336"/>
    </row>
    <row r="839" ht="15.75" customHeight="1">
      <c r="A839" s="336"/>
      <c r="B839" s="336"/>
      <c r="C839" s="336"/>
      <c r="D839" s="336"/>
      <c r="E839" s="336"/>
      <c r="F839" s="336"/>
      <c r="G839" s="336"/>
      <c r="H839" s="336"/>
      <c r="I839" s="336"/>
      <c r="J839" s="336"/>
      <c r="K839" s="336"/>
      <c r="L839" s="336"/>
      <c r="M839" s="336"/>
      <c r="N839" s="336"/>
      <c r="O839" s="336"/>
      <c r="P839" s="336"/>
      <c r="Q839" s="336"/>
    </row>
    <row r="840" ht="15.75" customHeight="1">
      <c r="A840" s="336"/>
      <c r="B840" s="336"/>
      <c r="C840" s="336"/>
      <c r="D840" s="336"/>
      <c r="E840" s="336"/>
      <c r="F840" s="336"/>
      <c r="G840" s="336"/>
      <c r="H840" s="336"/>
      <c r="I840" s="336"/>
      <c r="J840" s="336"/>
      <c r="K840" s="336"/>
      <c r="L840" s="336"/>
      <c r="M840" s="336"/>
      <c r="N840" s="336"/>
      <c r="O840" s="336"/>
      <c r="P840" s="336"/>
      <c r="Q840" s="336"/>
    </row>
    <row r="841" ht="15.75" customHeight="1">
      <c r="A841" s="336"/>
      <c r="B841" s="336"/>
      <c r="C841" s="336"/>
      <c r="D841" s="336"/>
      <c r="E841" s="336"/>
      <c r="F841" s="336"/>
      <c r="G841" s="336"/>
      <c r="H841" s="336"/>
      <c r="I841" s="336"/>
      <c r="J841" s="336"/>
      <c r="K841" s="336"/>
      <c r="L841" s="336"/>
      <c r="M841" s="336"/>
      <c r="N841" s="336"/>
      <c r="O841" s="336"/>
      <c r="P841" s="336"/>
      <c r="Q841" s="336"/>
    </row>
    <row r="842" ht="15.75" customHeight="1">
      <c r="A842" s="336"/>
      <c r="B842" s="336"/>
      <c r="C842" s="336"/>
      <c r="D842" s="336"/>
      <c r="E842" s="336"/>
      <c r="F842" s="336"/>
      <c r="G842" s="336"/>
      <c r="H842" s="336"/>
      <c r="I842" s="336"/>
      <c r="J842" s="336"/>
      <c r="K842" s="336"/>
      <c r="L842" s="336"/>
      <c r="M842" s="336"/>
      <c r="N842" s="336"/>
      <c r="O842" s="336"/>
      <c r="P842" s="336"/>
      <c r="Q842" s="336"/>
    </row>
    <row r="843" ht="15.75" customHeight="1">
      <c r="A843" s="336"/>
      <c r="B843" s="336"/>
      <c r="C843" s="336"/>
      <c r="D843" s="336"/>
      <c r="E843" s="336"/>
      <c r="F843" s="336"/>
      <c r="G843" s="336"/>
      <c r="H843" s="336"/>
      <c r="I843" s="336"/>
      <c r="J843" s="336"/>
      <c r="K843" s="336"/>
      <c r="L843" s="336"/>
      <c r="M843" s="336"/>
      <c r="N843" s="336"/>
      <c r="O843" s="336"/>
      <c r="P843" s="336"/>
      <c r="Q843" s="336"/>
    </row>
    <row r="844" ht="15.75" customHeight="1">
      <c r="A844" s="336"/>
      <c r="B844" s="336"/>
      <c r="C844" s="336"/>
      <c r="D844" s="336"/>
      <c r="E844" s="336"/>
      <c r="F844" s="336"/>
      <c r="G844" s="336"/>
      <c r="H844" s="336"/>
      <c r="I844" s="336"/>
      <c r="J844" s="336"/>
      <c r="K844" s="336"/>
      <c r="L844" s="336"/>
      <c r="M844" s="336"/>
      <c r="N844" s="336"/>
      <c r="O844" s="336"/>
      <c r="P844" s="336"/>
      <c r="Q844" s="336"/>
    </row>
    <row r="845" ht="15.75" customHeight="1">
      <c r="A845" s="336"/>
      <c r="B845" s="336"/>
      <c r="C845" s="336"/>
      <c r="D845" s="336"/>
      <c r="E845" s="336"/>
      <c r="F845" s="336"/>
      <c r="G845" s="336"/>
      <c r="H845" s="336"/>
      <c r="I845" s="336"/>
      <c r="J845" s="336"/>
      <c r="K845" s="336"/>
      <c r="L845" s="336"/>
      <c r="M845" s="336"/>
      <c r="N845" s="336"/>
      <c r="O845" s="336"/>
      <c r="P845" s="336"/>
      <c r="Q845" s="336"/>
    </row>
    <row r="846" ht="15.75" customHeight="1">
      <c r="A846" s="336"/>
      <c r="B846" s="336"/>
      <c r="C846" s="336"/>
      <c r="D846" s="336"/>
      <c r="E846" s="336"/>
      <c r="F846" s="336"/>
      <c r="G846" s="336"/>
      <c r="H846" s="336"/>
      <c r="I846" s="336"/>
      <c r="J846" s="336"/>
      <c r="K846" s="336"/>
      <c r="L846" s="336"/>
      <c r="M846" s="336"/>
      <c r="N846" s="336"/>
      <c r="O846" s="336"/>
      <c r="P846" s="336"/>
      <c r="Q846" s="336"/>
    </row>
    <row r="847" ht="15.75" customHeight="1">
      <c r="A847" s="336"/>
      <c r="B847" s="336"/>
      <c r="C847" s="336"/>
      <c r="D847" s="336"/>
      <c r="E847" s="336"/>
      <c r="F847" s="336"/>
      <c r="G847" s="336"/>
      <c r="H847" s="336"/>
      <c r="I847" s="336"/>
      <c r="J847" s="336"/>
      <c r="K847" s="336"/>
      <c r="L847" s="336"/>
      <c r="M847" s="336"/>
      <c r="N847" s="336"/>
      <c r="O847" s="336"/>
      <c r="P847" s="336"/>
      <c r="Q847" s="336"/>
    </row>
    <row r="848" ht="15.75" customHeight="1">
      <c r="A848" s="336"/>
      <c r="B848" s="336"/>
      <c r="C848" s="336"/>
      <c r="D848" s="336"/>
      <c r="E848" s="336"/>
      <c r="F848" s="336"/>
      <c r="G848" s="336"/>
      <c r="H848" s="336"/>
      <c r="I848" s="336"/>
      <c r="J848" s="336"/>
      <c r="K848" s="336"/>
      <c r="L848" s="336"/>
      <c r="M848" s="336"/>
      <c r="N848" s="336"/>
      <c r="O848" s="336"/>
      <c r="P848" s="336"/>
      <c r="Q848" s="336"/>
    </row>
    <row r="849" ht="15.75" customHeight="1">
      <c r="A849" s="336"/>
      <c r="B849" s="336"/>
      <c r="C849" s="336"/>
      <c r="D849" s="336"/>
      <c r="E849" s="336"/>
      <c r="F849" s="336"/>
      <c r="G849" s="336"/>
      <c r="H849" s="336"/>
      <c r="I849" s="336"/>
      <c r="J849" s="336"/>
      <c r="K849" s="336"/>
      <c r="L849" s="336"/>
      <c r="M849" s="336"/>
      <c r="N849" s="336"/>
      <c r="O849" s="336"/>
      <c r="P849" s="336"/>
      <c r="Q849" s="336"/>
    </row>
    <row r="850" ht="15.75" customHeight="1">
      <c r="A850" s="336"/>
      <c r="B850" s="336"/>
      <c r="C850" s="336"/>
      <c r="D850" s="336"/>
      <c r="E850" s="336"/>
      <c r="F850" s="336"/>
      <c r="G850" s="336"/>
      <c r="H850" s="336"/>
      <c r="I850" s="336"/>
      <c r="J850" s="336"/>
      <c r="K850" s="336"/>
      <c r="L850" s="336"/>
      <c r="M850" s="336"/>
      <c r="N850" s="336"/>
      <c r="O850" s="336"/>
      <c r="P850" s="336"/>
      <c r="Q850" s="336"/>
    </row>
    <row r="851" ht="15.75" customHeight="1">
      <c r="A851" s="336"/>
      <c r="B851" s="336"/>
      <c r="C851" s="336"/>
      <c r="D851" s="336"/>
      <c r="E851" s="336"/>
      <c r="F851" s="336"/>
      <c r="G851" s="336"/>
      <c r="H851" s="336"/>
      <c r="I851" s="336"/>
      <c r="J851" s="336"/>
      <c r="K851" s="336"/>
      <c r="L851" s="336"/>
      <c r="M851" s="336"/>
      <c r="N851" s="336"/>
      <c r="O851" s="336"/>
      <c r="P851" s="336"/>
      <c r="Q851" s="336"/>
    </row>
    <row r="852" ht="15.75" customHeight="1">
      <c r="A852" s="336"/>
      <c r="B852" s="336"/>
      <c r="C852" s="336"/>
      <c r="D852" s="336"/>
      <c r="E852" s="336"/>
      <c r="F852" s="336"/>
      <c r="G852" s="336"/>
      <c r="H852" s="336"/>
      <c r="I852" s="336"/>
      <c r="J852" s="336"/>
      <c r="K852" s="336"/>
      <c r="L852" s="336"/>
      <c r="M852" s="336"/>
      <c r="N852" s="336"/>
      <c r="O852" s="336"/>
      <c r="P852" s="336"/>
      <c r="Q852" s="336"/>
    </row>
    <row r="853" ht="15.75" customHeight="1">
      <c r="A853" s="336"/>
      <c r="B853" s="336"/>
      <c r="C853" s="336"/>
      <c r="D853" s="336"/>
      <c r="E853" s="336"/>
      <c r="F853" s="336"/>
      <c r="G853" s="336"/>
      <c r="H853" s="336"/>
      <c r="I853" s="336"/>
      <c r="J853" s="336"/>
      <c r="K853" s="336"/>
      <c r="L853" s="336"/>
      <c r="M853" s="336"/>
      <c r="N853" s="336"/>
      <c r="O853" s="336"/>
      <c r="P853" s="336"/>
      <c r="Q853" s="336"/>
    </row>
    <row r="854" ht="15.75" customHeight="1">
      <c r="A854" s="336"/>
      <c r="B854" s="336"/>
      <c r="C854" s="336"/>
      <c r="D854" s="336"/>
      <c r="E854" s="336"/>
      <c r="F854" s="336"/>
      <c r="G854" s="336"/>
      <c r="H854" s="336"/>
      <c r="I854" s="336"/>
      <c r="J854" s="336"/>
      <c r="K854" s="336"/>
      <c r="L854" s="336"/>
      <c r="M854" s="336"/>
      <c r="N854" s="336"/>
      <c r="O854" s="336"/>
      <c r="P854" s="336"/>
      <c r="Q854" s="336"/>
    </row>
    <row r="855" ht="15.75" customHeight="1">
      <c r="A855" s="336"/>
      <c r="B855" s="336"/>
      <c r="C855" s="336"/>
      <c r="D855" s="336"/>
      <c r="E855" s="336"/>
      <c r="F855" s="336"/>
      <c r="G855" s="336"/>
      <c r="H855" s="336"/>
      <c r="I855" s="336"/>
      <c r="J855" s="336"/>
      <c r="K855" s="336"/>
      <c r="L855" s="336"/>
      <c r="M855" s="336"/>
      <c r="N855" s="336"/>
      <c r="O855" s="336"/>
      <c r="P855" s="336"/>
      <c r="Q855" s="336"/>
    </row>
    <row r="856" ht="15.75" customHeight="1">
      <c r="A856" s="336"/>
      <c r="B856" s="336"/>
      <c r="C856" s="336"/>
      <c r="D856" s="336"/>
      <c r="E856" s="336"/>
      <c r="F856" s="336"/>
      <c r="G856" s="336"/>
      <c r="H856" s="336"/>
      <c r="I856" s="336"/>
      <c r="J856" s="336"/>
      <c r="K856" s="336"/>
      <c r="L856" s="336"/>
      <c r="M856" s="336"/>
      <c r="N856" s="336"/>
      <c r="O856" s="336"/>
      <c r="P856" s="336"/>
      <c r="Q856" s="336"/>
    </row>
    <row r="857" ht="15.75" customHeight="1">
      <c r="A857" s="336"/>
      <c r="B857" s="336"/>
      <c r="C857" s="336"/>
      <c r="D857" s="336"/>
      <c r="E857" s="336"/>
      <c r="F857" s="336"/>
      <c r="G857" s="336"/>
      <c r="H857" s="336"/>
      <c r="I857" s="336"/>
      <c r="J857" s="336"/>
      <c r="K857" s="336"/>
      <c r="L857" s="336"/>
      <c r="M857" s="336"/>
      <c r="N857" s="336"/>
      <c r="O857" s="336"/>
      <c r="P857" s="336"/>
      <c r="Q857" s="336"/>
    </row>
    <row r="858" ht="15.75" customHeight="1">
      <c r="A858" s="336"/>
      <c r="B858" s="336"/>
      <c r="C858" s="336"/>
      <c r="D858" s="336"/>
      <c r="E858" s="336"/>
      <c r="F858" s="336"/>
      <c r="G858" s="336"/>
      <c r="H858" s="336"/>
      <c r="I858" s="336"/>
      <c r="J858" s="336"/>
      <c r="K858" s="336"/>
      <c r="L858" s="336"/>
      <c r="M858" s="336"/>
      <c r="N858" s="336"/>
      <c r="O858" s="336"/>
      <c r="P858" s="336"/>
      <c r="Q858" s="336"/>
    </row>
    <row r="859" ht="15.75" customHeight="1">
      <c r="A859" s="336"/>
      <c r="B859" s="336"/>
      <c r="C859" s="336"/>
      <c r="D859" s="336"/>
      <c r="E859" s="336"/>
      <c r="F859" s="336"/>
      <c r="G859" s="336"/>
      <c r="H859" s="336"/>
      <c r="I859" s="336"/>
      <c r="J859" s="336"/>
      <c r="K859" s="336"/>
      <c r="L859" s="336"/>
      <c r="M859" s="336"/>
      <c r="N859" s="336"/>
      <c r="O859" s="336"/>
      <c r="P859" s="336"/>
      <c r="Q859" s="336"/>
    </row>
    <row r="860" ht="15.75" customHeight="1">
      <c r="A860" s="336"/>
      <c r="B860" s="336"/>
      <c r="C860" s="336"/>
      <c r="D860" s="336"/>
      <c r="E860" s="336"/>
      <c r="F860" s="336"/>
      <c r="G860" s="336"/>
      <c r="H860" s="336"/>
      <c r="I860" s="336"/>
      <c r="J860" s="336"/>
      <c r="K860" s="336"/>
      <c r="L860" s="336"/>
      <c r="M860" s="336"/>
      <c r="N860" s="336"/>
      <c r="O860" s="336"/>
      <c r="P860" s="336"/>
      <c r="Q860" s="336"/>
    </row>
    <row r="861" ht="15.75" customHeight="1">
      <c r="A861" s="336"/>
      <c r="B861" s="336"/>
      <c r="C861" s="336"/>
      <c r="D861" s="336"/>
      <c r="E861" s="336"/>
      <c r="F861" s="336"/>
      <c r="G861" s="336"/>
      <c r="H861" s="336"/>
      <c r="I861" s="336"/>
      <c r="J861" s="336"/>
      <c r="K861" s="336"/>
      <c r="L861" s="336"/>
      <c r="M861" s="336"/>
      <c r="N861" s="336"/>
      <c r="O861" s="336"/>
      <c r="P861" s="336"/>
      <c r="Q861" s="336"/>
    </row>
    <row r="862" ht="15.75" customHeight="1">
      <c r="A862" s="336"/>
      <c r="B862" s="336"/>
      <c r="C862" s="336"/>
      <c r="D862" s="336"/>
      <c r="E862" s="336"/>
      <c r="F862" s="336"/>
      <c r="G862" s="336"/>
      <c r="H862" s="336"/>
      <c r="I862" s="336"/>
      <c r="J862" s="336"/>
      <c r="K862" s="336"/>
      <c r="L862" s="336"/>
      <c r="M862" s="336"/>
      <c r="N862" s="336"/>
      <c r="O862" s="336"/>
      <c r="P862" s="336"/>
      <c r="Q862" s="336"/>
    </row>
    <row r="863" ht="15.75" customHeight="1">
      <c r="A863" s="336"/>
      <c r="B863" s="336"/>
      <c r="C863" s="336"/>
      <c r="D863" s="336"/>
      <c r="E863" s="336"/>
      <c r="F863" s="336"/>
      <c r="G863" s="336"/>
      <c r="H863" s="336"/>
      <c r="I863" s="336"/>
      <c r="J863" s="336"/>
      <c r="K863" s="336"/>
      <c r="L863" s="336"/>
      <c r="M863" s="336"/>
      <c r="N863" s="336"/>
      <c r="O863" s="336"/>
      <c r="P863" s="336"/>
      <c r="Q863" s="336"/>
    </row>
    <row r="864" ht="15.75" customHeight="1">
      <c r="A864" s="336"/>
      <c r="B864" s="336"/>
      <c r="C864" s="336"/>
      <c r="D864" s="336"/>
      <c r="E864" s="336"/>
      <c r="F864" s="336"/>
      <c r="G864" s="336"/>
      <c r="H864" s="336"/>
      <c r="I864" s="336"/>
      <c r="J864" s="336"/>
      <c r="K864" s="336"/>
      <c r="L864" s="336"/>
      <c r="M864" s="336"/>
      <c r="N864" s="336"/>
      <c r="O864" s="336"/>
      <c r="P864" s="336"/>
      <c r="Q864" s="336"/>
    </row>
    <row r="865" ht="15.75" customHeight="1">
      <c r="A865" s="336"/>
      <c r="B865" s="336"/>
      <c r="C865" s="336"/>
      <c r="D865" s="336"/>
      <c r="E865" s="336"/>
      <c r="F865" s="336"/>
      <c r="G865" s="336"/>
      <c r="H865" s="336"/>
      <c r="I865" s="336"/>
      <c r="J865" s="336"/>
      <c r="K865" s="336"/>
      <c r="L865" s="336"/>
      <c r="M865" s="336"/>
      <c r="N865" s="336"/>
      <c r="O865" s="336"/>
      <c r="P865" s="336"/>
      <c r="Q865" s="336"/>
    </row>
    <row r="866" ht="15.75" customHeight="1">
      <c r="A866" s="336"/>
      <c r="B866" s="336"/>
      <c r="C866" s="336"/>
      <c r="D866" s="336"/>
      <c r="E866" s="336"/>
      <c r="F866" s="336"/>
      <c r="G866" s="336"/>
      <c r="H866" s="336"/>
      <c r="I866" s="336"/>
      <c r="J866" s="336"/>
      <c r="K866" s="336"/>
      <c r="L866" s="336"/>
      <c r="M866" s="336"/>
      <c r="N866" s="336"/>
      <c r="O866" s="336"/>
      <c r="P866" s="336"/>
      <c r="Q866" s="336"/>
    </row>
    <row r="867" ht="15.75" customHeight="1">
      <c r="A867" s="336"/>
      <c r="B867" s="336"/>
      <c r="C867" s="336"/>
      <c r="D867" s="336"/>
      <c r="E867" s="336"/>
      <c r="F867" s="336"/>
      <c r="G867" s="336"/>
      <c r="H867" s="336"/>
      <c r="I867" s="336"/>
      <c r="J867" s="336"/>
      <c r="K867" s="336"/>
      <c r="L867" s="336"/>
      <c r="M867" s="336"/>
      <c r="N867" s="336"/>
      <c r="O867" s="336"/>
      <c r="P867" s="336"/>
      <c r="Q867" s="336"/>
    </row>
    <row r="868" ht="15.75" customHeight="1">
      <c r="A868" s="336"/>
      <c r="B868" s="336"/>
      <c r="C868" s="336"/>
      <c r="D868" s="336"/>
      <c r="E868" s="336"/>
      <c r="F868" s="336"/>
      <c r="G868" s="336"/>
      <c r="H868" s="336"/>
      <c r="I868" s="336"/>
      <c r="J868" s="336"/>
      <c r="K868" s="336"/>
      <c r="L868" s="336"/>
      <c r="M868" s="336"/>
      <c r="N868" s="336"/>
      <c r="O868" s="336"/>
      <c r="P868" s="336"/>
      <c r="Q868" s="336"/>
    </row>
    <row r="869" ht="15.75" customHeight="1">
      <c r="A869" s="336"/>
      <c r="B869" s="336"/>
      <c r="C869" s="336"/>
      <c r="D869" s="336"/>
      <c r="E869" s="336"/>
      <c r="F869" s="336"/>
      <c r="G869" s="336"/>
      <c r="H869" s="336"/>
      <c r="I869" s="336"/>
      <c r="J869" s="336"/>
      <c r="K869" s="336"/>
      <c r="L869" s="336"/>
      <c r="M869" s="336"/>
      <c r="N869" s="336"/>
      <c r="O869" s="336"/>
      <c r="P869" s="336"/>
      <c r="Q869" s="336"/>
    </row>
    <row r="870" ht="15.75" customHeight="1">
      <c r="A870" s="336"/>
      <c r="B870" s="336"/>
      <c r="C870" s="336"/>
      <c r="D870" s="336"/>
      <c r="E870" s="336"/>
      <c r="F870" s="336"/>
      <c r="G870" s="336"/>
      <c r="H870" s="336"/>
      <c r="I870" s="336"/>
      <c r="J870" s="336"/>
      <c r="K870" s="336"/>
      <c r="L870" s="336"/>
      <c r="M870" s="336"/>
      <c r="N870" s="336"/>
      <c r="O870" s="336"/>
      <c r="P870" s="336"/>
      <c r="Q870" s="336"/>
    </row>
    <row r="871" ht="15.75" customHeight="1">
      <c r="A871" s="336"/>
      <c r="B871" s="336"/>
      <c r="C871" s="336"/>
      <c r="D871" s="336"/>
      <c r="E871" s="336"/>
      <c r="F871" s="336"/>
      <c r="G871" s="336"/>
      <c r="H871" s="336"/>
      <c r="I871" s="336"/>
      <c r="J871" s="336"/>
      <c r="K871" s="336"/>
      <c r="L871" s="336"/>
      <c r="M871" s="336"/>
      <c r="N871" s="336"/>
      <c r="O871" s="336"/>
      <c r="P871" s="336"/>
      <c r="Q871" s="336"/>
    </row>
    <row r="872" ht="15.75" customHeight="1">
      <c r="A872" s="336"/>
      <c r="B872" s="336"/>
      <c r="C872" s="336"/>
      <c r="D872" s="336"/>
      <c r="E872" s="336"/>
      <c r="F872" s="336"/>
      <c r="G872" s="336"/>
      <c r="H872" s="336"/>
      <c r="I872" s="336"/>
      <c r="J872" s="336"/>
      <c r="K872" s="336"/>
      <c r="L872" s="336"/>
      <c r="M872" s="336"/>
      <c r="N872" s="336"/>
      <c r="O872" s="336"/>
      <c r="P872" s="336"/>
      <c r="Q872" s="336"/>
    </row>
    <row r="873" ht="15.75" customHeight="1">
      <c r="A873" s="336"/>
      <c r="B873" s="336"/>
      <c r="C873" s="336"/>
      <c r="D873" s="336"/>
      <c r="E873" s="336"/>
      <c r="F873" s="336"/>
      <c r="G873" s="336"/>
      <c r="H873" s="336"/>
      <c r="I873" s="336"/>
      <c r="J873" s="336"/>
      <c r="K873" s="336"/>
      <c r="L873" s="336"/>
      <c r="M873" s="336"/>
      <c r="N873" s="336"/>
      <c r="O873" s="336"/>
      <c r="P873" s="336"/>
      <c r="Q873" s="336"/>
    </row>
    <row r="874" ht="15.75" customHeight="1">
      <c r="A874" s="336"/>
      <c r="B874" s="336"/>
      <c r="C874" s="336"/>
      <c r="D874" s="336"/>
      <c r="E874" s="336"/>
      <c r="F874" s="336"/>
      <c r="G874" s="336"/>
      <c r="H874" s="336"/>
      <c r="I874" s="336"/>
      <c r="J874" s="336"/>
      <c r="K874" s="336"/>
      <c r="L874" s="336"/>
      <c r="M874" s="336"/>
      <c r="N874" s="336"/>
      <c r="O874" s="336"/>
      <c r="P874" s="336"/>
      <c r="Q874" s="336"/>
    </row>
    <row r="875" ht="15.75" customHeight="1">
      <c r="A875" s="336"/>
      <c r="B875" s="336"/>
      <c r="C875" s="336"/>
      <c r="D875" s="336"/>
      <c r="E875" s="336"/>
      <c r="F875" s="336"/>
      <c r="G875" s="336"/>
      <c r="H875" s="336"/>
      <c r="I875" s="336"/>
      <c r="J875" s="336"/>
      <c r="K875" s="336"/>
      <c r="L875" s="336"/>
      <c r="M875" s="336"/>
      <c r="N875" s="336"/>
      <c r="O875" s="336"/>
      <c r="P875" s="336"/>
      <c r="Q875" s="336"/>
    </row>
    <row r="876" ht="15.75" customHeight="1">
      <c r="A876" s="336"/>
      <c r="B876" s="336"/>
      <c r="C876" s="336"/>
      <c r="D876" s="336"/>
      <c r="E876" s="336"/>
      <c r="F876" s="336"/>
      <c r="G876" s="336"/>
      <c r="H876" s="336"/>
      <c r="I876" s="336"/>
      <c r="J876" s="336"/>
      <c r="K876" s="336"/>
      <c r="L876" s="336"/>
      <c r="M876" s="336"/>
      <c r="N876" s="336"/>
      <c r="O876" s="336"/>
      <c r="P876" s="336"/>
      <c r="Q876" s="336"/>
    </row>
    <row r="877" ht="15.75" customHeight="1">
      <c r="A877" s="336"/>
      <c r="B877" s="336"/>
      <c r="C877" s="336"/>
      <c r="D877" s="336"/>
      <c r="E877" s="336"/>
      <c r="F877" s="336"/>
      <c r="G877" s="336"/>
      <c r="H877" s="336"/>
      <c r="I877" s="336"/>
      <c r="J877" s="336"/>
      <c r="K877" s="336"/>
      <c r="L877" s="336"/>
      <c r="M877" s="336"/>
      <c r="N877" s="336"/>
      <c r="O877" s="336"/>
      <c r="P877" s="336"/>
      <c r="Q877" s="336"/>
    </row>
    <row r="878" ht="15.75" customHeight="1">
      <c r="A878" s="336"/>
      <c r="B878" s="336"/>
      <c r="C878" s="336"/>
      <c r="D878" s="336"/>
      <c r="E878" s="336"/>
      <c r="F878" s="336"/>
      <c r="G878" s="336"/>
      <c r="H878" s="336"/>
      <c r="I878" s="336"/>
      <c r="J878" s="336"/>
      <c r="K878" s="336"/>
      <c r="L878" s="336"/>
      <c r="M878" s="336"/>
      <c r="N878" s="336"/>
      <c r="O878" s="336"/>
      <c r="P878" s="336"/>
      <c r="Q878" s="336"/>
    </row>
    <row r="879" ht="15.75" customHeight="1">
      <c r="A879" s="336"/>
      <c r="B879" s="336"/>
      <c r="C879" s="336"/>
      <c r="D879" s="336"/>
      <c r="E879" s="336"/>
      <c r="F879" s="336"/>
      <c r="G879" s="336"/>
      <c r="H879" s="336"/>
      <c r="I879" s="336"/>
      <c r="J879" s="336"/>
      <c r="K879" s="336"/>
      <c r="L879" s="336"/>
      <c r="M879" s="336"/>
      <c r="N879" s="336"/>
      <c r="O879" s="336"/>
      <c r="P879" s="336"/>
      <c r="Q879" s="336"/>
    </row>
    <row r="880" ht="15.75" customHeight="1">
      <c r="A880" s="336"/>
      <c r="B880" s="336"/>
      <c r="C880" s="336"/>
      <c r="D880" s="336"/>
      <c r="E880" s="336"/>
      <c r="F880" s="336"/>
      <c r="G880" s="336"/>
      <c r="H880" s="336"/>
      <c r="I880" s="336"/>
      <c r="J880" s="336"/>
      <c r="K880" s="336"/>
      <c r="L880" s="336"/>
      <c r="M880" s="336"/>
      <c r="N880" s="336"/>
      <c r="O880" s="336"/>
      <c r="P880" s="336"/>
      <c r="Q880" s="336"/>
    </row>
    <row r="881" ht="15.75" customHeight="1">
      <c r="A881" s="336"/>
      <c r="B881" s="336"/>
      <c r="C881" s="336"/>
      <c r="D881" s="336"/>
      <c r="E881" s="336"/>
      <c r="F881" s="336"/>
      <c r="G881" s="336"/>
      <c r="H881" s="336"/>
      <c r="I881" s="336"/>
      <c r="J881" s="336"/>
      <c r="K881" s="336"/>
      <c r="L881" s="336"/>
      <c r="M881" s="336"/>
      <c r="N881" s="336"/>
      <c r="O881" s="336"/>
      <c r="P881" s="336"/>
      <c r="Q881" s="336"/>
    </row>
    <row r="882" ht="15.75" customHeight="1">
      <c r="A882" s="336"/>
      <c r="B882" s="336"/>
      <c r="C882" s="336"/>
      <c r="D882" s="336"/>
      <c r="E882" s="336"/>
      <c r="F882" s="336"/>
      <c r="G882" s="336"/>
      <c r="H882" s="336"/>
      <c r="I882" s="336"/>
      <c r="J882" s="336"/>
      <c r="K882" s="336"/>
      <c r="L882" s="336"/>
      <c r="M882" s="336"/>
      <c r="N882" s="336"/>
      <c r="O882" s="336"/>
      <c r="P882" s="336"/>
      <c r="Q882" s="336"/>
    </row>
    <row r="883" ht="15.75" customHeight="1">
      <c r="A883" s="336"/>
      <c r="B883" s="336"/>
      <c r="C883" s="336"/>
      <c r="D883" s="336"/>
      <c r="E883" s="336"/>
      <c r="F883" s="336"/>
      <c r="G883" s="336"/>
      <c r="H883" s="336"/>
      <c r="I883" s="336"/>
      <c r="J883" s="336"/>
      <c r="K883" s="336"/>
      <c r="L883" s="336"/>
      <c r="M883" s="336"/>
      <c r="N883" s="336"/>
      <c r="O883" s="336"/>
      <c r="P883" s="336"/>
      <c r="Q883" s="336"/>
    </row>
    <row r="884" ht="15.75" customHeight="1">
      <c r="A884" s="336"/>
      <c r="B884" s="336"/>
      <c r="C884" s="336"/>
      <c r="D884" s="336"/>
      <c r="E884" s="336"/>
      <c r="F884" s="336"/>
      <c r="G884" s="336"/>
      <c r="H884" s="336"/>
      <c r="I884" s="336"/>
      <c r="J884" s="336"/>
      <c r="K884" s="336"/>
      <c r="L884" s="336"/>
      <c r="M884" s="336"/>
      <c r="N884" s="336"/>
      <c r="O884" s="336"/>
      <c r="P884" s="336"/>
      <c r="Q884" s="336"/>
    </row>
    <row r="885" ht="15.75" customHeight="1">
      <c r="A885" s="336"/>
      <c r="B885" s="336"/>
      <c r="C885" s="336"/>
      <c r="D885" s="336"/>
      <c r="E885" s="336"/>
      <c r="F885" s="336"/>
      <c r="G885" s="336"/>
      <c r="H885" s="336"/>
      <c r="I885" s="336"/>
      <c r="J885" s="336"/>
      <c r="K885" s="336"/>
      <c r="L885" s="336"/>
      <c r="M885" s="336"/>
      <c r="N885" s="336"/>
      <c r="O885" s="336"/>
      <c r="P885" s="336"/>
      <c r="Q885" s="336"/>
    </row>
    <row r="886" ht="15.75" customHeight="1">
      <c r="A886" s="336"/>
      <c r="B886" s="336"/>
      <c r="C886" s="336"/>
      <c r="D886" s="336"/>
      <c r="E886" s="336"/>
      <c r="F886" s="336"/>
      <c r="G886" s="336"/>
      <c r="H886" s="336"/>
      <c r="I886" s="336"/>
      <c r="J886" s="336"/>
      <c r="K886" s="336"/>
      <c r="L886" s="336"/>
      <c r="M886" s="336"/>
      <c r="N886" s="336"/>
      <c r="O886" s="336"/>
      <c r="P886" s="336"/>
      <c r="Q886" s="336"/>
    </row>
    <row r="887" ht="15.75" customHeight="1">
      <c r="A887" s="336"/>
      <c r="B887" s="336"/>
      <c r="C887" s="336"/>
      <c r="D887" s="336"/>
      <c r="E887" s="336"/>
      <c r="F887" s="336"/>
      <c r="G887" s="336"/>
      <c r="H887" s="336"/>
      <c r="I887" s="336"/>
      <c r="J887" s="336"/>
      <c r="K887" s="336"/>
      <c r="L887" s="336"/>
      <c r="M887" s="336"/>
      <c r="N887" s="336"/>
      <c r="O887" s="336"/>
      <c r="P887" s="336"/>
      <c r="Q887" s="336"/>
    </row>
    <row r="888" ht="15.75" customHeight="1">
      <c r="A888" s="336"/>
      <c r="B888" s="336"/>
      <c r="C888" s="336"/>
      <c r="D888" s="336"/>
      <c r="E888" s="336"/>
      <c r="F888" s="336"/>
      <c r="G888" s="336"/>
      <c r="H888" s="336"/>
      <c r="I888" s="336"/>
      <c r="J888" s="336"/>
      <c r="K888" s="336"/>
      <c r="L888" s="336"/>
      <c r="M888" s="336"/>
      <c r="N888" s="336"/>
      <c r="O888" s="336"/>
      <c r="P888" s="336"/>
      <c r="Q888" s="336"/>
    </row>
    <row r="889" ht="15.75" customHeight="1">
      <c r="A889" s="336"/>
      <c r="B889" s="336"/>
      <c r="C889" s="336"/>
      <c r="D889" s="336"/>
      <c r="E889" s="336"/>
      <c r="F889" s="336"/>
      <c r="G889" s="336"/>
      <c r="H889" s="336"/>
      <c r="I889" s="336"/>
      <c r="J889" s="336"/>
      <c r="K889" s="336"/>
      <c r="L889" s="336"/>
      <c r="M889" s="336"/>
      <c r="N889" s="336"/>
      <c r="O889" s="336"/>
      <c r="P889" s="336"/>
      <c r="Q889" s="336"/>
    </row>
    <row r="890" ht="15.75" customHeight="1">
      <c r="A890" s="336"/>
      <c r="B890" s="336"/>
      <c r="C890" s="336"/>
      <c r="D890" s="336"/>
      <c r="E890" s="336"/>
      <c r="F890" s="336"/>
      <c r="G890" s="336"/>
      <c r="H890" s="336"/>
      <c r="I890" s="336"/>
      <c r="J890" s="336"/>
      <c r="K890" s="336"/>
      <c r="L890" s="336"/>
      <c r="M890" s="336"/>
      <c r="N890" s="336"/>
      <c r="O890" s="336"/>
      <c r="P890" s="336"/>
      <c r="Q890" s="336"/>
    </row>
    <row r="891" ht="15.75" customHeight="1">
      <c r="A891" s="336"/>
      <c r="B891" s="336"/>
      <c r="C891" s="336"/>
      <c r="D891" s="336"/>
      <c r="E891" s="336"/>
      <c r="F891" s="336"/>
      <c r="G891" s="336"/>
      <c r="H891" s="336"/>
      <c r="I891" s="336"/>
      <c r="J891" s="336"/>
      <c r="K891" s="336"/>
      <c r="L891" s="336"/>
      <c r="M891" s="336"/>
      <c r="N891" s="336"/>
      <c r="O891" s="336"/>
      <c r="P891" s="336"/>
      <c r="Q891" s="336"/>
    </row>
    <row r="892" ht="15.75" customHeight="1">
      <c r="A892" s="336"/>
      <c r="B892" s="336"/>
      <c r="C892" s="336"/>
      <c r="D892" s="336"/>
      <c r="E892" s="336"/>
      <c r="F892" s="336"/>
      <c r="G892" s="336"/>
      <c r="H892" s="336"/>
      <c r="I892" s="336"/>
      <c r="J892" s="336"/>
      <c r="K892" s="336"/>
      <c r="L892" s="336"/>
      <c r="M892" s="336"/>
      <c r="N892" s="336"/>
      <c r="O892" s="336"/>
      <c r="P892" s="336"/>
      <c r="Q892" s="336"/>
    </row>
    <row r="893" ht="15.75" customHeight="1">
      <c r="A893" s="336"/>
      <c r="B893" s="336"/>
      <c r="C893" s="336"/>
      <c r="D893" s="336"/>
      <c r="E893" s="336"/>
      <c r="F893" s="336"/>
      <c r="G893" s="336"/>
      <c r="H893" s="336"/>
      <c r="I893" s="336"/>
      <c r="J893" s="336"/>
      <c r="K893" s="336"/>
      <c r="L893" s="336"/>
      <c r="M893" s="336"/>
      <c r="N893" s="336"/>
      <c r="O893" s="336"/>
      <c r="P893" s="336"/>
      <c r="Q893" s="336"/>
    </row>
    <row r="894" ht="15.75" customHeight="1">
      <c r="A894" s="336"/>
      <c r="B894" s="336"/>
      <c r="C894" s="336"/>
      <c r="D894" s="336"/>
      <c r="E894" s="336"/>
      <c r="F894" s="336"/>
      <c r="G894" s="336"/>
      <c r="H894" s="336"/>
      <c r="I894" s="336"/>
      <c r="J894" s="336"/>
      <c r="K894" s="336"/>
      <c r="L894" s="336"/>
      <c r="M894" s="336"/>
      <c r="N894" s="336"/>
      <c r="O894" s="336"/>
      <c r="P894" s="336"/>
      <c r="Q894" s="336"/>
    </row>
    <row r="895" ht="15.75" customHeight="1">
      <c r="A895" s="336"/>
      <c r="B895" s="336"/>
      <c r="C895" s="336"/>
      <c r="D895" s="336"/>
      <c r="E895" s="336"/>
      <c r="F895" s="336"/>
      <c r="G895" s="336"/>
      <c r="H895" s="336"/>
      <c r="I895" s="336"/>
      <c r="J895" s="336"/>
      <c r="K895" s="336"/>
      <c r="L895" s="336"/>
      <c r="M895" s="336"/>
      <c r="N895" s="336"/>
      <c r="O895" s="336"/>
      <c r="P895" s="336"/>
      <c r="Q895" s="336"/>
    </row>
    <row r="896" ht="15.75" customHeight="1">
      <c r="A896" s="336"/>
      <c r="B896" s="336"/>
      <c r="C896" s="336"/>
      <c r="D896" s="336"/>
      <c r="E896" s="336"/>
      <c r="F896" s="336"/>
      <c r="G896" s="336"/>
      <c r="H896" s="336"/>
      <c r="I896" s="336"/>
      <c r="J896" s="336"/>
      <c r="K896" s="336"/>
      <c r="L896" s="336"/>
      <c r="M896" s="336"/>
      <c r="N896" s="336"/>
      <c r="O896" s="336"/>
      <c r="P896" s="336"/>
      <c r="Q896" s="336"/>
    </row>
    <row r="897" ht="15.75" customHeight="1">
      <c r="A897" s="336"/>
      <c r="B897" s="336"/>
      <c r="C897" s="336"/>
      <c r="D897" s="336"/>
      <c r="E897" s="336"/>
      <c r="F897" s="336"/>
      <c r="G897" s="336"/>
      <c r="H897" s="336"/>
      <c r="I897" s="336"/>
      <c r="J897" s="336"/>
      <c r="K897" s="336"/>
      <c r="L897" s="336"/>
      <c r="M897" s="336"/>
      <c r="N897" s="336"/>
      <c r="O897" s="336"/>
      <c r="P897" s="336"/>
      <c r="Q897" s="336"/>
    </row>
    <row r="898" ht="15.75" customHeight="1">
      <c r="A898" s="336"/>
      <c r="B898" s="336"/>
      <c r="C898" s="336"/>
      <c r="D898" s="336"/>
      <c r="E898" s="336"/>
      <c r="F898" s="336"/>
      <c r="G898" s="336"/>
      <c r="H898" s="336"/>
      <c r="I898" s="336"/>
      <c r="J898" s="336"/>
      <c r="K898" s="336"/>
      <c r="L898" s="336"/>
      <c r="M898" s="336"/>
      <c r="N898" s="336"/>
      <c r="O898" s="336"/>
      <c r="P898" s="336"/>
      <c r="Q898" s="336"/>
    </row>
    <row r="899" ht="15.75" customHeight="1">
      <c r="A899" s="336"/>
      <c r="B899" s="336"/>
      <c r="C899" s="336"/>
      <c r="D899" s="336"/>
      <c r="E899" s="336"/>
      <c r="F899" s="336"/>
      <c r="G899" s="336"/>
      <c r="H899" s="336"/>
      <c r="I899" s="336"/>
      <c r="J899" s="336"/>
      <c r="K899" s="336"/>
      <c r="L899" s="336"/>
      <c r="M899" s="336"/>
      <c r="N899" s="336"/>
      <c r="O899" s="336"/>
      <c r="P899" s="336"/>
      <c r="Q899" s="336"/>
    </row>
    <row r="900" ht="15.75" customHeight="1">
      <c r="A900" s="336"/>
      <c r="B900" s="336"/>
      <c r="C900" s="336"/>
      <c r="D900" s="336"/>
      <c r="E900" s="336"/>
      <c r="F900" s="336"/>
      <c r="G900" s="336"/>
      <c r="H900" s="336"/>
      <c r="I900" s="336"/>
      <c r="J900" s="336"/>
      <c r="K900" s="336"/>
      <c r="L900" s="336"/>
      <c r="M900" s="336"/>
      <c r="N900" s="336"/>
      <c r="O900" s="336"/>
      <c r="P900" s="336"/>
      <c r="Q900" s="336"/>
    </row>
    <row r="901" ht="15.75" customHeight="1">
      <c r="A901" s="336"/>
      <c r="B901" s="336"/>
      <c r="C901" s="336"/>
      <c r="D901" s="336"/>
      <c r="E901" s="336"/>
      <c r="F901" s="336"/>
      <c r="G901" s="336"/>
      <c r="H901" s="336"/>
      <c r="I901" s="336"/>
      <c r="J901" s="336"/>
      <c r="K901" s="336"/>
      <c r="L901" s="336"/>
      <c r="M901" s="336"/>
      <c r="N901" s="336"/>
      <c r="O901" s="336"/>
      <c r="P901" s="336"/>
      <c r="Q901" s="336"/>
    </row>
    <row r="902" ht="15.75" customHeight="1">
      <c r="A902" s="336"/>
      <c r="B902" s="336"/>
      <c r="C902" s="336"/>
      <c r="D902" s="336"/>
      <c r="E902" s="336"/>
      <c r="F902" s="336"/>
      <c r="G902" s="336"/>
      <c r="H902" s="336"/>
      <c r="I902" s="336"/>
      <c r="J902" s="336"/>
      <c r="K902" s="336"/>
      <c r="L902" s="336"/>
      <c r="M902" s="336"/>
      <c r="N902" s="336"/>
      <c r="O902" s="336"/>
      <c r="P902" s="336"/>
      <c r="Q902" s="336"/>
    </row>
    <row r="903" ht="15.75" customHeight="1">
      <c r="A903" s="336"/>
      <c r="B903" s="336"/>
      <c r="C903" s="336"/>
      <c r="D903" s="336"/>
      <c r="E903" s="336"/>
      <c r="F903" s="336"/>
      <c r="G903" s="336"/>
      <c r="H903" s="336"/>
      <c r="I903" s="336"/>
      <c r="J903" s="336"/>
      <c r="K903" s="336"/>
      <c r="L903" s="336"/>
      <c r="M903" s="336"/>
      <c r="N903" s="336"/>
      <c r="O903" s="336"/>
      <c r="P903" s="336"/>
      <c r="Q903" s="336"/>
    </row>
    <row r="904" ht="15.75" customHeight="1">
      <c r="A904" s="336"/>
      <c r="B904" s="336"/>
      <c r="C904" s="336"/>
      <c r="D904" s="336"/>
      <c r="E904" s="336"/>
      <c r="F904" s="336"/>
      <c r="G904" s="336"/>
      <c r="H904" s="336"/>
      <c r="I904" s="336"/>
      <c r="J904" s="336"/>
      <c r="K904" s="336"/>
      <c r="L904" s="336"/>
      <c r="M904" s="336"/>
      <c r="N904" s="336"/>
      <c r="O904" s="336"/>
      <c r="P904" s="336"/>
      <c r="Q904" s="336"/>
    </row>
    <row r="905" ht="15.75" customHeight="1">
      <c r="A905" s="336"/>
      <c r="B905" s="336"/>
      <c r="C905" s="336"/>
      <c r="D905" s="336"/>
      <c r="E905" s="336"/>
      <c r="F905" s="336"/>
      <c r="G905" s="336"/>
      <c r="H905" s="336"/>
      <c r="I905" s="336"/>
      <c r="J905" s="336"/>
      <c r="K905" s="336"/>
      <c r="L905" s="336"/>
      <c r="M905" s="336"/>
      <c r="N905" s="336"/>
      <c r="O905" s="336"/>
      <c r="P905" s="336"/>
      <c r="Q905" s="336"/>
    </row>
    <row r="906" ht="15.75" customHeight="1">
      <c r="A906" s="336"/>
      <c r="B906" s="336"/>
      <c r="C906" s="336"/>
      <c r="D906" s="336"/>
      <c r="E906" s="336"/>
      <c r="F906" s="336"/>
      <c r="G906" s="336"/>
      <c r="H906" s="336"/>
      <c r="I906" s="336"/>
      <c r="J906" s="336"/>
      <c r="K906" s="336"/>
      <c r="L906" s="336"/>
      <c r="M906" s="336"/>
      <c r="N906" s="336"/>
      <c r="O906" s="336"/>
      <c r="P906" s="336"/>
      <c r="Q906" s="336"/>
    </row>
    <row r="907" ht="15.75" customHeight="1">
      <c r="A907" s="336"/>
      <c r="B907" s="336"/>
      <c r="C907" s="336"/>
      <c r="D907" s="336"/>
      <c r="E907" s="336"/>
      <c r="F907" s="336"/>
      <c r="G907" s="336"/>
      <c r="H907" s="336"/>
      <c r="I907" s="336"/>
      <c r="J907" s="336"/>
      <c r="K907" s="336"/>
      <c r="L907" s="336"/>
      <c r="M907" s="336"/>
      <c r="N907" s="336"/>
      <c r="O907" s="336"/>
      <c r="P907" s="336"/>
      <c r="Q907" s="336"/>
    </row>
    <row r="908" ht="15.75" customHeight="1">
      <c r="A908" s="336"/>
      <c r="B908" s="336"/>
      <c r="C908" s="336"/>
      <c r="D908" s="336"/>
      <c r="E908" s="336"/>
      <c r="F908" s="336"/>
      <c r="G908" s="336"/>
      <c r="H908" s="336"/>
      <c r="I908" s="336"/>
      <c r="J908" s="336"/>
      <c r="K908" s="336"/>
      <c r="L908" s="336"/>
      <c r="M908" s="336"/>
      <c r="N908" s="336"/>
      <c r="O908" s="336"/>
      <c r="P908" s="336"/>
      <c r="Q908" s="336"/>
    </row>
    <row r="909" ht="15.75" customHeight="1">
      <c r="A909" s="336"/>
      <c r="B909" s="336"/>
      <c r="C909" s="336"/>
      <c r="D909" s="336"/>
      <c r="E909" s="336"/>
      <c r="F909" s="336"/>
      <c r="G909" s="336"/>
      <c r="H909" s="336"/>
      <c r="I909" s="336"/>
      <c r="J909" s="336"/>
      <c r="K909" s="336"/>
      <c r="L909" s="336"/>
      <c r="M909" s="336"/>
      <c r="N909" s="336"/>
      <c r="O909" s="336"/>
      <c r="P909" s="336"/>
      <c r="Q909" s="336"/>
    </row>
    <row r="910" ht="15.75" customHeight="1">
      <c r="A910" s="336"/>
      <c r="B910" s="336"/>
      <c r="C910" s="336"/>
      <c r="D910" s="336"/>
      <c r="E910" s="336"/>
      <c r="F910" s="336"/>
      <c r="G910" s="336"/>
      <c r="H910" s="336"/>
      <c r="I910" s="336"/>
      <c r="J910" s="336"/>
      <c r="K910" s="336"/>
      <c r="L910" s="336"/>
      <c r="M910" s="336"/>
      <c r="N910" s="336"/>
      <c r="O910" s="336"/>
      <c r="P910" s="336"/>
      <c r="Q910" s="336"/>
    </row>
    <row r="911" ht="15.75" customHeight="1">
      <c r="A911" s="336"/>
      <c r="B911" s="336"/>
      <c r="C911" s="336"/>
      <c r="D911" s="336"/>
      <c r="E911" s="336"/>
      <c r="F911" s="336"/>
      <c r="G911" s="336"/>
      <c r="H911" s="336"/>
      <c r="I911" s="336"/>
      <c r="J911" s="336"/>
      <c r="K911" s="336"/>
      <c r="L911" s="336"/>
      <c r="M911" s="336"/>
      <c r="N911" s="336"/>
      <c r="O911" s="336"/>
      <c r="P911" s="336"/>
      <c r="Q911" s="336"/>
    </row>
    <row r="912" ht="15.75" customHeight="1">
      <c r="A912" s="336"/>
      <c r="B912" s="336"/>
      <c r="C912" s="336"/>
      <c r="D912" s="336"/>
      <c r="E912" s="336"/>
      <c r="F912" s="336"/>
      <c r="G912" s="336"/>
      <c r="H912" s="336"/>
      <c r="I912" s="336"/>
      <c r="J912" s="336"/>
      <c r="K912" s="336"/>
      <c r="L912" s="336"/>
      <c r="M912" s="336"/>
      <c r="N912" s="336"/>
      <c r="O912" s="336"/>
      <c r="P912" s="336"/>
      <c r="Q912" s="336"/>
    </row>
    <row r="913" ht="15.75" customHeight="1">
      <c r="A913" s="336"/>
      <c r="B913" s="336"/>
      <c r="C913" s="336"/>
      <c r="D913" s="336"/>
      <c r="E913" s="336"/>
      <c r="F913" s="336"/>
      <c r="G913" s="336"/>
      <c r="H913" s="336"/>
      <c r="I913" s="336"/>
      <c r="J913" s="336"/>
      <c r="K913" s="336"/>
      <c r="L913" s="336"/>
      <c r="M913" s="336"/>
      <c r="N913" s="336"/>
      <c r="O913" s="336"/>
      <c r="P913" s="336"/>
      <c r="Q913" s="336"/>
    </row>
    <row r="914" ht="15.75" customHeight="1">
      <c r="A914" s="336"/>
      <c r="B914" s="336"/>
      <c r="C914" s="336"/>
      <c r="D914" s="336"/>
      <c r="E914" s="336"/>
      <c r="F914" s="336"/>
      <c r="G914" s="336"/>
      <c r="H914" s="336"/>
      <c r="I914" s="336"/>
      <c r="J914" s="336"/>
      <c r="K914" s="336"/>
      <c r="L914" s="336"/>
      <c r="M914" s="336"/>
      <c r="N914" s="336"/>
      <c r="O914" s="336"/>
      <c r="P914" s="336"/>
      <c r="Q914" s="336"/>
    </row>
    <row r="915" ht="15.75" customHeight="1">
      <c r="A915" s="336"/>
      <c r="B915" s="336"/>
      <c r="C915" s="336"/>
      <c r="D915" s="336"/>
      <c r="E915" s="336"/>
      <c r="F915" s="336"/>
      <c r="G915" s="336"/>
      <c r="H915" s="336"/>
      <c r="I915" s="336"/>
      <c r="J915" s="336"/>
      <c r="K915" s="336"/>
      <c r="L915" s="336"/>
      <c r="M915" s="336"/>
      <c r="N915" s="336"/>
      <c r="O915" s="336"/>
      <c r="P915" s="336"/>
      <c r="Q915" s="336"/>
    </row>
    <row r="916" ht="15.75" customHeight="1">
      <c r="A916" s="336"/>
      <c r="B916" s="336"/>
      <c r="C916" s="336"/>
      <c r="D916" s="336"/>
      <c r="E916" s="336"/>
      <c r="F916" s="336"/>
      <c r="G916" s="336"/>
      <c r="H916" s="336"/>
      <c r="I916" s="336"/>
      <c r="J916" s="336"/>
      <c r="K916" s="336"/>
      <c r="L916" s="336"/>
      <c r="M916" s="336"/>
      <c r="N916" s="336"/>
      <c r="O916" s="336"/>
      <c r="P916" s="336"/>
      <c r="Q916" s="336"/>
    </row>
    <row r="917" ht="15.75" customHeight="1">
      <c r="A917" s="336"/>
      <c r="B917" s="336"/>
      <c r="C917" s="336"/>
      <c r="D917" s="336"/>
      <c r="E917" s="336"/>
      <c r="F917" s="336"/>
      <c r="G917" s="336"/>
      <c r="H917" s="336"/>
      <c r="I917" s="336"/>
      <c r="J917" s="336"/>
      <c r="K917" s="336"/>
      <c r="L917" s="336"/>
      <c r="M917" s="336"/>
      <c r="N917" s="336"/>
      <c r="O917" s="336"/>
      <c r="P917" s="336"/>
      <c r="Q917" s="336"/>
    </row>
    <row r="918" ht="15.75" customHeight="1">
      <c r="A918" s="336"/>
      <c r="B918" s="336"/>
      <c r="C918" s="336"/>
      <c r="D918" s="336"/>
      <c r="E918" s="336"/>
      <c r="F918" s="336"/>
      <c r="G918" s="336"/>
      <c r="H918" s="336"/>
      <c r="I918" s="336"/>
      <c r="J918" s="336"/>
      <c r="K918" s="336"/>
      <c r="L918" s="336"/>
      <c r="M918" s="336"/>
      <c r="N918" s="336"/>
      <c r="O918" s="336"/>
      <c r="P918" s="336"/>
      <c r="Q918" s="336"/>
    </row>
    <row r="919" ht="15.75" customHeight="1">
      <c r="A919" s="336"/>
      <c r="B919" s="336"/>
      <c r="C919" s="336"/>
      <c r="D919" s="336"/>
      <c r="E919" s="336"/>
      <c r="F919" s="336"/>
      <c r="G919" s="336"/>
      <c r="H919" s="336"/>
      <c r="I919" s="336"/>
      <c r="J919" s="336"/>
      <c r="K919" s="336"/>
      <c r="L919" s="336"/>
      <c r="M919" s="336"/>
      <c r="N919" s="336"/>
      <c r="O919" s="336"/>
      <c r="P919" s="336"/>
      <c r="Q919" s="336"/>
    </row>
    <row r="920" ht="15.75" customHeight="1">
      <c r="A920" s="336"/>
      <c r="B920" s="336"/>
      <c r="C920" s="336"/>
      <c r="D920" s="336"/>
      <c r="E920" s="336"/>
      <c r="F920" s="336"/>
      <c r="G920" s="336"/>
      <c r="H920" s="336"/>
      <c r="I920" s="336"/>
      <c r="J920" s="336"/>
      <c r="K920" s="336"/>
      <c r="L920" s="336"/>
      <c r="M920" s="336"/>
      <c r="N920" s="336"/>
      <c r="O920" s="336"/>
      <c r="P920" s="336"/>
      <c r="Q920" s="336"/>
    </row>
    <row r="921" ht="15.75" customHeight="1">
      <c r="A921" s="336"/>
      <c r="B921" s="336"/>
      <c r="C921" s="336"/>
      <c r="D921" s="336"/>
      <c r="E921" s="336"/>
      <c r="F921" s="336"/>
      <c r="G921" s="336"/>
      <c r="H921" s="336"/>
      <c r="I921" s="336"/>
      <c r="J921" s="336"/>
      <c r="K921" s="336"/>
      <c r="L921" s="336"/>
      <c r="M921" s="336"/>
      <c r="N921" s="336"/>
      <c r="O921" s="336"/>
      <c r="P921" s="336"/>
      <c r="Q921" s="336"/>
    </row>
    <row r="922" ht="15.75" customHeight="1">
      <c r="A922" s="336"/>
      <c r="B922" s="336"/>
      <c r="C922" s="336"/>
      <c r="D922" s="336"/>
      <c r="E922" s="336"/>
      <c r="F922" s="336"/>
      <c r="G922" s="336"/>
      <c r="H922" s="336"/>
      <c r="I922" s="336"/>
      <c r="J922" s="336"/>
      <c r="K922" s="336"/>
      <c r="L922" s="336"/>
      <c r="M922" s="336"/>
      <c r="N922" s="336"/>
      <c r="O922" s="336"/>
      <c r="P922" s="336"/>
      <c r="Q922" s="336"/>
    </row>
    <row r="923" ht="15.75" customHeight="1">
      <c r="A923" s="336"/>
      <c r="B923" s="336"/>
      <c r="C923" s="336"/>
      <c r="D923" s="336"/>
      <c r="E923" s="336"/>
      <c r="F923" s="336"/>
      <c r="G923" s="336"/>
      <c r="H923" s="336"/>
      <c r="I923" s="336"/>
      <c r="J923" s="336"/>
      <c r="K923" s="336"/>
      <c r="L923" s="336"/>
      <c r="M923" s="336"/>
      <c r="N923" s="336"/>
      <c r="O923" s="336"/>
      <c r="P923" s="336"/>
      <c r="Q923" s="336"/>
    </row>
    <row r="924" ht="15.75" customHeight="1">
      <c r="A924" s="336"/>
      <c r="B924" s="336"/>
      <c r="C924" s="336"/>
      <c r="D924" s="336"/>
      <c r="E924" s="336"/>
      <c r="F924" s="336"/>
      <c r="G924" s="336"/>
      <c r="H924" s="336"/>
      <c r="I924" s="336"/>
      <c r="J924" s="336"/>
      <c r="K924" s="336"/>
      <c r="L924" s="336"/>
      <c r="M924" s="336"/>
      <c r="N924" s="336"/>
      <c r="O924" s="336"/>
      <c r="P924" s="336"/>
      <c r="Q924" s="336"/>
    </row>
    <row r="925" ht="15.75" customHeight="1">
      <c r="A925" s="336"/>
      <c r="B925" s="336"/>
      <c r="C925" s="336"/>
      <c r="D925" s="336"/>
      <c r="E925" s="336"/>
      <c r="F925" s="336"/>
      <c r="G925" s="336"/>
      <c r="H925" s="336"/>
      <c r="I925" s="336"/>
      <c r="J925" s="336"/>
      <c r="K925" s="336"/>
      <c r="L925" s="336"/>
      <c r="M925" s="336"/>
      <c r="N925" s="336"/>
      <c r="O925" s="336"/>
      <c r="P925" s="336"/>
      <c r="Q925" s="336"/>
    </row>
    <row r="926" ht="15.75" customHeight="1">
      <c r="A926" s="336"/>
      <c r="B926" s="336"/>
      <c r="C926" s="336"/>
      <c r="D926" s="336"/>
      <c r="E926" s="336"/>
      <c r="F926" s="336"/>
      <c r="G926" s="336"/>
      <c r="H926" s="336"/>
      <c r="I926" s="336"/>
      <c r="J926" s="336"/>
      <c r="K926" s="336"/>
      <c r="L926" s="336"/>
      <c r="M926" s="336"/>
      <c r="N926" s="336"/>
      <c r="O926" s="336"/>
      <c r="P926" s="336"/>
      <c r="Q926" s="336"/>
    </row>
    <row r="927" ht="15.75" customHeight="1">
      <c r="A927" s="336"/>
      <c r="B927" s="336"/>
      <c r="C927" s="336"/>
      <c r="D927" s="336"/>
      <c r="E927" s="336"/>
      <c r="F927" s="336"/>
      <c r="G927" s="336"/>
      <c r="H927" s="336"/>
      <c r="I927" s="336"/>
      <c r="J927" s="336"/>
      <c r="K927" s="336"/>
      <c r="L927" s="336"/>
      <c r="M927" s="336"/>
      <c r="N927" s="336"/>
      <c r="O927" s="336"/>
      <c r="P927" s="336"/>
      <c r="Q927" s="336"/>
    </row>
    <row r="928" ht="15.75" customHeight="1">
      <c r="A928" s="336"/>
      <c r="B928" s="336"/>
      <c r="C928" s="336"/>
      <c r="D928" s="336"/>
      <c r="E928" s="336"/>
      <c r="F928" s="336"/>
      <c r="G928" s="336"/>
      <c r="H928" s="336"/>
      <c r="I928" s="336"/>
      <c r="J928" s="336"/>
      <c r="K928" s="336"/>
      <c r="L928" s="336"/>
      <c r="M928" s="336"/>
      <c r="N928" s="336"/>
      <c r="O928" s="336"/>
      <c r="P928" s="336"/>
      <c r="Q928" s="336"/>
    </row>
  </sheetData>
  <mergeCells count="9">
    <mergeCell ref="B34:H34"/>
    <mergeCell ref="J34:M34"/>
    <mergeCell ref="B3:M3"/>
    <mergeCell ref="B5:H5"/>
    <mergeCell ref="J5:M5"/>
    <mergeCell ref="B13:H13"/>
    <mergeCell ref="J13:P13"/>
    <mergeCell ref="J17:P17"/>
    <mergeCell ref="J21:O21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0"/>
    <col customWidth="1" min="3" max="3" width="20.0"/>
    <col customWidth="1" min="11" max="11" width="6.25"/>
    <col customWidth="1" min="12" max="12" width="15.63"/>
  </cols>
  <sheetData>
    <row r="1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5.75" customHeight="1">
      <c r="A2" s="5"/>
      <c r="B2" s="527" t="s">
        <v>288</v>
      </c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5.75" customHeight="1">
      <c r="A4" s="5"/>
      <c r="B4" s="528" t="s">
        <v>289</v>
      </c>
      <c r="C4" s="366"/>
      <c r="D4" s="366"/>
      <c r="E4" s="366"/>
      <c r="F4" s="366"/>
      <c r="G4" s="366"/>
      <c r="H4" s="5"/>
      <c r="I4" s="5"/>
      <c r="J4" s="5"/>
      <c r="K4" s="528" t="s">
        <v>290</v>
      </c>
    </row>
    <row r="5" ht="15.75" customHeight="1">
      <c r="A5" s="5"/>
      <c r="B5" s="529" t="s">
        <v>291</v>
      </c>
      <c r="C5" s="216" t="s">
        <v>292</v>
      </c>
      <c r="D5" s="530" t="s">
        <v>293</v>
      </c>
      <c r="E5" s="530" t="s">
        <v>294</v>
      </c>
      <c r="F5" s="530" t="s">
        <v>463</v>
      </c>
      <c r="G5" s="530" t="s">
        <v>296</v>
      </c>
      <c r="H5" s="530" t="s">
        <v>297</v>
      </c>
      <c r="I5" s="5"/>
      <c r="J5" s="5"/>
      <c r="K5" s="216" t="s">
        <v>298</v>
      </c>
      <c r="M5" s="529" t="s">
        <v>299</v>
      </c>
      <c r="O5" s="529" t="s">
        <v>296</v>
      </c>
      <c r="Q5" s="529" t="s">
        <v>297</v>
      </c>
    </row>
    <row r="6" ht="15.75" customHeight="1">
      <c r="A6" s="5"/>
      <c r="B6" s="292">
        <v>1.0</v>
      </c>
      <c r="C6" s="398" t="s">
        <v>378</v>
      </c>
      <c r="D6" s="370">
        <f>'Harvesting Details'!F13</f>
        <v>1133.232</v>
      </c>
      <c r="E6" s="385">
        <f>'Harvesting Details'!I13/'Sys Volume &amp; Area'!$E$17</f>
        <v>0.01449275362</v>
      </c>
      <c r="F6" s="400">
        <f>'Harvesting Details'!I13</f>
        <v>1</v>
      </c>
      <c r="G6" s="370">
        <f t="shared" ref="G6:G11" si="1">F6*D6</f>
        <v>1133.232</v>
      </c>
      <c r="H6" s="372">
        <f t="shared" ref="H6:H11" si="2">G6/F$12</f>
        <v>0.001629720618</v>
      </c>
      <c r="I6" s="5"/>
      <c r="J6" s="5"/>
      <c r="M6" s="529" t="s">
        <v>21</v>
      </c>
      <c r="N6" s="529" t="s">
        <v>301</v>
      </c>
      <c r="O6" s="529" t="s">
        <v>21</v>
      </c>
      <c r="P6" s="529" t="s">
        <v>301</v>
      </c>
      <c r="Q6" s="529" t="s">
        <v>21</v>
      </c>
      <c r="R6" s="529" t="s">
        <v>301</v>
      </c>
    </row>
    <row r="7" ht="15.75" customHeight="1">
      <c r="A7" s="5"/>
      <c r="B7" s="292">
        <f t="shared" ref="B7:B11" si="5">B6+1</f>
        <v>2</v>
      </c>
      <c r="C7" s="398" t="s">
        <v>464</v>
      </c>
      <c r="D7" s="370">
        <f>'Harvesting Details'!F17</f>
        <v>3000</v>
      </c>
      <c r="E7" s="385">
        <f>'Harvesting Details'!I17/'Sys Volume &amp; Area'!$E$17</f>
        <v>0.5507246377</v>
      </c>
      <c r="F7" s="369">
        <f>'Harvesting Details'!I17</f>
        <v>38</v>
      </c>
      <c r="G7" s="370">
        <f t="shared" si="1"/>
        <v>114000</v>
      </c>
      <c r="H7" s="372">
        <f t="shared" si="2"/>
        <v>0.1639453796</v>
      </c>
      <c r="I7" s="5"/>
      <c r="J7" s="5"/>
      <c r="K7" s="531" t="s">
        <v>303</v>
      </c>
      <c r="L7" s="532"/>
      <c r="M7" s="533" t="s">
        <v>304</v>
      </c>
      <c r="N7" s="533" t="s">
        <v>304</v>
      </c>
      <c r="O7" s="534">
        <f t="shared" ref="O7:P7" si="3">SUM(O8:O16)</f>
        <v>1501963.646</v>
      </c>
      <c r="P7" s="534">
        <f t="shared" si="3"/>
        <v>1759244.455</v>
      </c>
      <c r="Q7" s="535">
        <f t="shared" ref="Q7:R7" si="4">O7/O$23</f>
        <v>0.7826086957</v>
      </c>
      <c r="R7" s="535">
        <f t="shared" si="4"/>
        <v>0.7713414634</v>
      </c>
    </row>
    <row r="8" ht="15.75" customHeight="1">
      <c r="A8" s="5"/>
      <c r="B8" s="292">
        <f t="shared" si="5"/>
        <v>3</v>
      </c>
      <c r="C8" s="398" t="s">
        <v>465</v>
      </c>
      <c r="D8" s="370">
        <f>'Harvesting Details'!F21</f>
        <v>3000</v>
      </c>
      <c r="E8" s="385">
        <f>'Harvesting Details'!I21/'Sys Volume &amp; Area'!$E$17</f>
        <v>0.5507246377</v>
      </c>
      <c r="F8" s="369">
        <f>'Harvesting Details'!I21</f>
        <v>38</v>
      </c>
      <c r="G8" s="370">
        <f t="shared" si="1"/>
        <v>114000</v>
      </c>
      <c r="H8" s="372">
        <f t="shared" si="2"/>
        <v>0.1639453796</v>
      </c>
      <c r="I8" s="5"/>
      <c r="J8" s="5"/>
      <c r="K8" s="5"/>
      <c r="L8" s="378" t="s">
        <v>306</v>
      </c>
      <c r="M8" s="379" t="s">
        <v>304</v>
      </c>
      <c r="N8" s="379" t="s">
        <v>304</v>
      </c>
      <c r="O8" s="380">
        <f>F12</f>
        <v>695353.5396</v>
      </c>
      <c r="Q8" s="381">
        <f t="shared" ref="Q8:Q16" si="7">O8/O$7</f>
        <v>0.462962963</v>
      </c>
      <c r="R8" s="381">
        <f>O8/P$7</f>
        <v>0.395256917</v>
      </c>
    </row>
    <row r="9" ht="15.75" customHeight="1">
      <c r="A9" s="5"/>
      <c r="B9" s="292">
        <f t="shared" si="5"/>
        <v>4</v>
      </c>
      <c r="C9" s="398" t="s">
        <v>466</v>
      </c>
      <c r="D9" s="370">
        <f>'Harvesting Details'!F25</f>
        <v>30000</v>
      </c>
      <c r="E9" s="385">
        <f>'Harvesting Details'!I25/'Sys Volume &amp; Area'!$E$17</f>
        <v>0.1739130435</v>
      </c>
      <c r="F9" s="369">
        <f>'Harvesting Details'!I25</f>
        <v>12</v>
      </c>
      <c r="G9" s="370">
        <f t="shared" si="1"/>
        <v>360000</v>
      </c>
      <c r="H9" s="372">
        <f t="shared" si="2"/>
        <v>0.5177222513</v>
      </c>
      <c r="I9" s="5"/>
      <c r="J9" s="5"/>
      <c r="K9" s="5"/>
      <c r="L9" s="378" t="s">
        <v>308</v>
      </c>
      <c r="M9" s="379">
        <v>0.2</v>
      </c>
      <c r="N9" s="379">
        <v>0.5</v>
      </c>
      <c r="O9" s="383">
        <f t="shared" ref="O9:P9" si="6">M9*$O$8</f>
        <v>139070.7079</v>
      </c>
      <c r="P9" s="383">
        <f t="shared" si="6"/>
        <v>347676.7698</v>
      </c>
      <c r="Q9" s="381">
        <f t="shared" si="7"/>
        <v>0.09259259259</v>
      </c>
      <c r="R9" s="381">
        <f t="shared" ref="R9:R16" si="9">P9/P$7</f>
        <v>0.1976284585</v>
      </c>
    </row>
    <row r="10" ht="15.75" customHeight="1">
      <c r="A10" s="5"/>
      <c r="B10" s="292">
        <f t="shared" si="5"/>
        <v>5</v>
      </c>
      <c r="C10" s="398" t="s">
        <v>467</v>
      </c>
      <c r="D10" s="370">
        <f>'Harvesting Details'!F29</f>
        <v>105582.8646</v>
      </c>
      <c r="E10" s="385">
        <f>'Harvesting Details'!I29/'Sys Volume &amp; Area'!$E$17</f>
        <v>0.01449275362</v>
      </c>
      <c r="F10" s="400">
        <f>'Harvesting Details'!I29</f>
        <v>1</v>
      </c>
      <c r="G10" s="370">
        <f t="shared" si="1"/>
        <v>105582.8646</v>
      </c>
      <c r="H10" s="372">
        <f t="shared" si="2"/>
        <v>0.151840551</v>
      </c>
      <c r="I10" s="5"/>
      <c r="J10" s="5"/>
      <c r="K10" s="5"/>
      <c r="L10" s="378" t="s">
        <v>310</v>
      </c>
      <c r="M10" s="379">
        <v>0.3</v>
      </c>
      <c r="N10" s="379">
        <v>0.4</v>
      </c>
      <c r="O10" s="383">
        <f t="shared" ref="O10:P10" si="8">M10*$O$8</f>
        <v>208606.0619</v>
      </c>
      <c r="P10" s="383">
        <f t="shared" si="8"/>
        <v>278141.4158</v>
      </c>
      <c r="Q10" s="381">
        <f t="shared" si="7"/>
        <v>0.1388888889</v>
      </c>
      <c r="R10" s="381">
        <f t="shared" si="9"/>
        <v>0.1581027668</v>
      </c>
    </row>
    <row r="11" ht="15.75" customHeight="1">
      <c r="A11" s="5"/>
      <c r="B11" s="292">
        <f t="shared" si="5"/>
        <v>6</v>
      </c>
      <c r="C11" s="398" t="s">
        <v>468</v>
      </c>
      <c r="D11" s="370">
        <f>'Harvesting Details'!F33</f>
        <v>637.443</v>
      </c>
      <c r="E11" s="385">
        <f>'Harvesting Details'!I33/'Sys Volume &amp; Area'!$E$17</f>
        <v>0.01449275362</v>
      </c>
      <c r="F11" s="400">
        <f>'Harvesting Details'!I33</f>
        <v>1</v>
      </c>
      <c r="G11" s="370">
        <f t="shared" si="1"/>
        <v>637.443</v>
      </c>
      <c r="H11" s="372">
        <f t="shared" si="2"/>
        <v>0.0009167178474</v>
      </c>
      <c r="I11" s="5"/>
      <c r="J11" s="5"/>
      <c r="K11" s="5"/>
      <c r="L11" s="378" t="s">
        <v>312</v>
      </c>
      <c r="M11" s="379">
        <v>0.2</v>
      </c>
      <c r="N11" s="379">
        <v>0.35</v>
      </c>
      <c r="O11" s="383">
        <f t="shared" ref="O11:P11" si="10">M11*$O$8</f>
        <v>139070.7079</v>
      </c>
      <c r="P11" s="383">
        <f t="shared" si="10"/>
        <v>243373.7389</v>
      </c>
      <c r="Q11" s="381">
        <f t="shared" si="7"/>
        <v>0.09259259259</v>
      </c>
      <c r="R11" s="381">
        <f t="shared" si="9"/>
        <v>0.1383399209</v>
      </c>
    </row>
    <row r="12" ht="15.75" customHeight="1">
      <c r="A12" s="5"/>
      <c r="B12" s="536" t="s">
        <v>322</v>
      </c>
      <c r="E12" s="537"/>
      <c r="F12" s="537">
        <f>SUM(G6:G12)</f>
        <v>695353.5396</v>
      </c>
      <c r="I12" s="5"/>
      <c r="J12" s="5"/>
      <c r="K12" s="5"/>
      <c r="L12" s="378" t="s">
        <v>314</v>
      </c>
      <c r="M12" s="379">
        <v>0.01</v>
      </c>
      <c r="N12" s="379">
        <v>0.03</v>
      </c>
      <c r="O12" s="383">
        <f t="shared" ref="O12:P12" si="11">M12*$O$8</f>
        <v>6953.535396</v>
      </c>
      <c r="P12" s="383">
        <f t="shared" si="11"/>
        <v>20860.60619</v>
      </c>
      <c r="Q12" s="381">
        <f t="shared" si="7"/>
        <v>0.00462962963</v>
      </c>
      <c r="R12" s="381">
        <f t="shared" si="9"/>
        <v>0.01185770751</v>
      </c>
    </row>
    <row r="13" ht="15.75" customHeight="1">
      <c r="A13" s="5"/>
      <c r="I13" s="5"/>
      <c r="J13" s="5"/>
      <c r="K13" s="5"/>
      <c r="L13" s="378" t="s">
        <v>316</v>
      </c>
      <c r="M13" s="379">
        <v>0.1</v>
      </c>
      <c r="N13" s="379">
        <v>0.15</v>
      </c>
      <c r="O13" s="383">
        <f t="shared" ref="O13:P13" si="12">M13*$O$8</f>
        <v>69535.35396</v>
      </c>
      <c r="P13" s="383">
        <f t="shared" si="12"/>
        <v>104303.0309</v>
      </c>
      <c r="Q13" s="381">
        <f t="shared" si="7"/>
        <v>0.0462962963</v>
      </c>
      <c r="R13" s="381">
        <f t="shared" si="9"/>
        <v>0.05928853755</v>
      </c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78" t="s">
        <v>318</v>
      </c>
      <c r="M14" s="379">
        <v>0.1</v>
      </c>
      <c r="N14" s="379">
        <v>0.45</v>
      </c>
      <c r="O14" s="383">
        <f t="shared" ref="O14:P14" si="13">M14*$O$8</f>
        <v>69535.35396</v>
      </c>
      <c r="P14" s="383">
        <f t="shared" si="13"/>
        <v>312909.0928</v>
      </c>
      <c r="Q14" s="381">
        <f t="shared" si="7"/>
        <v>0.0462962963</v>
      </c>
      <c r="R14" s="381">
        <f t="shared" si="9"/>
        <v>0.1778656126</v>
      </c>
    </row>
    <row r="15" ht="15.75" customHeight="1">
      <c r="A15" s="5"/>
      <c r="B15" s="288"/>
      <c r="C15" s="5"/>
      <c r="D15" s="5"/>
      <c r="E15" s="5"/>
      <c r="F15" s="5"/>
      <c r="G15" s="5"/>
      <c r="H15" s="5"/>
      <c r="I15" s="5"/>
      <c r="J15" s="5"/>
      <c r="K15" s="5"/>
      <c r="L15" s="378" t="s">
        <v>320</v>
      </c>
      <c r="M15" s="379">
        <v>0.05</v>
      </c>
      <c r="N15" s="379">
        <v>0.15</v>
      </c>
      <c r="O15" s="383">
        <f t="shared" ref="O15:P15" si="14">M15*$O$8</f>
        <v>34767.67698</v>
      </c>
      <c r="P15" s="383">
        <f t="shared" si="14"/>
        <v>104303.0309</v>
      </c>
      <c r="Q15" s="381">
        <f t="shared" si="7"/>
        <v>0.02314814815</v>
      </c>
      <c r="R15" s="381">
        <f t="shared" si="9"/>
        <v>0.05928853755</v>
      </c>
    </row>
    <row r="16" ht="15.75" customHeight="1">
      <c r="A16" s="5"/>
      <c r="B16" s="288"/>
      <c r="C16" s="5"/>
      <c r="D16" s="5"/>
      <c r="E16" s="5"/>
      <c r="F16" s="5"/>
      <c r="G16" s="5"/>
      <c r="H16" s="5"/>
      <c r="I16" s="5"/>
      <c r="J16" s="5"/>
      <c r="K16" s="5"/>
      <c r="L16" s="378" t="s">
        <v>321</v>
      </c>
      <c r="M16" s="379">
        <v>0.2</v>
      </c>
      <c r="N16" s="379">
        <v>0.5</v>
      </c>
      <c r="O16" s="383">
        <f t="shared" ref="O16:P16" si="15">M16*$O$8</f>
        <v>139070.7079</v>
      </c>
      <c r="P16" s="383">
        <f t="shared" si="15"/>
        <v>347676.7698</v>
      </c>
      <c r="Q16" s="381">
        <f t="shared" si="7"/>
        <v>0.09259259259</v>
      </c>
      <c r="R16" s="381">
        <f t="shared" si="9"/>
        <v>0.1976284585</v>
      </c>
    </row>
    <row r="17" ht="15.75" customHeight="1">
      <c r="A17" s="5"/>
      <c r="B17" s="288"/>
      <c r="C17" s="5"/>
      <c r="D17" s="5"/>
      <c r="E17" s="5"/>
      <c r="F17" s="5"/>
      <c r="G17" s="5"/>
      <c r="H17" s="5"/>
      <c r="I17" s="5"/>
      <c r="J17" s="5"/>
      <c r="K17" s="531" t="s">
        <v>323</v>
      </c>
      <c r="L17" s="532"/>
      <c r="M17" s="533" t="s">
        <v>304</v>
      </c>
      <c r="N17" s="538" t="s">
        <v>304</v>
      </c>
      <c r="O17" s="534">
        <f t="shared" ref="O17:P17" si="16">SUM(O18:O19)</f>
        <v>347676.7698</v>
      </c>
      <c r="P17" s="534">
        <f t="shared" si="16"/>
        <v>417212.1238</v>
      </c>
      <c r="Q17" s="535">
        <f t="shared" ref="Q17:R17" si="17">O17/O23</f>
        <v>0.1811594203</v>
      </c>
      <c r="R17" s="535">
        <f t="shared" si="17"/>
        <v>0.1829268293</v>
      </c>
    </row>
    <row r="18" ht="15.75" customHeight="1">
      <c r="A18" s="5"/>
      <c r="B18" s="288"/>
      <c r="C18" s="5"/>
      <c r="D18" s="5"/>
      <c r="E18" s="5"/>
      <c r="F18" s="5"/>
      <c r="G18" s="5"/>
      <c r="H18" s="5"/>
      <c r="I18" s="283">
        <f t="shared" ref="I18:J18" si="18">O18/O23</f>
        <v>0.07246376812</v>
      </c>
      <c r="J18" s="283">
        <f t="shared" si="18"/>
        <v>0.0762195122</v>
      </c>
      <c r="K18" s="5"/>
      <c r="L18" s="378" t="s">
        <v>324</v>
      </c>
      <c r="M18" s="379">
        <v>0.2</v>
      </c>
      <c r="N18" s="379">
        <v>0.25</v>
      </c>
      <c r="O18" s="383">
        <f t="shared" ref="O18:P18" si="19">M18*$O$8</f>
        <v>139070.7079</v>
      </c>
      <c r="P18" s="383">
        <f t="shared" si="19"/>
        <v>173838.3849</v>
      </c>
      <c r="Q18" s="381">
        <f t="shared" ref="Q18:R18" si="20">O18/O$17</f>
        <v>0.4</v>
      </c>
      <c r="R18" s="381">
        <f t="shared" si="20"/>
        <v>0.4166666667</v>
      </c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378" t="s">
        <v>325</v>
      </c>
      <c r="M19" s="379">
        <v>0.3</v>
      </c>
      <c r="N19" s="379">
        <v>0.35</v>
      </c>
      <c r="O19" s="383">
        <f t="shared" ref="O19:P19" si="21">M19*$O$8</f>
        <v>208606.0619</v>
      </c>
      <c r="P19" s="383">
        <f t="shared" si="21"/>
        <v>243373.7389</v>
      </c>
      <c r="Q19" s="381">
        <f t="shared" ref="Q19:R19" si="22">O19/O$17</f>
        <v>0.6</v>
      </c>
      <c r="R19" s="381">
        <f t="shared" si="22"/>
        <v>0.5833333333</v>
      </c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39" t="s">
        <v>326</v>
      </c>
      <c r="L20" s="532"/>
      <c r="M20" s="533" t="s">
        <v>304</v>
      </c>
      <c r="N20" s="538" t="s">
        <v>304</v>
      </c>
      <c r="O20" s="534">
        <f t="shared" ref="O20:P20" si="23">SUM(O21:O22)</f>
        <v>69535.35396</v>
      </c>
      <c r="P20" s="534">
        <f t="shared" si="23"/>
        <v>104303.0309</v>
      </c>
      <c r="Q20" s="535">
        <f t="shared" ref="Q20:R20" si="24">O20/O23</f>
        <v>0.03623188406</v>
      </c>
      <c r="R20" s="535">
        <f t="shared" si="24"/>
        <v>0.04573170732</v>
      </c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78" t="s">
        <v>327</v>
      </c>
      <c r="M21" s="379">
        <v>0.03</v>
      </c>
      <c r="N21" s="379">
        <v>0.05</v>
      </c>
      <c r="O21" s="383">
        <f t="shared" ref="O21:P21" si="25">M21*$O$8</f>
        <v>20860.60619</v>
      </c>
      <c r="P21" s="383">
        <f t="shared" si="25"/>
        <v>34767.67698</v>
      </c>
      <c r="Q21" s="381">
        <f t="shared" ref="Q21:R21" si="26">O21/O$17</f>
        <v>0.06</v>
      </c>
      <c r="R21" s="381">
        <f t="shared" si="26"/>
        <v>0.08333333333</v>
      </c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78" t="s">
        <v>328</v>
      </c>
      <c r="M22" s="379">
        <v>0.07</v>
      </c>
      <c r="N22" s="379">
        <v>0.1</v>
      </c>
      <c r="O22" s="383">
        <f t="shared" ref="O22:P22" si="27">M22*$O$8</f>
        <v>48674.74777</v>
      </c>
      <c r="P22" s="383">
        <f t="shared" si="27"/>
        <v>69535.35396</v>
      </c>
      <c r="Q22" s="381">
        <f t="shared" ref="Q22:R22" si="28">O22/O$17</f>
        <v>0.14</v>
      </c>
      <c r="R22" s="381">
        <f t="shared" si="28"/>
        <v>0.1666666667</v>
      </c>
    </row>
    <row r="23" ht="15.75" customHeight="1">
      <c r="A23" s="5"/>
      <c r="B23" s="5"/>
      <c r="C23" s="5"/>
      <c r="D23" s="5"/>
      <c r="E23" s="5"/>
      <c r="F23" s="5"/>
      <c r="G23" s="5"/>
      <c r="H23" s="5"/>
      <c r="I23" s="283">
        <f>O8/O23</f>
        <v>0.3623188406</v>
      </c>
      <c r="J23" s="283">
        <f>O8/P23</f>
        <v>0.3048780488</v>
      </c>
      <c r="K23" s="536" t="s">
        <v>329</v>
      </c>
      <c r="O23" s="540">
        <f t="shared" ref="O23:P23" si="29">SUM(O7,O17,O20)</f>
        <v>1919175.769</v>
      </c>
      <c r="P23" s="540">
        <f t="shared" si="29"/>
        <v>2280759.61</v>
      </c>
      <c r="Q23" s="216" t="s">
        <v>304</v>
      </c>
      <c r="R23" s="216" t="s">
        <v>304</v>
      </c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41" t="s">
        <v>330</v>
      </c>
      <c r="L26" s="5"/>
      <c r="M26" s="5"/>
      <c r="N26" s="5"/>
      <c r="O26" s="5"/>
      <c r="P26" s="5"/>
      <c r="Q26" s="5"/>
      <c r="R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216" t="s">
        <v>331</v>
      </c>
      <c r="M27" s="529" t="s">
        <v>332</v>
      </c>
      <c r="N27" s="5"/>
      <c r="O27" s="5"/>
      <c r="P27" s="5"/>
      <c r="Q27" s="5"/>
      <c r="R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 t="s">
        <v>172</v>
      </c>
      <c r="M28" s="288">
        <f>'Sys Volume &amp; Area'!C17</f>
        <v>1</v>
      </c>
      <c r="N28" s="472" t="s">
        <v>469</v>
      </c>
      <c r="O28" s="5"/>
      <c r="P28" s="5"/>
      <c r="Q28" s="5"/>
      <c r="R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342"/>
      <c r="O29" s="5"/>
      <c r="P29" s="5"/>
      <c r="Q29" s="5"/>
      <c r="R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216" t="s">
        <v>334</v>
      </c>
      <c r="M30" s="216" t="s">
        <v>335</v>
      </c>
      <c r="N30" s="529" t="s">
        <v>336</v>
      </c>
      <c r="O30" s="529" t="s">
        <v>296</v>
      </c>
      <c r="P30" s="5"/>
      <c r="Q30" s="5"/>
      <c r="R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 t="s">
        <v>337</v>
      </c>
      <c r="M31" s="5" t="s">
        <v>338</v>
      </c>
      <c r="N31" s="393">
        <v>3010.0</v>
      </c>
      <c r="O31" s="394">
        <f t="shared" ref="O31:O34" si="30">N31*M$28</f>
        <v>3010</v>
      </c>
      <c r="P31" s="5"/>
      <c r="Q31" s="5"/>
      <c r="R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 t="s">
        <v>339</v>
      </c>
      <c r="M32" s="5" t="s">
        <v>340</v>
      </c>
      <c r="N32" s="393">
        <v>3800.0</v>
      </c>
      <c r="O32" s="394">
        <f t="shared" si="30"/>
        <v>3800</v>
      </c>
      <c r="P32" s="342" t="s">
        <v>341</v>
      </c>
      <c r="Q32" s="5"/>
      <c r="R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 t="s">
        <v>342</v>
      </c>
      <c r="M33" s="5" t="s">
        <v>338</v>
      </c>
      <c r="N33" s="393">
        <v>417.0</v>
      </c>
      <c r="O33" s="394">
        <f t="shared" si="30"/>
        <v>417</v>
      </c>
      <c r="P33" s="5"/>
      <c r="Q33" s="5"/>
      <c r="R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 t="s">
        <v>343</v>
      </c>
      <c r="M34" s="5" t="s">
        <v>338</v>
      </c>
      <c r="N34" s="393">
        <v>1660.0</v>
      </c>
      <c r="O34" s="394">
        <f t="shared" si="30"/>
        <v>1660</v>
      </c>
      <c r="P34" s="5"/>
      <c r="Q34" s="5"/>
      <c r="R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36" t="s">
        <v>344</v>
      </c>
      <c r="O35" s="542">
        <f>MIN(O31:O34)</f>
        <v>417</v>
      </c>
      <c r="P35" s="5"/>
      <c r="Q35" s="5"/>
      <c r="R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36" t="s">
        <v>345</v>
      </c>
      <c r="O36" s="542">
        <f>MAX(O31:O34)</f>
        <v>3800</v>
      </c>
      <c r="P36" s="5"/>
      <c r="Q36" s="5"/>
      <c r="R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15.75" customHeight="1">
      <c r="A39" s="5"/>
      <c r="B39" s="395"/>
      <c r="C39" s="395"/>
      <c r="D39" s="395"/>
      <c r="E39" s="395"/>
      <c r="F39" s="395"/>
      <c r="G39" s="395"/>
      <c r="H39" s="395"/>
      <c r="I39" s="395"/>
      <c r="J39" s="395"/>
      <c r="K39" s="395"/>
      <c r="L39" s="395"/>
      <c r="M39" s="395"/>
      <c r="N39" s="395"/>
      <c r="O39" s="395"/>
      <c r="P39" s="5"/>
      <c r="Q39" s="5"/>
      <c r="R39" s="5"/>
    </row>
    <row r="40" ht="15.75" customHeight="1">
      <c r="A40" s="5"/>
      <c r="B40" s="527" t="s">
        <v>346</v>
      </c>
      <c r="P40" s="5"/>
      <c r="Q40" s="5"/>
      <c r="R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ht="15.75" customHeight="1">
      <c r="A42" s="5"/>
      <c r="B42" s="528" t="s">
        <v>347</v>
      </c>
      <c r="C42" s="366"/>
      <c r="D42" s="366"/>
      <c r="E42" s="366"/>
      <c r="F42" s="366"/>
      <c r="G42" s="5"/>
      <c r="H42" s="5"/>
      <c r="I42" s="5"/>
      <c r="J42" s="528" t="s">
        <v>348</v>
      </c>
      <c r="L42" s="5"/>
      <c r="M42" s="396" t="s">
        <v>429</v>
      </c>
      <c r="N42" s="475">
        <f>M28</f>
        <v>1</v>
      </c>
      <c r="O42" s="5"/>
      <c r="P42" s="5"/>
      <c r="Q42" s="5"/>
    </row>
    <row r="43" ht="15.75" customHeight="1">
      <c r="A43" s="5"/>
      <c r="B43" s="529" t="s">
        <v>350</v>
      </c>
      <c r="C43" s="216" t="s">
        <v>292</v>
      </c>
      <c r="D43" s="216" t="s">
        <v>351</v>
      </c>
      <c r="E43" s="216" t="s">
        <v>470</v>
      </c>
      <c r="F43" s="529" t="s">
        <v>296</v>
      </c>
      <c r="G43" s="529" t="s">
        <v>297</v>
      </c>
      <c r="H43" s="5"/>
      <c r="I43" s="5"/>
      <c r="J43" s="216" t="s">
        <v>182</v>
      </c>
      <c r="L43" s="529" t="s">
        <v>354</v>
      </c>
      <c r="M43" s="529" t="s">
        <v>355</v>
      </c>
      <c r="N43" s="529" t="s">
        <v>356</v>
      </c>
      <c r="O43" s="5"/>
      <c r="P43" s="5"/>
      <c r="Q43" s="5"/>
    </row>
    <row r="44" ht="15.75" customHeight="1">
      <c r="A44" s="5"/>
      <c r="B44" s="288" t="s">
        <v>304</v>
      </c>
      <c r="C44" s="5" t="s">
        <v>304</v>
      </c>
      <c r="D44" s="5" t="s">
        <v>304</v>
      </c>
      <c r="E44" s="5" t="s">
        <v>304</v>
      </c>
      <c r="F44" s="5" t="s">
        <v>304</v>
      </c>
      <c r="G44" s="5" t="s">
        <v>304</v>
      </c>
      <c r="H44" s="5"/>
      <c r="I44" s="5"/>
      <c r="J44" s="5" t="s">
        <v>471</v>
      </c>
      <c r="L44" s="288">
        <v>1.0</v>
      </c>
      <c r="M44" s="393">
        <f>M47*3</f>
        <v>219000</v>
      </c>
      <c r="N44" s="393">
        <f t="shared" ref="N44:N48" si="31">M44*L44</f>
        <v>219000</v>
      </c>
      <c r="O44" s="5"/>
      <c r="P44" s="5"/>
      <c r="Q44" s="5"/>
    </row>
    <row r="45" ht="15.75" customHeight="1">
      <c r="A45" s="5"/>
      <c r="B45" s="536" t="s">
        <v>322</v>
      </c>
      <c r="E45" s="536"/>
      <c r="H45" s="5"/>
      <c r="I45" s="5"/>
      <c r="J45" s="5" t="s">
        <v>472</v>
      </c>
      <c r="L45" s="288">
        <v>1.0</v>
      </c>
      <c r="M45" s="393">
        <f>M47*2.5</f>
        <v>182500</v>
      </c>
      <c r="N45" s="393">
        <f t="shared" si="31"/>
        <v>182500</v>
      </c>
      <c r="O45" s="5"/>
      <c r="P45" s="5"/>
      <c r="Q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 t="s">
        <v>473</v>
      </c>
      <c r="L46" s="288">
        <v>1.0</v>
      </c>
      <c r="M46" s="393">
        <f>M47*2</f>
        <v>146000</v>
      </c>
      <c r="N46" s="393">
        <f t="shared" si="31"/>
        <v>146000</v>
      </c>
      <c r="O46" s="5"/>
      <c r="P46" s="5"/>
      <c r="Q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396" t="s">
        <v>363</v>
      </c>
      <c r="J47" s="5" t="s">
        <v>131</v>
      </c>
      <c r="L47" s="403">
        <v>1.0</v>
      </c>
      <c r="M47" s="393">
        <f>'System Control &amp; Outputs'!$C$27*40*50</f>
        <v>73000</v>
      </c>
      <c r="N47" s="393">
        <f t="shared" si="31"/>
        <v>73000</v>
      </c>
      <c r="O47" s="472" t="s">
        <v>364</v>
      </c>
      <c r="P47" s="5"/>
      <c r="Q47" s="5"/>
    </row>
    <row r="48" ht="15.75" customHeight="1">
      <c r="A48" s="5"/>
      <c r="B48" s="528" t="s">
        <v>367</v>
      </c>
      <c r="C48" s="366"/>
      <c r="D48" s="366"/>
      <c r="E48" s="366"/>
      <c r="F48" s="366"/>
      <c r="G48" s="5"/>
      <c r="H48" s="5"/>
      <c r="I48" s="396" t="s">
        <v>363</v>
      </c>
      <c r="J48" s="5" t="s">
        <v>135</v>
      </c>
      <c r="L48" s="403">
        <f>ROUNDUP(N42/10)</f>
        <v>1</v>
      </c>
      <c r="M48" s="393">
        <f>'System Control &amp; Outputs'!$C$27*40*50</f>
        <v>73000</v>
      </c>
      <c r="N48" s="393">
        <f t="shared" si="31"/>
        <v>73000</v>
      </c>
      <c r="O48" s="472" t="s">
        <v>364</v>
      </c>
      <c r="P48" s="5"/>
      <c r="Q48" s="5"/>
    </row>
    <row r="49" ht="15.75" customHeight="1">
      <c r="A49" s="5"/>
      <c r="B49" s="529" t="s">
        <v>291</v>
      </c>
      <c r="C49" s="216" t="s">
        <v>292</v>
      </c>
      <c r="D49" s="216" t="s">
        <v>368</v>
      </c>
      <c r="E49" s="216" t="s">
        <v>352</v>
      </c>
      <c r="F49" s="529" t="s">
        <v>353</v>
      </c>
      <c r="G49" s="529" t="s">
        <v>297</v>
      </c>
      <c r="H49" s="5"/>
      <c r="I49" s="5"/>
      <c r="J49" s="536" t="s">
        <v>365</v>
      </c>
      <c r="L49" s="529">
        <f>SUM(L44:L48)</f>
        <v>5</v>
      </c>
      <c r="M49" s="543"/>
      <c r="N49" s="537">
        <f>SUM(N44:N48)</f>
        <v>693500</v>
      </c>
      <c r="O49" s="5"/>
      <c r="P49" s="5"/>
      <c r="Q49" s="5"/>
    </row>
    <row r="50" ht="15.75" customHeight="1">
      <c r="A50" s="5"/>
      <c r="B50" s="288">
        <v>1.0</v>
      </c>
      <c r="C50" s="398" t="s">
        <v>378</v>
      </c>
      <c r="D50" s="355" t="s">
        <v>369</v>
      </c>
      <c r="E50" s="350">
        <f>'Harvesting Details'!N13</f>
        <v>3865.665548</v>
      </c>
      <c r="F50" s="350">
        <f>'Harvesting Details'!O13</f>
        <v>6185.064876</v>
      </c>
      <c r="G50" s="359">
        <f t="shared" ref="G50:G55" si="32">F50/E$56</f>
        <v>0.05094974496</v>
      </c>
      <c r="H50" s="5"/>
      <c r="I50" s="396" t="s">
        <v>363</v>
      </c>
      <c r="J50" s="5" t="s">
        <v>136</v>
      </c>
      <c r="L50" s="403">
        <f>L48*2</f>
        <v>2</v>
      </c>
      <c r="M50" s="393">
        <f>'System Control &amp; Outputs'!$C$27*40*50</f>
        <v>73000</v>
      </c>
      <c r="N50" s="393">
        <f>M50*L50</f>
        <v>146000</v>
      </c>
      <c r="O50" s="5"/>
      <c r="P50" s="5"/>
      <c r="Q50" s="5"/>
    </row>
    <row r="51" ht="15.75" customHeight="1">
      <c r="A51" s="5"/>
      <c r="B51" s="288">
        <f t="shared" ref="B51:B55" si="33">B50+1</f>
        <v>2</v>
      </c>
      <c r="C51" s="398" t="s">
        <v>464</v>
      </c>
      <c r="D51" s="5" t="s">
        <v>370</v>
      </c>
      <c r="E51" s="350">
        <f>'Harvesting Details'!N17</f>
        <v>165528</v>
      </c>
      <c r="F51" s="350">
        <f>'Harvesting Details'!O17</f>
        <v>66608.4672</v>
      </c>
      <c r="G51" s="359">
        <f t="shared" si="32"/>
        <v>0.5486901889</v>
      </c>
      <c r="H51" s="5"/>
      <c r="I51" s="5"/>
      <c r="J51" s="536" t="s">
        <v>366</v>
      </c>
      <c r="L51" s="529">
        <f>SUM(L44:L47)+L50</f>
        <v>6</v>
      </c>
      <c r="M51" s="543"/>
      <c r="N51" s="537">
        <f>SUM(N44:N46)+N50</f>
        <v>693500</v>
      </c>
      <c r="O51" s="5"/>
      <c r="P51" s="5"/>
      <c r="Q51" s="5"/>
    </row>
    <row r="52" ht="15.75" customHeight="1">
      <c r="A52" s="5"/>
      <c r="B52" s="288">
        <f t="shared" si="33"/>
        <v>3</v>
      </c>
      <c r="C52" s="398" t="s">
        <v>465</v>
      </c>
      <c r="D52" s="5" t="s">
        <v>370</v>
      </c>
      <c r="E52" s="350">
        <f>'Harvesting Details'!N21</f>
        <v>56430</v>
      </c>
      <c r="F52" s="350">
        <f>'Harvesting Details'!O21</f>
        <v>22707.432</v>
      </c>
      <c r="G52" s="359">
        <f t="shared" si="32"/>
        <v>0.1870534735</v>
      </c>
      <c r="H52" s="5"/>
      <c r="I52" s="5"/>
      <c r="J52" s="5"/>
      <c r="K52" s="5"/>
      <c r="L52" s="5"/>
      <c r="M52" s="5"/>
      <c r="N52" s="5"/>
      <c r="O52" s="5"/>
      <c r="P52" s="5"/>
      <c r="Q52" s="5"/>
    </row>
    <row r="53" ht="15.75" customHeight="1">
      <c r="A53" s="5"/>
      <c r="B53" s="288">
        <f t="shared" si="33"/>
        <v>4</v>
      </c>
      <c r="C53" s="398" t="s">
        <v>466</v>
      </c>
      <c r="D53" s="5" t="s">
        <v>370</v>
      </c>
      <c r="E53" s="350">
        <f>'Harvesting Details'!N25</f>
        <v>61776</v>
      </c>
      <c r="F53" s="350">
        <f>'Harvesting Details'!O25</f>
        <v>24858.6624</v>
      </c>
      <c r="G53" s="359">
        <f t="shared" si="32"/>
        <v>0.2047743289</v>
      </c>
      <c r="H53" s="5"/>
      <c r="I53" s="5"/>
      <c r="J53" s="5"/>
      <c r="K53" s="5"/>
      <c r="L53" s="5"/>
      <c r="M53" s="5"/>
      <c r="N53" s="5"/>
      <c r="O53" s="5"/>
      <c r="P53" s="5"/>
      <c r="Q53" s="5"/>
    </row>
    <row r="54" ht="15.75" customHeight="1">
      <c r="A54" s="5"/>
      <c r="B54" s="288">
        <f t="shared" si="33"/>
        <v>5</v>
      </c>
      <c r="C54" s="398" t="s">
        <v>467</v>
      </c>
      <c r="D54" s="5" t="s">
        <v>304</v>
      </c>
      <c r="E54" s="350">
        <f>'Harvesting Details'!N29</f>
        <v>0</v>
      </c>
      <c r="F54" s="350">
        <f>'Harvesting Details'!O29</f>
        <v>0</v>
      </c>
      <c r="G54" s="359">
        <f t="shared" si="32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</row>
    <row r="55" ht="15.75" customHeight="1">
      <c r="A55" s="5"/>
      <c r="B55" s="288">
        <f t="shared" si="33"/>
        <v>6</v>
      </c>
      <c r="C55" s="398" t="s">
        <v>468</v>
      </c>
      <c r="D55" s="5" t="s">
        <v>370</v>
      </c>
      <c r="E55" s="350">
        <f>'Harvesting Details'!N33</f>
        <v>2574</v>
      </c>
      <c r="F55" s="350">
        <f>'Harvesting Details'!O33</f>
        <v>1035.7776</v>
      </c>
      <c r="G55" s="359">
        <f t="shared" si="32"/>
        <v>0.008532263704</v>
      </c>
      <c r="H55" s="5"/>
      <c r="I55" s="5"/>
      <c r="J55" s="5"/>
      <c r="K55" s="5"/>
      <c r="L55" s="5"/>
      <c r="M55" s="5"/>
      <c r="N55" s="5"/>
      <c r="O55" s="5"/>
      <c r="P55" s="5"/>
      <c r="Q55" s="5"/>
    </row>
    <row r="56" ht="15.75" customHeight="1">
      <c r="A56" s="5"/>
      <c r="B56" s="536" t="s">
        <v>322</v>
      </c>
      <c r="E56" s="537">
        <f>SUM(F50:F56)</f>
        <v>121395.4041</v>
      </c>
      <c r="H56" s="5"/>
      <c r="I56" s="5"/>
      <c r="J56" s="5"/>
      <c r="K56" s="5"/>
      <c r="L56" s="5"/>
      <c r="M56" s="5"/>
      <c r="N56" s="5"/>
      <c r="O56" s="5"/>
      <c r="P56" s="5"/>
      <c r="Q56" s="5"/>
    </row>
    <row r="57" ht="15.75" customHeight="1">
      <c r="A57" s="5"/>
      <c r="B57" s="5" t="s">
        <v>373</v>
      </c>
      <c r="E57" s="520">
        <f>SUM(E51,E52,E53,E55)</f>
        <v>286308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ht="15.75" customHeight="1">
      <c r="A58" s="5"/>
      <c r="B58" s="5" t="s">
        <v>100</v>
      </c>
      <c r="E58" s="520">
        <f>E50</f>
        <v>3865.665548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15.75" customHeight="1">
      <c r="A59" s="5"/>
      <c r="B59" s="528"/>
      <c r="C59" s="366"/>
      <c r="D59" s="366"/>
      <c r="E59" s="366"/>
      <c r="F59" s="36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15.75" customHeight="1">
      <c r="A60" s="5"/>
      <c r="B60" s="528" t="s">
        <v>374</v>
      </c>
      <c r="C60" s="366"/>
      <c r="D60" s="366"/>
      <c r="E60" s="366"/>
      <c r="F60" s="36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15.75" customHeight="1">
      <c r="A61" s="5"/>
      <c r="B61" s="529" t="s">
        <v>291</v>
      </c>
      <c r="C61" s="216" t="s">
        <v>292</v>
      </c>
      <c r="D61" s="216" t="s">
        <v>375</v>
      </c>
      <c r="E61" s="216" t="s">
        <v>376</v>
      </c>
      <c r="F61" s="530" t="s">
        <v>353</v>
      </c>
      <c r="G61" s="530" t="s">
        <v>297</v>
      </c>
      <c r="H61" s="5"/>
      <c r="I61" s="5"/>
      <c r="J61" s="5"/>
      <c r="K61" s="5"/>
      <c r="L61" s="5"/>
      <c r="M61" s="5"/>
      <c r="N61" s="5"/>
      <c r="O61" s="5"/>
      <c r="P61" s="5"/>
      <c r="Q61" s="5"/>
    </row>
    <row r="62" ht="15.75" customHeight="1">
      <c r="A62" s="5"/>
      <c r="B62" s="288">
        <v>1.0</v>
      </c>
      <c r="C62" s="398" t="s">
        <v>378</v>
      </c>
      <c r="D62" s="5" t="s">
        <v>474</v>
      </c>
      <c r="E62" s="356">
        <v>0.05</v>
      </c>
      <c r="F62" s="458">
        <f t="shared" ref="F62:F67" si="34">E62*G6</f>
        <v>56.6616</v>
      </c>
      <c r="G62" s="480">
        <f t="shared" ref="G62:G67" si="35">F62/E$68</f>
        <v>0.001605325487</v>
      </c>
      <c r="H62" s="5"/>
      <c r="I62" s="5"/>
      <c r="J62" s="5"/>
      <c r="K62" s="5"/>
      <c r="L62" s="5"/>
      <c r="M62" s="5"/>
      <c r="N62" s="5"/>
      <c r="O62" s="5"/>
      <c r="P62" s="5"/>
      <c r="Q62" s="5"/>
    </row>
    <row r="63" ht="15.75" customHeight="1">
      <c r="A63" s="5"/>
      <c r="B63" s="288">
        <f t="shared" ref="B63:B67" si="36">B62+1</f>
        <v>2</v>
      </c>
      <c r="C63" s="398" t="s">
        <v>464</v>
      </c>
      <c r="D63" s="5" t="s">
        <v>21</v>
      </c>
      <c r="E63" s="356">
        <v>0.03</v>
      </c>
      <c r="F63" s="458">
        <f t="shared" si="34"/>
        <v>3420</v>
      </c>
      <c r="G63" s="480">
        <f t="shared" si="35"/>
        <v>0.09689477823</v>
      </c>
      <c r="H63" s="5"/>
      <c r="I63" s="5"/>
      <c r="J63" s="5"/>
      <c r="K63" s="5"/>
      <c r="L63" s="5"/>
      <c r="M63" s="5"/>
      <c r="N63" s="5"/>
      <c r="O63" s="5"/>
      <c r="P63" s="5"/>
      <c r="Q63" s="5"/>
    </row>
    <row r="64" ht="15.75" customHeight="1">
      <c r="A64" s="5"/>
      <c r="B64" s="288">
        <f t="shared" si="36"/>
        <v>3</v>
      </c>
      <c r="C64" s="398" t="s">
        <v>465</v>
      </c>
      <c r="D64" s="5" t="s">
        <v>21</v>
      </c>
      <c r="E64" s="356">
        <v>0.03</v>
      </c>
      <c r="F64" s="458">
        <f t="shared" si="34"/>
        <v>3420</v>
      </c>
      <c r="G64" s="480">
        <f t="shared" si="35"/>
        <v>0.09689477823</v>
      </c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15.75" customHeight="1">
      <c r="A65" s="5"/>
      <c r="B65" s="288">
        <f t="shared" si="36"/>
        <v>4</v>
      </c>
      <c r="C65" s="398" t="s">
        <v>466</v>
      </c>
      <c r="D65" s="5" t="s">
        <v>22</v>
      </c>
      <c r="E65" s="356">
        <v>0.07</v>
      </c>
      <c r="F65" s="458">
        <f t="shared" si="34"/>
        <v>25200</v>
      </c>
      <c r="G65" s="480">
        <f t="shared" si="35"/>
        <v>0.7139615238</v>
      </c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15.75" customHeight="1">
      <c r="A66" s="5"/>
      <c r="B66" s="288">
        <f t="shared" si="36"/>
        <v>5</v>
      </c>
      <c r="C66" s="398" t="s">
        <v>467</v>
      </c>
      <c r="D66" s="5" t="s">
        <v>21</v>
      </c>
      <c r="E66" s="356">
        <v>0.03</v>
      </c>
      <c r="F66" s="458">
        <f t="shared" si="34"/>
        <v>3167.485938</v>
      </c>
      <c r="G66" s="480">
        <f t="shared" si="35"/>
        <v>0.08974059868</v>
      </c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5.75" customHeight="1">
      <c r="A67" s="5"/>
      <c r="B67" s="288">
        <f t="shared" si="36"/>
        <v>6</v>
      </c>
      <c r="C67" s="398" t="s">
        <v>468</v>
      </c>
      <c r="D67" s="5" t="s">
        <v>474</v>
      </c>
      <c r="E67" s="356">
        <v>0.05</v>
      </c>
      <c r="F67" s="458">
        <f t="shared" si="34"/>
        <v>31.87215</v>
      </c>
      <c r="G67" s="480">
        <f t="shared" si="35"/>
        <v>0.0009029955865</v>
      </c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5.75" customHeight="1">
      <c r="A68" s="5"/>
      <c r="B68" s="536" t="s">
        <v>322</v>
      </c>
      <c r="E68" s="537">
        <f>sum(F62:F68)</f>
        <v>35296.01969</v>
      </c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5.75" customHeight="1">
      <c r="A76" s="5"/>
      <c r="B76" s="28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5.75" customHeight="1">
      <c r="A77" s="5"/>
      <c r="B77" s="28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5.75" customHeight="1">
      <c r="A78" s="5"/>
      <c r="B78" s="28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5.75" customHeight="1">
      <c r="A79" s="5"/>
      <c r="B79" s="28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8">
    <mergeCell ref="B2:R2"/>
    <mergeCell ref="K4:R4"/>
    <mergeCell ref="K5:L6"/>
    <mergeCell ref="M5:N5"/>
    <mergeCell ref="O5:P5"/>
    <mergeCell ref="Q5:R5"/>
    <mergeCell ref="O8:P8"/>
    <mergeCell ref="B12:D12"/>
    <mergeCell ref="F12:H12"/>
    <mergeCell ref="K23:N23"/>
    <mergeCell ref="K27:L27"/>
    <mergeCell ref="K28:L28"/>
    <mergeCell ref="K30:L30"/>
    <mergeCell ref="K31:L31"/>
    <mergeCell ref="K32:L32"/>
    <mergeCell ref="K33:L33"/>
    <mergeCell ref="K34:L34"/>
    <mergeCell ref="K35:N35"/>
    <mergeCell ref="K36:N36"/>
    <mergeCell ref="B40:O40"/>
    <mergeCell ref="J42:K42"/>
    <mergeCell ref="J43:K43"/>
    <mergeCell ref="J44:K44"/>
    <mergeCell ref="B45:D45"/>
    <mergeCell ref="E45:G45"/>
    <mergeCell ref="J45:K45"/>
    <mergeCell ref="J46:K46"/>
    <mergeCell ref="J47:K47"/>
    <mergeCell ref="B58:D58"/>
    <mergeCell ref="B68:D68"/>
    <mergeCell ref="E68:G68"/>
    <mergeCell ref="J48:K48"/>
    <mergeCell ref="J49:K49"/>
    <mergeCell ref="J50:K50"/>
    <mergeCell ref="J51:K51"/>
    <mergeCell ref="B56:D56"/>
    <mergeCell ref="E56:G56"/>
    <mergeCell ref="B57:D5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B1" s="544"/>
      <c r="C1" s="544"/>
      <c r="D1" s="544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</row>
    <row r="2" ht="15.75" customHeight="1">
      <c r="B2" s="544" t="s">
        <v>475</v>
      </c>
      <c r="C2" s="544"/>
      <c r="D2" s="544"/>
      <c r="E2" s="258">
        <f>'Sys Volume &amp; Area'!D17</f>
        <v>35</v>
      </c>
      <c r="F2" s="258"/>
      <c r="G2" s="544" t="s">
        <v>476</v>
      </c>
      <c r="H2" s="258"/>
      <c r="I2" s="258"/>
      <c r="J2" s="356">
        <v>0.7</v>
      </c>
      <c r="K2" s="258"/>
      <c r="L2" s="258"/>
      <c r="M2" s="258"/>
      <c r="N2" s="258"/>
      <c r="O2" s="258"/>
      <c r="P2" s="258"/>
      <c r="Q2" s="258"/>
    </row>
    <row r="3" ht="15.75" customHeight="1">
      <c r="B3" s="544" t="s">
        <v>477</v>
      </c>
      <c r="C3" s="544"/>
      <c r="D3" s="544"/>
      <c r="E3" s="479">
        <f>'Sys Volume &amp; Area'!C17</f>
        <v>1</v>
      </c>
      <c r="F3" s="544"/>
      <c r="G3" s="544" t="s">
        <v>478</v>
      </c>
      <c r="H3" s="258"/>
      <c r="I3" s="258"/>
      <c r="J3" s="479">
        <f>E3*E6*(1-J2)</f>
        <v>339.365249</v>
      </c>
      <c r="K3" s="258"/>
      <c r="L3" s="258"/>
      <c r="M3" s="258"/>
      <c r="N3" s="258"/>
      <c r="O3" s="258"/>
      <c r="P3" s="258"/>
      <c r="Q3" s="258"/>
    </row>
    <row r="4" ht="15.75" customHeight="1">
      <c r="B4" s="544" t="s">
        <v>479</v>
      </c>
      <c r="C4" s="544"/>
      <c r="D4" s="544"/>
      <c r="E4" s="258">
        <v>6.0</v>
      </c>
      <c r="F4" s="544"/>
      <c r="G4" s="544" t="s">
        <v>480</v>
      </c>
      <c r="H4" s="544"/>
      <c r="I4" s="544"/>
      <c r="J4" s="356">
        <v>0.25</v>
      </c>
      <c r="K4" s="258"/>
      <c r="L4" s="258"/>
      <c r="M4" s="258"/>
      <c r="N4" s="258"/>
      <c r="O4" s="258"/>
      <c r="P4" s="258"/>
      <c r="Q4" s="258"/>
    </row>
    <row r="5" ht="15.75" customHeight="1">
      <c r="B5" s="544" t="s">
        <v>481</v>
      </c>
      <c r="C5" s="544"/>
      <c r="D5" s="544"/>
      <c r="E5" s="479">
        <f>'Water &amp; Nutrient Calcs'!F5/E3</f>
        <v>6787.30498</v>
      </c>
      <c r="F5" s="544"/>
      <c r="G5" s="544" t="s">
        <v>482</v>
      </c>
      <c r="H5" s="544"/>
      <c r="I5" s="544"/>
      <c r="J5" s="545">
        <f>E3*E6*(1-J4)</f>
        <v>848.4131225</v>
      </c>
      <c r="K5" s="258"/>
      <c r="L5" s="258"/>
      <c r="M5" s="258"/>
      <c r="N5" s="258"/>
      <c r="O5" s="258"/>
      <c r="P5" s="258"/>
      <c r="Q5" s="258"/>
    </row>
    <row r="6" ht="15.75" customHeight="1">
      <c r="B6" s="544" t="s">
        <v>483</v>
      </c>
      <c r="C6" s="258"/>
      <c r="D6" s="258"/>
      <c r="E6" s="479">
        <f>E5/E4</f>
        <v>1131.217497</v>
      </c>
      <c r="F6" s="258"/>
      <c r="G6" s="258"/>
      <c r="H6" s="258"/>
      <c r="I6" s="546"/>
      <c r="J6" s="546"/>
      <c r="K6" s="546"/>
      <c r="L6" s="546"/>
      <c r="M6" s="546"/>
      <c r="N6" s="546"/>
      <c r="O6" s="546"/>
      <c r="P6" s="546"/>
      <c r="Q6" s="546"/>
      <c r="R6" s="425"/>
      <c r="S6" s="425"/>
      <c r="T6" s="425"/>
      <c r="U6" s="425"/>
      <c r="V6" s="425"/>
      <c r="W6" s="425"/>
    </row>
    <row r="7" ht="15.75" customHeight="1">
      <c r="B7" s="258"/>
      <c r="C7" s="258"/>
      <c r="D7" s="258"/>
      <c r="E7" s="258"/>
      <c r="F7" s="258"/>
      <c r="G7" s="258"/>
      <c r="H7" s="258"/>
      <c r="I7" s="546"/>
      <c r="J7" s="546"/>
      <c r="K7" s="546"/>
      <c r="L7" s="546"/>
      <c r="M7" s="546"/>
      <c r="N7" s="546"/>
      <c r="O7" s="546"/>
      <c r="P7" s="546"/>
      <c r="Q7" s="546"/>
      <c r="R7" s="425"/>
      <c r="S7" s="425"/>
      <c r="T7" s="425"/>
      <c r="U7" s="425"/>
      <c r="V7" s="425"/>
      <c r="W7" s="425"/>
    </row>
    <row r="8" ht="15.75" customHeight="1">
      <c r="B8" s="258"/>
      <c r="C8" s="258"/>
      <c r="D8" s="258"/>
      <c r="E8" s="258"/>
      <c r="F8" s="258"/>
      <c r="G8" s="258"/>
      <c r="H8" s="258"/>
      <c r="I8" s="546"/>
      <c r="J8" s="546"/>
      <c r="K8" s="546"/>
      <c r="L8" s="547" t="s">
        <v>379</v>
      </c>
      <c r="M8" s="311" t="s">
        <v>380</v>
      </c>
      <c r="P8" s="346"/>
      <c r="Q8" s="346"/>
      <c r="R8" s="425"/>
      <c r="S8" s="425"/>
      <c r="T8" s="425"/>
      <c r="U8" s="425"/>
      <c r="V8" s="425"/>
      <c r="W8" s="425"/>
    </row>
    <row r="9" ht="15.75" customHeight="1">
      <c r="B9" s="548" t="s">
        <v>381</v>
      </c>
      <c r="G9" s="258"/>
      <c r="H9" s="258"/>
      <c r="I9" s="546"/>
      <c r="J9" s="546"/>
      <c r="K9" s="546"/>
      <c r="M9" s="338" t="s">
        <v>382</v>
      </c>
      <c r="N9" s="338" t="s">
        <v>383</v>
      </c>
      <c r="O9" s="338" t="s">
        <v>384</v>
      </c>
      <c r="P9" s="338" t="s">
        <v>385</v>
      </c>
      <c r="Q9" s="338" t="s">
        <v>386</v>
      </c>
      <c r="R9" s="425"/>
      <c r="S9" s="425"/>
      <c r="T9" s="425"/>
      <c r="U9" s="425"/>
      <c r="V9" s="425"/>
      <c r="W9" s="425"/>
    </row>
    <row r="10" ht="15.75" customHeight="1"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346"/>
      <c r="M10" s="549">
        <v>0.7</v>
      </c>
      <c r="N10" s="549">
        <v>0.95</v>
      </c>
      <c r="O10" s="549">
        <v>0.35</v>
      </c>
      <c r="P10" s="346">
        <v>3.6</v>
      </c>
      <c r="Q10" s="346">
        <v>38.4</v>
      </c>
    </row>
    <row r="11" ht="15.75" customHeight="1">
      <c r="A11" s="396"/>
      <c r="B11" s="544" t="s">
        <v>484</v>
      </c>
      <c r="C11" s="257"/>
      <c r="D11" s="257"/>
      <c r="E11" s="257"/>
      <c r="F11" s="257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</row>
    <row r="12" ht="24.0" customHeight="1">
      <c r="B12" s="338" t="s">
        <v>402</v>
      </c>
      <c r="C12" s="550" t="s">
        <v>403</v>
      </c>
      <c r="D12" s="338" t="s">
        <v>390</v>
      </c>
      <c r="E12" s="338" t="s">
        <v>391</v>
      </c>
      <c r="F12" s="551" t="s">
        <v>392</v>
      </c>
      <c r="G12" s="345"/>
      <c r="H12" s="338" t="s">
        <v>404</v>
      </c>
      <c r="I12" s="338" t="s">
        <v>394</v>
      </c>
      <c r="J12" s="338" t="s">
        <v>395</v>
      </c>
      <c r="K12" s="346"/>
      <c r="L12" s="550" t="s">
        <v>396</v>
      </c>
      <c r="M12" s="338" t="s">
        <v>397</v>
      </c>
      <c r="N12" s="338" t="s">
        <v>405</v>
      </c>
      <c r="O12" s="338" t="s">
        <v>399</v>
      </c>
      <c r="P12" s="258"/>
      <c r="Q12" s="258"/>
    </row>
    <row r="13" ht="15.75" customHeight="1">
      <c r="B13" s="346">
        <f>E4</f>
        <v>6</v>
      </c>
      <c r="C13" s="430">
        <f>18000/3600</f>
        <v>5</v>
      </c>
      <c r="D13" s="346" t="s">
        <v>485</v>
      </c>
      <c r="E13" s="428" t="s">
        <v>304</v>
      </c>
      <c r="F13" s="428">
        <f>1600*'System Control &amp; Outputs'!C49</f>
        <v>1133.232</v>
      </c>
      <c r="G13" s="345"/>
      <c r="H13" s="433">
        <f>E6*1000/3600/I13</f>
        <v>314.2270824</v>
      </c>
      <c r="I13" s="447">
        <f>E3</f>
        <v>1</v>
      </c>
      <c r="J13" s="429">
        <f>F13*I13</f>
        <v>1133.232</v>
      </c>
      <c r="K13" s="346"/>
      <c r="L13" s="430">
        <f>6.5*0.7457</f>
        <v>4.84705</v>
      </c>
      <c r="M13" s="346">
        <f>B13*'Sys Volume &amp; Area'!$B$12*I13</f>
        <v>1980</v>
      </c>
      <c r="N13" s="347">
        <f>(L13*M13)*($P$10/$Q$10)/($M$10*$N$10*$O$10)</f>
        <v>3865.665548</v>
      </c>
      <c r="O13" s="429">
        <f>N13*'System Control &amp; Outputs'!$C$21</f>
        <v>6185.064876</v>
      </c>
      <c r="P13" s="258"/>
      <c r="Q13" s="258"/>
    </row>
    <row r="14" ht="15.75" customHeight="1"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</row>
    <row r="15" ht="15.75" customHeight="1">
      <c r="B15" s="552" t="s">
        <v>486</v>
      </c>
      <c r="C15" s="258"/>
      <c r="D15" s="258"/>
      <c r="E15" s="258"/>
      <c r="F15" s="258"/>
      <c r="G15" s="258"/>
      <c r="H15" s="257"/>
      <c r="I15" s="258"/>
      <c r="J15" s="258"/>
      <c r="K15" s="258"/>
      <c r="L15" s="258"/>
      <c r="M15" s="258"/>
      <c r="N15" s="258"/>
      <c r="O15" s="258"/>
      <c r="P15" s="258"/>
      <c r="Q15" s="258"/>
    </row>
    <row r="16" ht="26.25" customHeight="1">
      <c r="B16" s="338" t="s">
        <v>402</v>
      </c>
      <c r="C16" s="550" t="s">
        <v>487</v>
      </c>
      <c r="D16" s="338" t="s">
        <v>390</v>
      </c>
      <c r="E16" s="338" t="s">
        <v>391</v>
      </c>
      <c r="F16" s="551" t="s">
        <v>392</v>
      </c>
      <c r="G16" s="346"/>
      <c r="H16" s="338" t="s">
        <v>488</v>
      </c>
      <c r="I16" s="338" t="s">
        <v>394</v>
      </c>
      <c r="J16" s="338" t="s">
        <v>395</v>
      </c>
      <c r="K16" s="346"/>
      <c r="L16" s="550" t="s">
        <v>396</v>
      </c>
      <c r="M16" s="338" t="s">
        <v>397</v>
      </c>
      <c r="N16" s="338" t="s">
        <v>398</v>
      </c>
      <c r="O16" s="338" t="s">
        <v>399</v>
      </c>
      <c r="P16" s="258"/>
      <c r="Q16" s="258"/>
    </row>
    <row r="17" ht="15.75" customHeight="1">
      <c r="B17" s="346">
        <f>B13</f>
        <v>6</v>
      </c>
      <c r="C17" s="347">
        <v>30.0</v>
      </c>
      <c r="D17" s="346" t="s">
        <v>489</v>
      </c>
      <c r="E17" s="428" t="s">
        <v>304</v>
      </c>
      <c r="F17" s="428">
        <v>3000.0</v>
      </c>
      <c r="G17" s="346"/>
      <c r="H17" s="434">
        <f>E6/ROUNDUP(E6/C17)</f>
        <v>29.76888149</v>
      </c>
      <c r="I17" s="346">
        <f>I13*ROUNDUP(E6/C17)</f>
        <v>38</v>
      </c>
      <c r="J17" s="429">
        <f>F17*I17</f>
        <v>114000</v>
      </c>
      <c r="K17" s="346"/>
      <c r="L17" s="430">
        <v>2.2</v>
      </c>
      <c r="M17" s="346">
        <f>B17*'Sys Volume &amp; Area'!$B$12*I17</f>
        <v>75240</v>
      </c>
      <c r="N17" s="347">
        <f>L17*M17</f>
        <v>165528</v>
      </c>
      <c r="O17" s="429">
        <f>N17*'System Control &amp; Outputs'!$C$19</f>
        <v>66608.4672</v>
      </c>
      <c r="P17" s="258"/>
      <c r="Q17" s="258"/>
    </row>
    <row r="18" ht="15.75" customHeight="1">
      <c r="B18" s="258"/>
      <c r="C18" s="258"/>
      <c r="D18" s="258"/>
      <c r="E18" s="258"/>
      <c r="F18" s="258"/>
      <c r="G18" s="258"/>
      <c r="H18" s="257"/>
      <c r="I18" s="257"/>
      <c r="J18" s="257"/>
      <c r="K18" s="258"/>
      <c r="L18" s="258"/>
      <c r="M18" s="258"/>
      <c r="N18" s="258"/>
      <c r="O18" s="258"/>
      <c r="P18" s="258"/>
      <c r="Q18" s="258"/>
    </row>
    <row r="19" ht="15.75" customHeight="1">
      <c r="B19" s="544" t="s">
        <v>490</v>
      </c>
      <c r="C19" s="257"/>
      <c r="D19" s="257"/>
      <c r="E19" s="257"/>
      <c r="F19" s="257"/>
      <c r="G19" s="258"/>
      <c r="H19" s="257"/>
      <c r="I19" s="257"/>
      <c r="J19" s="257"/>
      <c r="K19" s="258"/>
      <c r="L19" s="258"/>
      <c r="M19" s="258"/>
      <c r="N19" s="258"/>
      <c r="O19" s="258"/>
      <c r="P19" s="258"/>
      <c r="Q19" s="258"/>
    </row>
    <row r="20" ht="24.75" customHeight="1">
      <c r="B20" s="338" t="s">
        <v>402</v>
      </c>
      <c r="C20" s="553" t="s">
        <v>487</v>
      </c>
      <c r="D20" s="338" t="s">
        <v>390</v>
      </c>
      <c r="E20" s="338" t="s">
        <v>391</v>
      </c>
      <c r="F20" s="551" t="s">
        <v>392</v>
      </c>
      <c r="G20" s="346"/>
      <c r="H20" s="338" t="s">
        <v>488</v>
      </c>
      <c r="I20" s="338" t="s">
        <v>394</v>
      </c>
      <c r="J20" s="338" t="s">
        <v>395</v>
      </c>
      <c r="K20" s="346"/>
      <c r="L20" s="550" t="s">
        <v>396</v>
      </c>
      <c r="M20" s="338" t="s">
        <v>397</v>
      </c>
      <c r="N20" s="338" t="s">
        <v>398</v>
      </c>
      <c r="O20" s="338" t="s">
        <v>399</v>
      </c>
      <c r="P20" s="258"/>
      <c r="Q20" s="258"/>
    </row>
    <row r="21" ht="15.75" customHeight="1">
      <c r="B21" s="258">
        <f>B17</f>
        <v>6</v>
      </c>
      <c r="C21" s="358" t="s">
        <v>304</v>
      </c>
      <c r="D21" s="554" t="s">
        <v>491</v>
      </c>
      <c r="E21" s="458" t="s">
        <v>304</v>
      </c>
      <c r="F21" s="458">
        <v>3000.0</v>
      </c>
      <c r="G21" s="258"/>
      <c r="H21" s="479">
        <f t="shared" ref="H21:I21" si="1">H17</f>
        <v>29.76888149</v>
      </c>
      <c r="I21" s="258">
        <f t="shared" si="1"/>
        <v>38</v>
      </c>
      <c r="J21" s="429">
        <f>F21*I21</f>
        <v>114000</v>
      </c>
      <c r="K21" s="258"/>
      <c r="L21" s="430">
        <v>0.75</v>
      </c>
      <c r="M21" s="346">
        <f>B21*'Sys Volume &amp; Area'!$B$12*I21</f>
        <v>75240</v>
      </c>
      <c r="N21" s="347">
        <f>L21*M21</f>
        <v>56430</v>
      </c>
      <c r="O21" s="429">
        <f>N21*'System Control &amp; Outputs'!$C$19</f>
        <v>22707.432</v>
      </c>
      <c r="P21" s="258"/>
      <c r="Q21" s="258"/>
    </row>
    <row r="22" ht="15.75" customHeight="1">
      <c r="B22" s="258"/>
      <c r="C22" s="258"/>
      <c r="D22" s="258"/>
      <c r="E22" s="258"/>
      <c r="F22" s="258"/>
      <c r="G22" s="258"/>
      <c r="H22" s="258"/>
      <c r="I22" s="357"/>
      <c r="J22" s="258"/>
      <c r="K22" s="258"/>
      <c r="L22" s="258"/>
      <c r="M22" s="258"/>
      <c r="N22" s="258"/>
      <c r="O22" s="258"/>
      <c r="P22" s="258"/>
      <c r="Q22" s="258"/>
    </row>
    <row r="23" ht="15.75" customHeight="1">
      <c r="B23" s="552" t="s">
        <v>492</v>
      </c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</row>
    <row r="24" ht="26.25" customHeight="1">
      <c r="B24" s="338" t="s">
        <v>402</v>
      </c>
      <c r="C24" s="553" t="s">
        <v>487</v>
      </c>
      <c r="D24" s="338" t="s">
        <v>390</v>
      </c>
      <c r="E24" s="338" t="s">
        <v>391</v>
      </c>
      <c r="F24" s="551" t="s">
        <v>392</v>
      </c>
      <c r="G24" s="346"/>
      <c r="H24" s="338" t="s">
        <v>488</v>
      </c>
      <c r="I24" s="338" t="s">
        <v>394</v>
      </c>
      <c r="J24" s="338" t="s">
        <v>395</v>
      </c>
      <c r="K24" s="346"/>
      <c r="L24" s="550" t="s">
        <v>396</v>
      </c>
      <c r="M24" s="338" t="s">
        <v>397</v>
      </c>
      <c r="N24" s="338" t="s">
        <v>398</v>
      </c>
      <c r="O24" s="338" t="s">
        <v>399</v>
      </c>
      <c r="P24" s="258"/>
      <c r="Q24" s="258"/>
    </row>
    <row r="25" ht="15.75" customHeight="1">
      <c r="B25" s="258">
        <f>B21</f>
        <v>6</v>
      </c>
      <c r="C25" s="358">
        <v>30.0</v>
      </c>
      <c r="D25" s="554" t="s">
        <v>493</v>
      </c>
      <c r="E25" s="458" t="s">
        <v>304</v>
      </c>
      <c r="F25" s="458">
        <v>30000.0</v>
      </c>
      <c r="G25" s="258"/>
      <c r="H25" s="479" t="s">
        <v>304</v>
      </c>
      <c r="I25" s="258">
        <f>ROUNDUP(J3/C25)</f>
        <v>12</v>
      </c>
      <c r="J25" s="429">
        <f>F25*I25</f>
        <v>360000</v>
      </c>
      <c r="K25" s="258"/>
      <c r="L25" s="430">
        <v>2.6</v>
      </c>
      <c r="M25" s="346">
        <f>B25*'Sys Volume &amp; Area'!$B$12*I25</f>
        <v>23760</v>
      </c>
      <c r="N25" s="347">
        <f>L25*M25</f>
        <v>61776</v>
      </c>
      <c r="O25" s="429">
        <f>N25*'System Control &amp; Outputs'!$C$19</f>
        <v>24858.6624</v>
      </c>
      <c r="P25" s="258"/>
      <c r="Q25" s="258"/>
    </row>
    <row r="26" ht="15.75" customHeight="1"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</row>
    <row r="27" ht="15.75" customHeight="1">
      <c r="B27" s="541" t="s">
        <v>494</v>
      </c>
      <c r="C27" s="334"/>
      <c r="D27" s="334"/>
      <c r="E27" s="334"/>
      <c r="F27" s="334"/>
      <c r="G27" s="334"/>
      <c r="H27" s="439"/>
      <c r="I27" s="334"/>
      <c r="J27" s="334"/>
      <c r="K27" s="334"/>
      <c r="L27" s="334"/>
      <c r="M27" s="334"/>
      <c r="N27" s="334"/>
      <c r="O27" s="334"/>
      <c r="P27" s="258"/>
      <c r="Q27" s="258"/>
    </row>
    <row r="28" ht="26.25" customHeight="1">
      <c r="B28" s="338" t="s">
        <v>388</v>
      </c>
      <c r="C28" s="338" t="s">
        <v>389</v>
      </c>
      <c r="D28" s="338" t="s">
        <v>390</v>
      </c>
      <c r="E28" s="338" t="s">
        <v>391</v>
      </c>
      <c r="F28" s="555" t="s">
        <v>392</v>
      </c>
      <c r="G28" s="431"/>
      <c r="H28" s="338" t="s">
        <v>393</v>
      </c>
      <c r="I28" s="338" t="s">
        <v>394</v>
      </c>
      <c r="J28" s="338" t="s">
        <v>395</v>
      </c>
      <c r="K28" s="334"/>
      <c r="L28" s="553" t="s">
        <v>396</v>
      </c>
      <c r="M28" s="338" t="s">
        <v>397</v>
      </c>
      <c r="N28" s="556" t="s">
        <v>398</v>
      </c>
      <c r="O28" s="338" t="s">
        <v>399</v>
      </c>
      <c r="P28" s="258"/>
      <c r="Q28" s="258"/>
    </row>
    <row r="29" ht="15.75" customHeight="1">
      <c r="B29" s="346">
        <v>1.0</v>
      </c>
      <c r="C29" s="347">
        <v>700.0</v>
      </c>
      <c r="D29" s="346" t="s">
        <v>400</v>
      </c>
      <c r="E29" s="428">
        <f>5700+700*(C29^0.7)</f>
        <v>74354.13</v>
      </c>
      <c r="F29" s="428">
        <f>E29*1.42</f>
        <v>105582.8646</v>
      </c>
      <c r="G29" s="440"/>
      <c r="H29" s="347">
        <f>J5*E4/E3</f>
        <v>5090.478735</v>
      </c>
      <c r="I29" s="447">
        <f>I13</f>
        <v>1</v>
      </c>
      <c r="J29" s="429">
        <f>F29*I29</f>
        <v>105582.8646</v>
      </c>
      <c r="K29" s="334"/>
      <c r="L29" s="430">
        <v>0.0</v>
      </c>
      <c r="M29" s="346">
        <v>0.0</v>
      </c>
      <c r="N29" s="346">
        <f>L29*M29</f>
        <v>0</v>
      </c>
      <c r="O29" s="346">
        <f>N29*'System Control &amp; Outputs'!$C$19</f>
        <v>0</v>
      </c>
      <c r="P29" s="258"/>
      <c r="Q29" s="258"/>
    </row>
    <row r="30" ht="15.75" customHeight="1">
      <c r="B30" s="431"/>
      <c r="C30" s="431"/>
      <c r="D30" s="431"/>
      <c r="E30" s="431"/>
      <c r="F30" s="431"/>
      <c r="G30" s="334"/>
      <c r="H30" s="334"/>
      <c r="I30" s="334"/>
      <c r="J30" s="334"/>
      <c r="K30" s="334"/>
      <c r="L30" s="334"/>
      <c r="M30" s="334"/>
      <c r="N30" s="334"/>
      <c r="O30" s="334"/>
      <c r="P30" s="258"/>
      <c r="Q30" s="258"/>
    </row>
    <row r="31" ht="15.75" customHeight="1">
      <c r="B31" s="541" t="s">
        <v>495</v>
      </c>
      <c r="C31" s="431"/>
      <c r="D31" s="431"/>
      <c r="E31" s="431"/>
      <c r="F31" s="431"/>
      <c r="G31" s="334"/>
      <c r="H31" s="334"/>
      <c r="I31" s="334"/>
      <c r="J31" s="334"/>
      <c r="K31" s="334"/>
      <c r="L31" s="334"/>
      <c r="M31" s="334"/>
      <c r="N31" s="431"/>
      <c r="O31" s="334"/>
      <c r="P31" s="258"/>
      <c r="Q31" s="258"/>
    </row>
    <row r="32" ht="27.0" customHeight="1">
      <c r="B32" s="338" t="s">
        <v>402</v>
      </c>
      <c r="C32" s="550" t="s">
        <v>403</v>
      </c>
      <c r="D32" s="338" t="s">
        <v>390</v>
      </c>
      <c r="E32" s="338" t="s">
        <v>391</v>
      </c>
      <c r="F32" s="551" t="s">
        <v>392</v>
      </c>
      <c r="G32" s="334"/>
      <c r="H32" s="338" t="s">
        <v>404</v>
      </c>
      <c r="I32" s="338" t="s">
        <v>394</v>
      </c>
      <c r="J32" s="338" t="s">
        <v>395</v>
      </c>
      <c r="K32" s="334"/>
      <c r="L32" s="550" t="s">
        <v>396</v>
      </c>
      <c r="M32" s="338" t="s">
        <v>397</v>
      </c>
      <c r="N32" s="338" t="s">
        <v>398</v>
      </c>
      <c r="O32" s="338" t="s">
        <v>399</v>
      </c>
      <c r="P32" s="258"/>
      <c r="Q32" s="258"/>
    </row>
    <row r="33" ht="15.75" customHeight="1">
      <c r="B33" s="346">
        <f>B25</f>
        <v>6</v>
      </c>
      <c r="C33" s="430">
        <f>5400/3600</f>
        <v>1.5</v>
      </c>
      <c r="D33" s="346" t="s">
        <v>304</v>
      </c>
      <c r="E33" s="428" t="s">
        <v>304</v>
      </c>
      <c r="F33" s="557">
        <f>900*'System Control &amp; Outputs'!C49</f>
        <v>637.443</v>
      </c>
      <c r="G33" s="334"/>
      <c r="H33" s="433">
        <f>H29*1000/(I33*B33*3600)</f>
        <v>235.6703118</v>
      </c>
      <c r="I33" s="447">
        <f>I29</f>
        <v>1</v>
      </c>
      <c r="J33" s="429">
        <f>F33*I33</f>
        <v>637.443</v>
      </c>
      <c r="K33" s="334"/>
      <c r="L33" s="430">
        <v>1.3</v>
      </c>
      <c r="M33" s="346">
        <f>B33*'Sys Volume &amp; Area'!$B$12*I33</f>
        <v>1980</v>
      </c>
      <c r="N33" s="347">
        <f>L33*M33</f>
        <v>2574</v>
      </c>
      <c r="O33" s="429">
        <f>N33*'System Control &amp; Outputs'!$C$19</f>
        <v>1035.7776</v>
      </c>
      <c r="P33" s="258"/>
      <c r="Q33" s="258"/>
    </row>
    <row r="34" ht="15.75" customHeight="1">
      <c r="B34" s="258"/>
      <c r="C34" s="350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</row>
    <row r="35" ht="15.75" customHeight="1"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</row>
    <row r="36" ht="15.75" customHeight="1">
      <c r="B36" s="258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</row>
    <row r="37" ht="15.75" customHeight="1"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</row>
    <row r="38" ht="15.75" customHeight="1"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</row>
    <row r="39" ht="15.75" customHeight="1"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</row>
    <row r="40" ht="15.75" customHeight="1">
      <c r="B40" s="258"/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</row>
    <row r="41" ht="15.75" customHeight="1"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</row>
    <row r="42" ht="15.75" customHeight="1"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</row>
    <row r="43" ht="15.75" customHeight="1">
      <c r="B43" s="258"/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</row>
    <row r="44" ht="15.75" customHeight="1">
      <c r="B44" s="258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</row>
    <row r="45" ht="15.75" customHeight="1"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</row>
    <row r="46" ht="15.75" customHeight="1">
      <c r="B46" s="258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</row>
    <row r="47" ht="15.75" customHeight="1">
      <c r="B47" s="258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</row>
    <row r="48" ht="15.75" customHeight="1">
      <c r="B48" s="258"/>
      <c r="C48" s="258"/>
      <c r="D48" s="258"/>
      <c r="E48" s="258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</row>
    <row r="49" ht="15.75" customHeight="1"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</row>
    <row r="50" ht="15.75" customHeight="1">
      <c r="B50" s="258"/>
      <c r="C50" s="258"/>
      <c r="D50" s="258"/>
      <c r="E50" s="258"/>
      <c r="F50" s="25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</row>
    <row r="51" ht="15.75" customHeight="1">
      <c r="B51" s="258"/>
      <c r="C51" s="258"/>
      <c r="D51" s="258"/>
      <c r="E51" s="258"/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</row>
    <row r="52" ht="15.75" customHeight="1">
      <c r="B52" s="258"/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</row>
    <row r="53" ht="15.75" customHeight="1">
      <c r="B53" s="258"/>
      <c r="C53" s="258"/>
      <c r="D53" s="258"/>
      <c r="E53" s="258"/>
      <c r="F53" s="25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</row>
    <row r="54" ht="15.75" customHeight="1"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</row>
    <row r="55" ht="15.75" customHeight="1"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</row>
    <row r="56" ht="15.75" customHeight="1">
      <c r="B56" s="258"/>
      <c r="C56" s="258"/>
      <c r="D56" s="258"/>
      <c r="E56" s="258"/>
      <c r="F56" s="25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</row>
    <row r="57" ht="15.75" customHeight="1">
      <c r="B57" s="258"/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</row>
    <row r="58" ht="15.75" customHeight="1">
      <c r="B58" s="258"/>
      <c r="C58" s="258"/>
      <c r="D58" s="258"/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</row>
    <row r="59" ht="15.75" customHeight="1">
      <c r="B59" s="258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</row>
    <row r="60" ht="15.75" customHeight="1">
      <c r="B60" s="258"/>
      <c r="C60" s="258"/>
      <c r="D60" s="258"/>
      <c r="E60" s="258"/>
      <c r="F60" s="25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</row>
    <row r="61" ht="15.75" customHeight="1">
      <c r="B61" s="258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</row>
    <row r="62" ht="15.75" customHeight="1">
      <c r="B62" s="258"/>
      <c r="C62" s="258"/>
      <c r="D62" s="258"/>
      <c r="E62" s="258"/>
      <c r="F62" s="25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</row>
    <row r="63" ht="15.75" customHeight="1">
      <c r="B63" s="258"/>
      <c r="C63" s="258"/>
      <c r="D63" s="258"/>
      <c r="E63" s="258"/>
      <c r="F63" s="25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</row>
    <row r="64" ht="15.75" customHeight="1">
      <c r="B64" s="258"/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</row>
    <row r="65" ht="15.75" customHeight="1">
      <c r="B65" s="258"/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</row>
    <row r="66" ht="15.75" customHeight="1">
      <c r="B66" s="258"/>
      <c r="C66" s="258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</row>
    <row r="67" ht="15.75" customHeight="1"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</row>
    <row r="68" ht="15.75" customHeight="1"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</row>
    <row r="69" ht="15.75" customHeight="1"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</row>
    <row r="70" ht="15.75" customHeight="1">
      <c r="B70" s="258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</row>
    <row r="71" ht="15.75" customHeight="1"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</row>
    <row r="72" ht="15.75" customHeight="1">
      <c r="B72" s="258"/>
      <c r="C72" s="258"/>
      <c r="D72" s="258"/>
      <c r="E72" s="258"/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</row>
    <row r="73" ht="15.75" customHeight="1"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</row>
    <row r="74" ht="15.75" customHeight="1">
      <c r="B74" s="258"/>
      <c r="C74" s="258"/>
      <c r="D74" s="258"/>
      <c r="E74" s="258"/>
      <c r="F74" s="25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</row>
    <row r="75" ht="15.75" customHeight="1"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</row>
    <row r="76" ht="15.75" customHeight="1">
      <c r="B76" s="258"/>
      <c r="C76" s="258"/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</row>
    <row r="77" ht="15.75" customHeight="1"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</row>
    <row r="78" ht="15.75" customHeight="1">
      <c r="B78" s="258"/>
      <c r="C78" s="258"/>
      <c r="D78" s="258"/>
      <c r="E78" s="258"/>
      <c r="F78" s="25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</row>
    <row r="79" ht="15.75" customHeight="1">
      <c r="B79" s="258"/>
      <c r="C79" s="258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</row>
    <row r="80" ht="15.75" customHeight="1">
      <c r="B80" s="258"/>
      <c r="C80" s="258"/>
      <c r="D80" s="258"/>
      <c r="E80" s="258"/>
      <c r="F80" s="258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</row>
    <row r="81" ht="15.75" customHeight="1">
      <c r="B81" s="258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</row>
    <row r="82" ht="15.75" customHeight="1">
      <c r="B82" s="258"/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</row>
    <row r="83" ht="15.75" customHeight="1"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</row>
    <row r="84" ht="15.75" customHeight="1">
      <c r="B84" s="258"/>
      <c r="C84" s="258"/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</row>
    <row r="85" ht="15.75" customHeight="1"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</row>
    <row r="86" ht="15.75" customHeight="1">
      <c r="B86" s="258"/>
      <c r="C86" s="258"/>
      <c r="D86" s="258"/>
      <c r="E86" s="258"/>
      <c r="F86" s="25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</row>
    <row r="87" ht="15.75" customHeight="1"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</row>
    <row r="88" ht="15.75" customHeight="1">
      <c r="B88" s="258"/>
      <c r="C88" s="258"/>
      <c r="D88" s="258"/>
      <c r="E88" s="258"/>
      <c r="F88" s="25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</row>
    <row r="89" ht="15.75" customHeight="1">
      <c r="B89" s="258"/>
      <c r="C89" s="258"/>
      <c r="D89" s="258"/>
      <c r="E89" s="258"/>
      <c r="F89" s="25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</row>
    <row r="90" ht="15.75" customHeight="1">
      <c r="B90" s="258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</row>
    <row r="91" ht="15.75" customHeight="1">
      <c r="B91" s="258"/>
      <c r="C91" s="258"/>
      <c r="D91" s="258"/>
      <c r="E91" s="258"/>
      <c r="F91" s="25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</row>
    <row r="92" ht="15.75" customHeight="1">
      <c r="B92" s="258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</row>
    <row r="93" ht="15.75" customHeight="1">
      <c r="B93" s="258"/>
      <c r="C93" s="258"/>
      <c r="D93" s="258"/>
      <c r="E93" s="258"/>
      <c r="F93" s="25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</row>
    <row r="94" ht="15.75" customHeight="1">
      <c r="B94" s="258"/>
      <c r="C94" s="258"/>
      <c r="D94" s="258"/>
      <c r="E94" s="258"/>
      <c r="F94" s="25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</row>
    <row r="95" ht="15.75" customHeight="1">
      <c r="B95" s="258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</row>
    <row r="96" ht="15.75" customHeight="1">
      <c r="B96" s="258"/>
      <c r="C96" s="258"/>
      <c r="D96" s="258"/>
      <c r="E96" s="258"/>
      <c r="F96" s="258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</row>
    <row r="97" ht="15.75" customHeight="1">
      <c r="B97" s="258"/>
      <c r="C97" s="258"/>
      <c r="D97" s="258"/>
      <c r="E97" s="258"/>
      <c r="F97" s="25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</row>
    <row r="98" ht="15.75" customHeight="1">
      <c r="B98" s="258"/>
      <c r="C98" s="258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</row>
    <row r="99" ht="15.75" customHeight="1">
      <c r="B99" s="258"/>
      <c r="C99" s="258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</row>
    <row r="100" ht="15.75" customHeight="1">
      <c r="B100" s="258"/>
      <c r="C100" s="258"/>
      <c r="D100" s="258"/>
      <c r="E100" s="258"/>
      <c r="F100" s="25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</row>
    <row r="101" ht="15.75" customHeight="1">
      <c r="B101" s="258"/>
      <c r="C101" s="258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</row>
    <row r="102" ht="15.75" customHeight="1"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</row>
    <row r="103" ht="15.75" customHeight="1">
      <c r="B103" s="258"/>
      <c r="C103" s="258"/>
      <c r="D103" s="258"/>
      <c r="E103" s="258"/>
      <c r="F103" s="25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</row>
    <row r="104" ht="15.75" customHeight="1">
      <c r="B104" s="258"/>
      <c r="C104" s="258"/>
      <c r="D104" s="258"/>
      <c r="E104" s="258"/>
      <c r="F104" s="25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</row>
    <row r="105" ht="15.75" customHeight="1">
      <c r="B105" s="258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</row>
    <row r="106" ht="15.75" customHeight="1">
      <c r="B106" s="258"/>
      <c r="C106" s="258"/>
      <c r="D106" s="258"/>
      <c r="E106" s="258"/>
      <c r="F106" s="25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</row>
    <row r="107" ht="15.75" customHeight="1">
      <c r="B107" s="258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</row>
    <row r="108" ht="15.75" customHeight="1">
      <c r="B108" s="258"/>
      <c r="C108" s="258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</row>
    <row r="109" ht="15.75" customHeight="1">
      <c r="B109" s="258"/>
      <c r="C109" s="258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</row>
    <row r="110" ht="15.75" customHeight="1">
      <c r="B110" s="258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</row>
    <row r="111" ht="15.75" customHeight="1">
      <c r="B111" s="258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</row>
    <row r="112" ht="15.75" customHeight="1">
      <c r="B112" s="258"/>
      <c r="C112" s="258"/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</row>
    <row r="113" ht="15.75" customHeight="1">
      <c r="B113" s="258"/>
      <c r="C113" s="258"/>
      <c r="D113" s="258"/>
      <c r="E113" s="258"/>
      <c r="F113" s="25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</row>
    <row r="114" ht="15.75" customHeight="1">
      <c r="B114" s="258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</row>
    <row r="115" ht="15.75" customHeight="1">
      <c r="B115" s="258"/>
      <c r="C115" s="258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</row>
    <row r="116" ht="15.75" customHeight="1">
      <c r="B116" s="258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</row>
    <row r="117" ht="15.75" customHeight="1"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</row>
    <row r="118" ht="15.75" customHeight="1">
      <c r="B118" s="258"/>
      <c r="C118" s="258"/>
      <c r="D118" s="258"/>
      <c r="E118" s="258"/>
      <c r="F118" s="25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</row>
    <row r="119" ht="15.75" customHeight="1">
      <c r="B119" s="258"/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</row>
    <row r="120" ht="15.75" customHeight="1"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</row>
    <row r="121" ht="15.75" customHeight="1">
      <c r="B121" s="258"/>
      <c r="C121" s="258"/>
      <c r="D121" s="258"/>
      <c r="E121" s="258"/>
      <c r="F121" s="25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</row>
    <row r="122" ht="15.75" customHeight="1">
      <c r="B122" s="258"/>
      <c r="C122" s="258"/>
      <c r="D122" s="258"/>
      <c r="E122" s="258"/>
      <c r="F122" s="25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</row>
    <row r="123" ht="15.75" customHeight="1"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</row>
    <row r="124" ht="15.75" customHeight="1">
      <c r="B124" s="258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</row>
    <row r="125" ht="15.75" customHeight="1">
      <c r="B125" s="258"/>
      <c r="C125" s="258"/>
      <c r="D125" s="258"/>
      <c r="E125" s="258"/>
      <c r="F125" s="25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</row>
    <row r="126" ht="15.75" customHeight="1">
      <c r="B126" s="258"/>
      <c r="C126" s="258"/>
      <c r="D126" s="258"/>
      <c r="E126" s="258"/>
      <c r="F126" s="25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</row>
    <row r="127" ht="15.75" customHeight="1">
      <c r="B127" s="258"/>
      <c r="C127" s="258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</row>
    <row r="128" ht="15.75" customHeight="1">
      <c r="B128" s="258"/>
      <c r="C128" s="258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</row>
    <row r="129" ht="15.75" customHeight="1">
      <c r="B129" s="258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</row>
    <row r="130" ht="15.75" customHeight="1">
      <c r="B130" s="258"/>
      <c r="C130" s="258"/>
      <c r="D130" s="258"/>
      <c r="E130" s="258"/>
      <c r="F130" s="25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</row>
    <row r="131" ht="15.75" customHeight="1">
      <c r="B131" s="258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</row>
    <row r="132" ht="15.75" customHeight="1">
      <c r="B132" s="258"/>
      <c r="C132" s="258"/>
      <c r="D132" s="258"/>
      <c r="E132" s="258"/>
      <c r="F132" s="25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</row>
    <row r="133" ht="15.75" customHeight="1"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</row>
    <row r="134" ht="15.75" customHeight="1">
      <c r="B134" s="258"/>
      <c r="C134" s="258"/>
      <c r="D134" s="258"/>
      <c r="E134" s="258"/>
      <c r="F134" s="25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</row>
    <row r="135" ht="15.75" customHeight="1">
      <c r="B135" s="258"/>
      <c r="C135" s="258"/>
      <c r="D135" s="258"/>
      <c r="E135" s="258"/>
      <c r="F135" s="25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</row>
    <row r="136" ht="15.75" customHeight="1">
      <c r="B136" s="258"/>
      <c r="C136" s="258"/>
      <c r="D136" s="258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</row>
    <row r="137" ht="15.75" customHeight="1">
      <c r="B137" s="258"/>
      <c r="C137" s="258"/>
      <c r="D137" s="258"/>
      <c r="E137" s="258"/>
      <c r="F137" s="25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</row>
    <row r="138" ht="15.75" customHeight="1">
      <c r="B138" s="258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</row>
    <row r="139" ht="15.75" customHeight="1">
      <c r="B139" s="258"/>
      <c r="C139" s="258"/>
      <c r="D139" s="258"/>
      <c r="E139" s="258"/>
      <c r="F139" s="25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</row>
    <row r="140" ht="15.75" customHeight="1">
      <c r="B140" s="258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</row>
    <row r="141" ht="15.75" customHeight="1">
      <c r="B141" s="258"/>
      <c r="C141" s="258"/>
      <c r="D141" s="258"/>
      <c r="E141" s="258"/>
      <c r="F141" s="25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</row>
    <row r="142" ht="15.75" customHeight="1">
      <c r="B142" s="258"/>
      <c r="C142" s="258"/>
      <c r="D142" s="258"/>
      <c r="E142" s="258"/>
      <c r="F142" s="25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</row>
    <row r="143" ht="15.75" customHeight="1">
      <c r="B143" s="258"/>
      <c r="C143" s="258"/>
      <c r="D143" s="258"/>
      <c r="E143" s="258"/>
      <c r="F143" s="25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</row>
    <row r="144" ht="15.75" customHeight="1">
      <c r="B144" s="258"/>
      <c r="C144" s="258"/>
      <c r="D144" s="258"/>
      <c r="E144" s="258"/>
      <c r="F144" s="25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</row>
    <row r="145" ht="15.75" customHeight="1">
      <c r="B145" s="258"/>
      <c r="C145" s="258"/>
      <c r="D145" s="258"/>
      <c r="E145" s="258"/>
      <c r="F145" s="25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</row>
    <row r="146" ht="15.75" customHeight="1">
      <c r="B146" s="258"/>
      <c r="C146" s="258"/>
      <c r="D146" s="258"/>
      <c r="E146" s="258"/>
      <c r="F146" s="25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</row>
    <row r="147" ht="15.75" customHeight="1">
      <c r="B147" s="258"/>
      <c r="C147" s="258"/>
      <c r="D147" s="258"/>
      <c r="E147" s="258"/>
      <c r="F147" s="25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</row>
    <row r="148" ht="15.75" customHeight="1">
      <c r="B148" s="258"/>
      <c r="C148" s="258"/>
      <c r="D148" s="258"/>
      <c r="E148" s="258"/>
      <c r="F148" s="25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</row>
    <row r="149" ht="15.75" customHeight="1">
      <c r="B149" s="258"/>
      <c r="C149" s="258"/>
      <c r="D149" s="258"/>
      <c r="E149" s="258"/>
      <c r="F149" s="25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</row>
    <row r="150" ht="15.75" customHeight="1"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</row>
    <row r="151" ht="15.75" customHeight="1">
      <c r="B151" s="258"/>
      <c r="C151" s="258"/>
      <c r="D151" s="258"/>
      <c r="E151" s="258"/>
      <c r="F151" s="25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</row>
    <row r="152" ht="15.75" customHeight="1">
      <c r="B152" s="258"/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</row>
    <row r="153" ht="15.75" customHeight="1">
      <c r="B153" s="258"/>
      <c r="C153" s="258"/>
      <c r="D153" s="258"/>
      <c r="E153" s="258"/>
      <c r="F153" s="25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</row>
    <row r="154" ht="15.75" customHeight="1">
      <c r="B154" s="258"/>
      <c r="C154" s="258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</row>
    <row r="155" ht="15.75" customHeight="1">
      <c r="B155" s="258"/>
      <c r="C155" s="258"/>
      <c r="D155" s="258"/>
      <c r="E155" s="258"/>
      <c r="F155" s="25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</row>
    <row r="156" ht="15.75" customHeight="1">
      <c r="B156" s="258"/>
      <c r="C156" s="258"/>
      <c r="D156" s="258"/>
      <c r="E156" s="258"/>
      <c r="F156" s="25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</row>
    <row r="157" ht="15.75" customHeight="1">
      <c r="B157" s="258"/>
      <c r="C157" s="258"/>
      <c r="D157" s="258"/>
      <c r="E157" s="258"/>
      <c r="F157" s="25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</row>
    <row r="158" ht="15.75" customHeight="1">
      <c r="B158" s="258"/>
      <c r="C158" s="258"/>
      <c r="D158" s="258"/>
      <c r="E158" s="258"/>
      <c r="F158" s="25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</row>
    <row r="159" ht="15.75" customHeight="1">
      <c r="B159" s="258"/>
      <c r="C159" s="258"/>
      <c r="D159" s="258"/>
      <c r="E159" s="258"/>
      <c r="F159" s="25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</row>
    <row r="160" ht="15.75" customHeight="1">
      <c r="B160" s="258"/>
      <c r="C160" s="258"/>
      <c r="D160" s="258"/>
      <c r="E160" s="258"/>
      <c r="F160" s="25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</row>
    <row r="161" ht="15.75" customHeight="1">
      <c r="B161" s="258"/>
      <c r="C161" s="258"/>
      <c r="D161" s="258"/>
      <c r="E161" s="258"/>
      <c r="F161" s="25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</row>
    <row r="162" ht="15.75" customHeight="1">
      <c r="B162" s="258"/>
      <c r="C162" s="258"/>
      <c r="D162" s="258"/>
      <c r="E162" s="258"/>
      <c r="F162" s="25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</row>
    <row r="163" ht="15.75" customHeight="1">
      <c r="B163" s="258"/>
      <c r="C163" s="258"/>
      <c r="D163" s="258"/>
      <c r="E163" s="258"/>
      <c r="F163" s="25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</row>
    <row r="164" ht="15.75" customHeight="1">
      <c r="B164" s="258"/>
      <c r="C164" s="258"/>
      <c r="D164" s="258"/>
      <c r="E164" s="258"/>
      <c r="F164" s="25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</row>
    <row r="165" ht="15.75" customHeight="1">
      <c r="B165" s="258"/>
      <c r="C165" s="258"/>
      <c r="D165" s="258"/>
      <c r="E165" s="258"/>
      <c r="F165" s="25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</row>
    <row r="166" ht="15.75" customHeight="1">
      <c r="B166" s="258"/>
      <c r="C166" s="258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</row>
    <row r="167" ht="15.75" customHeight="1">
      <c r="B167" s="258"/>
      <c r="C167" s="258"/>
      <c r="D167" s="258"/>
      <c r="E167" s="258"/>
      <c r="F167" s="25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</row>
    <row r="168" ht="15.75" customHeight="1">
      <c r="B168" s="258"/>
      <c r="C168" s="258"/>
      <c r="D168" s="258"/>
      <c r="E168" s="258"/>
      <c r="F168" s="25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</row>
    <row r="169" ht="15.75" customHeight="1">
      <c r="B169" s="258"/>
      <c r="C169" s="258"/>
      <c r="D169" s="258"/>
      <c r="E169" s="258"/>
      <c r="F169" s="25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</row>
    <row r="170" ht="15.75" customHeight="1">
      <c r="B170" s="258"/>
      <c r="C170" s="258"/>
      <c r="D170" s="258"/>
      <c r="E170" s="258"/>
      <c r="F170" s="25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</row>
    <row r="171" ht="15.75" customHeight="1">
      <c r="B171" s="258"/>
      <c r="C171" s="258"/>
      <c r="D171" s="258"/>
      <c r="E171" s="258"/>
      <c r="F171" s="25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</row>
    <row r="172" ht="15.75" customHeight="1">
      <c r="B172" s="258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</row>
    <row r="173" ht="15.75" customHeight="1">
      <c r="B173" s="258"/>
      <c r="C173" s="258"/>
      <c r="D173" s="258"/>
      <c r="E173" s="258"/>
      <c r="F173" s="25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</row>
    <row r="174" ht="15.75" customHeight="1">
      <c r="B174" s="258"/>
      <c r="C174" s="258"/>
      <c r="D174" s="258"/>
      <c r="E174" s="258"/>
      <c r="F174" s="25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</row>
    <row r="175" ht="15.75" customHeight="1">
      <c r="B175" s="258"/>
      <c r="C175" s="258"/>
      <c r="D175" s="258"/>
      <c r="E175" s="258"/>
      <c r="F175" s="25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</row>
    <row r="176" ht="15.75" customHeight="1">
      <c r="B176" s="258"/>
      <c r="C176" s="258"/>
      <c r="D176" s="258"/>
      <c r="E176" s="258"/>
      <c r="F176" s="25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</row>
    <row r="177" ht="15.75" customHeight="1">
      <c r="B177" s="258"/>
      <c r="C177" s="258"/>
      <c r="D177" s="258"/>
      <c r="E177" s="258"/>
      <c r="F177" s="25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</row>
    <row r="178" ht="15.75" customHeight="1">
      <c r="B178" s="258"/>
      <c r="C178" s="258"/>
      <c r="D178" s="258"/>
      <c r="E178" s="258"/>
      <c r="F178" s="25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</row>
    <row r="179" ht="15.75" customHeight="1">
      <c r="B179" s="258"/>
      <c r="C179" s="258"/>
      <c r="D179" s="258"/>
      <c r="E179" s="258"/>
      <c r="F179" s="25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</row>
    <row r="180" ht="15.75" customHeight="1">
      <c r="B180" s="258"/>
      <c r="C180" s="258"/>
      <c r="D180" s="258"/>
      <c r="E180" s="258"/>
      <c r="F180" s="25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</row>
    <row r="181" ht="15.75" customHeight="1">
      <c r="B181" s="258"/>
      <c r="C181" s="258"/>
      <c r="D181" s="258"/>
      <c r="E181" s="258"/>
      <c r="F181" s="25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</row>
    <row r="182" ht="15.75" customHeight="1">
      <c r="B182" s="258"/>
      <c r="C182" s="258"/>
      <c r="D182" s="258"/>
      <c r="E182" s="258"/>
      <c r="F182" s="25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</row>
    <row r="183" ht="15.75" customHeight="1">
      <c r="B183" s="258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</row>
    <row r="184" ht="15.75" customHeight="1">
      <c r="B184" s="258"/>
      <c r="C184" s="258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</row>
    <row r="185" ht="15.75" customHeight="1">
      <c r="B185" s="258"/>
      <c r="C185" s="258"/>
      <c r="D185" s="258"/>
      <c r="E185" s="258"/>
      <c r="F185" s="25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</row>
    <row r="186" ht="15.75" customHeight="1">
      <c r="B186" s="258"/>
      <c r="C186" s="258"/>
      <c r="D186" s="258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</row>
    <row r="187" ht="15.75" customHeight="1">
      <c r="B187" s="258"/>
      <c r="C187" s="258"/>
      <c r="D187" s="258"/>
      <c r="E187" s="258"/>
      <c r="F187" s="25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</row>
    <row r="188" ht="15.75" customHeight="1">
      <c r="B188" s="258"/>
      <c r="C188" s="258"/>
      <c r="D188" s="258"/>
      <c r="E188" s="258"/>
      <c r="F188" s="25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</row>
    <row r="189" ht="15.75" customHeight="1">
      <c r="B189" s="258"/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</row>
    <row r="190" ht="15.75" customHeight="1">
      <c r="B190" s="258"/>
      <c r="C190" s="258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</row>
    <row r="191" ht="15.75" customHeight="1">
      <c r="B191" s="258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</row>
    <row r="192" ht="15.75" customHeight="1">
      <c r="B192" s="258"/>
      <c r="C192" s="258"/>
      <c r="D192" s="258"/>
      <c r="E192" s="258"/>
      <c r="F192" s="25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</row>
    <row r="193" ht="15.75" customHeight="1">
      <c r="B193" s="258"/>
      <c r="C193" s="258"/>
      <c r="D193" s="258"/>
      <c r="E193" s="258"/>
      <c r="F193" s="25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</row>
    <row r="194" ht="15.75" customHeight="1">
      <c r="B194" s="258"/>
      <c r="C194" s="258"/>
      <c r="D194" s="258"/>
      <c r="E194" s="258"/>
      <c r="F194" s="25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</row>
    <row r="195" ht="15.75" customHeight="1">
      <c r="B195" s="258"/>
      <c r="C195" s="258"/>
      <c r="D195" s="258"/>
      <c r="E195" s="258"/>
      <c r="F195" s="25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</row>
    <row r="196" ht="15.75" customHeight="1">
      <c r="B196" s="258"/>
      <c r="C196" s="258"/>
      <c r="D196" s="258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</row>
    <row r="197" ht="15.75" customHeight="1">
      <c r="B197" s="258"/>
      <c r="C197" s="258"/>
      <c r="D197" s="258"/>
      <c r="E197" s="258"/>
      <c r="F197" s="25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</row>
    <row r="198" ht="15.75" customHeight="1"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</row>
    <row r="199" ht="15.75" customHeight="1">
      <c r="B199" s="258"/>
      <c r="C199" s="258"/>
      <c r="D199" s="258"/>
      <c r="E199" s="258"/>
      <c r="F199" s="25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</row>
    <row r="200" ht="15.75" customHeight="1">
      <c r="B200" s="258"/>
      <c r="C200" s="258"/>
      <c r="D200" s="258"/>
      <c r="E200" s="258"/>
      <c r="F200" s="25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</row>
    <row r="201" ht="15.75" customHeight="1">
      <c r="B201" s="258"/>
      <c r="C201" s="258"/>
      <c r="D201" s="258"/>
      <c r="E201" s="258"/>
      <c r="F201" s="258"/>
      <c r="G201" s="258"/>
      <c r="H201" s="258"/>
      <c r="I201" s="258"/>
      <c r="J201" s="258"/>
      <c r="K201" s="258"/>
      <c r="L201" s="258"/>
      <c r="M201" s="258"/>
      <c r="N201" s="258"/>
      <c r="O201" s="258"/>
      <c r="P201" s="258"/>
      <c r="Q201" s="258"/>
    </row>
    <row r="202" ht="15.75" customHeight="1">
      <c r="B202" s="258"/>
      <c r="C202" s="258"/>
      <c r="D202" s="25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  <c r="Q202" s="258"/>
    </row>
    <row r="203" ht="15.75" customHeight="1">
      <c r="B203" s="258"/>
      <c r="C203" s="258"/>
      <c r="D203" s="258"/>
      <c r="E203" s="258"/>
      <c r="F203" s="258"/>
      <c r="G203" s="258"/>
      <c r="H203" s="258"/>
      <c r="I203" s="258"/>
      <c r="J203" s="258"/>
      <c r="K203" s="258"/>
      <c r="L203" s="258"/>
      <c r="M203" s="258"/>
      <c r="N203" s="258"/>
      <c r="O203" s="258"/>
      <c r="P203" s="258"/>
      <c r="Q203" s="258"/>
    </row>
    <row r="204" ht="15.75" customHeight="1">
      <c r="B204" s="258"/>
      <c r="C204" s="258"/>
      <c r="D204" s="25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  <c r="Q204" s="258"/>
    </row>
    <row r="205" ht="15.75" customHeight="1"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</row>
    <row r="206" ht="15.75" customHeight="1">
      <c r="B206" s="258"/>
      <c r="C206" s="258"/>
      <c r="D206" s="258"/>
      <c r="E206" s="258"/>
      <c r="F206" s="258"/>
      <c r="G206" s="258"/>
      <c r="H206" s="258"/>
      <c r="I206" s="258"/>
      <c r="J206" s="258"/>
      <c r="K206" s="258"/>
      <c r="L206" s="258"/>
      <c r="M206" s="258"/>
      <c r="N206" s="258"/>
      <c r="O206" s="258"/>
      <c r="P206" s="258"/>
      <c r="Q206" s="258"/>
    </row>
    <row r="207" ht="15.75" customHeight="1">
      <c r="B207" s="258"/>
      <c r="C207" s="258"/>
      <c r="D207" s="258"/>
      <c r="E207" s="258"/>
      <c r="F207" s="258"/>
      <c r="G207" s="258"/>
      <c r="H207" s="258"/>
      <c r="I207" s="258"/>
      <c r="J207" s="258"/>
      <c r="K207" s="258"/>
      <c r="L207" s="258"/>
      <c r="M207" s="258"/>
      <c r="N207" s="258"/>
      <c r="O207" s="258"/>
      <c r="P207" s="258"/>
      <c r="Q207" s="258"/>
    </row>
    <row r="208" ht="15.75" customHeight="1">
      <c r="B208" s="258"/>
      <c r="C208" s="258"/>
      <c r="D208" s="258"/>
      <c r="E208" s="258"/>
      <c r="F208" s="258"/>
      <c r="G208" s="258"/>
      <c r="H208" s="258"/>
      <c r="I208" s="258"/>
      <c r="J208" s="258"/>
      <c r="K208" s="258"/>
      <c r="L208" s="258"/>
      <c r="M208" s="258"/>
      <c r="N208" s="258"/>
      <c r="O208" s="258"/>
      <c r="P208" s="258"/>
      <c r="Q208" s="258"/>
    </row>
    <row r="209" ht="15.75" customHeight="1">
      <c r="B209" s="258"/>
      <c r="C209" s="258"/>
      <c r="D209" s="258"/>
      <c r="E209" s="258"/>
      <c r="F209" s="258"/>
      <c r="G209" s="258"/>
      <c r="H209" s="258"/>
      <c r="I209" s="258"/>
      <c r="J209" s="258"/>
      <c r="K209" s="258"/>
      <c r="L209" s="258"/>
      <c r="M209" s="258"/>
      <c r="N209" s="258"/>
      <c r="O209" s="258"/>
      <c r="P209" s="258"/>
      <c r="Q209" s="258"/>
    </row>
    <row r="210" ht="15.75" customHeight="1">
      <c r="B210" s="258"/>
      <c r="C210" s="258"/>
      <c r="D210" s="258"/>
      <c r="E210" s="258"/>
      <c r="F210" s="258"/>
      <c r="G210" s="258"/>
      <c r="H210" s="258"/>
      <c r="I210" s="258"/>
      <c r="J210" s="258"/>
      <c r="K210" s="258"/>
      <c r="L210" s="258"/>
      <c r="M210" s="258"/>
      <c r="N210" s="258"/>
      <c r="O210" s="258"/>
      <c r="P210" s="258"/>
      <c r="Q210" s="258"/>
    </row>
    <row r="211" ht="15.75" customHeight="1"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8"/>
      <c r="Q211" s="258"/>
    </row>
    <row r="212" ht="15.75" customHeight="1">
      <c r="B212" s="258"/>
      <c r="C212" s="258"/>
      <c r="D212" s="258"/>
      <c r="E212" s="258"/>
      <c r="F212" s="258"/>
      <c r="G212" s="258"/>
      <c r="H212" s="258"/>
      <c r="I212" s="258"/>
      <c r="J212" s="258"/>
      <c r="K212" s="258"/>
      <c r="L212" s="258"/>
      <c r="M212" s="258"/>
      <c r="N212" s="258"/>
      <c r="O212" s="258"/>
      <c r="P212" s="258"/>
      <c r="Q212" s="258"/>
    </row>
    <row r="213" ht="15.75" customHeight="1">
      <c r="B213" s="258"/>
      <c r="C213" s="258"/>
      <c r="D213" s="258"/>
      <c r="E213" s="258"/>
      <c r="F213" s="258"/>
      <c r="G213" s="258"/>
      <c r="H213" s="258"/>
      <c r="I213" s="258"/>
      <c r="J213" s="258"/>
      <c r="K213" s="258"/>
      <c r="L213" s="258"/>
      <c r="M213" s="258"/>
      <c r="N213" s="258"/>
      <c r="O213" s="258"/>
      <c r="P213" s="258"/>
      <c r="Q213" s="258"/>
    </row>
    <row r="214" ht="15.75" customHeight="1">
      <c r="B214" s="258"/>
      <c r="C214" s="258"/>
      <c r="D214" s="258"/>
      <c r="E214" s="258"/>
      <c r="F214" s="258"/>
      <c r="G214" s="258"/>
      <c r="H214" s="258"/>
      <c r="I214" s="258"/>
      <c r="J214" s="258"/>
      <c r="K214" s="258"/>
      <c r="L214" s="258"/>
      <c r="M214" s="258"/>
      <c r="N214" s="258"/>
      <c r="O214" s="258"/>
      <c r="P214" s="258"/>
      <c r="Q214" s="258"/>
    </row>
    <row r="215" ht="15.75" customHeight="1">
      <c r="B215" s="258"/>
      <c r="C215" s="258"/>
      <c r="D215" s="258"/>
      <c r="E215" s="258"/>
      <c r="F215" s="258"/>
      <c r="G215" s="258"/>
      <c r="H215" s="258"/>
      <c r="I215" s="258"/>
      <c r="J215" s="258"/>
      <c r="K215" s="258"/>
      <c r="L215" s="258"/>
      <c r="M215" s="258"/>
      <c r="N215" s="258"/>
      <c r="O215" s="258"/>
      <c r="P215" s="258"/>
      <c r="Q215" s="258"/>
    </row>
    <row r="216" ht="15.75" customHeight="1">
      <c r="B216" s="258"/>
      <c r="C216" s="258"/>
      <c r="D216" s="258"/>
      <c r="E216" s="258"/>
      <c r="F216" s="258"/>
      <c r="G216" s="258"/>
      <c r="H216" s="258"/>
      <c r="I216" s="258"/>
      <c r="J216" s="258"/>
      <c r="K216" s="258"/>
      <c r="L216" s="258"/>
      <c r="M216" s="258"/>
      <c r="N216" s="258"/>
      <c r="O216" s="258"/>
      <c r="P216" s="258"/>
      <c r="Q216" s="258"/>
    </row>
    <row r="217" ht="15.75" customHeight="1">
      <c r="B217" s="258"/>
      <c r="C217" s="258"/>
      <c r="D217" s="258"/>
      <c r="E217" s="258"/>
      <c r="F217" s="258"/>
      <c r="G217" s="258"/>
      <c r="H217" s="258"/>
      <c r="I217" s="258"/>
      <c r="J217" s="258"/>
      <c r="K217" s="258"/>
      <c r="L217" s="258"/>
      <c r="M217" s="258"/>
      <c r="N217" s="258"/>
      <c r="O217" s="258"/>
      <c r="P217" s="258"/>
      <c r="Q217" s="258"/>
    </row>
    <row r="218" ht="15.75" customHeight="1"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8"/>
      <c r="Q218" s="258"/>
    </row>
    <row r="219" ht="15.75" customHeight="1">
      <c r="B219" s="258"/>
      <c r="C219" s="258"/>
      <c r="D219" s="258"/>
      <c r="E219" s="258"/>
      <c r="F219" s="258"/>
      <c r="G219" s="258"/>
      <c r="H219" s="258"/>
      <c r="I219" s="258"/>
      <c r="J219" s="258"/>
      <c r="K219" s="258"/>
      <c r="L219" s="258"/>
      <c r="M219" s="258"/>
      <c r="N219" s="258"/>
      <c r="O219" s="258"/>
      <c r="P219" s="258"/>
      <c r="Q219" s="258"/>
    </row>
    <row r="220" ht="15.75" customHeight="1">
      <c r="B220" s="258"/>
      <c r="C220" s="258"/>
      <c r="D220" s="258"/>
      <c r="E220" s="258"/>
      <c r="F220" s="258"/>
      <c r="G220" s="258"/>
      <c r="H220" s="258"/>
      <c r="I220" s="258"/>
      <c r="J220" s="258"/>
      <c r="K220" s="258"/>
      <c r="L220" s="258"/>
      <c r="M220" s="258"/>
      <c r="N220" s="258"/>
      <c r="O220" s="258"/>
      <c r="P220" s="258"/>
      <c r="Q220" s="258"/>
    </row>
    <row r="221" ht="15.75" customHeight="1">
      <c r="B221" s="258"/>
      <c r="C221" s="258"/>
      <c r="D221" s="258"/>
      <c r="E221" s="258"/>
      <c r="F221" s="258"/>
      <c r="G221" s="258"/>
      <c r="H221" s="258"/>
      <c r="I221" s="258"/>
      <c r="J221" s="258"/>
      <c r="K221" s="258"/>
      <c r="L221" s="258"/>
      <c r="M221" s="258"/>
      <c r="N221" s="258"/>
      <c r="O221" s="258"/>
      <c r="P221" s="258"/>
      <c r="Q221" s="258"/>
    </row>
    <row r="222" ht="15.75" customHeight="1">
      <c r="B222" s="258"/>
      <c r="C222" s="258"/>
      <c r="D222" s="258"/>
      <c r="E222" s="258"/>
      <c r="F222" s="258"/>
      <c r="G222" s="258"/>
      <c r="H222" s="258"/>
      <c r="I222" s="258"/>
      <c r="J222" s="258"/>
      <c r="K222" s="258"/>
      <c r="L222" s="258"/>
      <c r="M222" s="258"/>
      <c r="N222" s="258"/>
      <c r="O222" s="258"/>
      <c r="P222" s="258"/>
      <c r="Q222" s="258"/>
    </row>
    <row r="223" ht="15.75" customHeight="1">
      <c r="B223" s="258"/>
      <c r="C223" s="258"/>
      <c r="D223" s="258"/>
      <c r="E223" s="258"/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8"/>
      <c r="Q223" s="258"/>
    </row>
    <row r="224" ht="15.75" customHeight="1"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</row>
    <row r="225" ht="15.75" customHeight="1">
      <c r="B225" s="258"/>
      <c r="C225" s="258"/>
      <c r="D225" s="258"/>
      <c r="E225" s="258"/>
      <c r="F225" s="258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</row>
    <row r="226" ht="15.75" customHeight="1">
      <c r="B226" s="258"/>
      <c r="C226" s="258"/>
      <c r="D226" s="25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</row>
    <row r="227" ht="15.75" customHeight="1">
      <c r="B227" s="258"/>
      <c r="C227" s="258"/>
      <c r="D227" s="25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</row>
    <row r="228" ht="15.75" customHeight="1">
      <c r="B228" s="258"/>
      <c r="C228" s="258"/>
      <c r="D228" s="258"/>
      <c r="E228" s="258"/>
      <c r="F228" s="258"/>
      <c r="G228" s="258"/>
      <c r="H228" s="258"/>
      <c r="I228" s="258"/>
      <c r="J228" s="258"/>
      <c r="K228" s="258"/>
      <c r="L228" s="258"/>
      <c r="M228" s="258"/>
      <c r="N228" s="258"/>
      <c r="O228" s="258"/>
      <c r="P228" s="258"/>
      <c r="Q228" s="258"/>
    </row>
    <row r="229" ht="15.75" customHeight="1">
      <c r="B229" s="258"/>
      <c r="C229" s="258"/>
      <c r="D229" s="258"/>
      <c r="E229" s="258"/>
      <c r="F229" s="258"/>
      <c r="G229" s="258"/>
      <c r="H229" s="258"/>
      <c r="I229" s="258"/>
      <c r="J229" s="258"/>
      <c r="K229" s="258"/>
      <c r="L229" s="258"/>
      <c r="M229" s="258"/>
      <c r="N229" s="258"/>
      <c r="O229" s="258"/>
      <c r="P229" s="258"/>
      <c r="Q229" s="258"/>
    </row>
    <row r="230" ht="15.75" customHeight="1">
      <c r="B230" s="258"/>
      <c r="C230" s="258"/>
      <c r="D230" s="258"/>
      <c r="E230" s="258"/>
      <c r="F230" s="258"/>
      <c r="G230" s="258"/>
      <c r="H230" s="258"/>
      <c r="I230" s="258"/>
      <c r="J230" s="258"/>
      <c r="K230" s="258"/>
      <c r="L230" s="258"/>
      <c r="M230" s="258"/>
      <c r="N230" s="258"/>
      <c r="O230" s="258"/>
      <c r="P230" s="258"/>
      <c r="Q230" s="258"/>
    </row>
    <row r="231" ht="15.75" customHeight="1"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8"/>
      <c r="Q231" s="258"/>
    </row>
    <row r="232" ht="15.75" customHeight="1">
      <c r="B232" s="258"/>
      <c r="C232" s="258"/>
      <c r="D232" s="258"/>
      <c r="E232" s="258"/>
      <c r="F232" s="258"/>
      <c r="G232" s="258"/>
      <c r="H232" s="258"/>
      <c r="I232" s="258"/>
      <c r="J232" s="258"/>
      <c r="K232" s="258"/>
      <c r="L232" s="258"/>
      <c r="M232" s="258"/>
      <c r="N232" s="258"/>
      <c r="O232" s="258"/>
      <c r="P232" s="258"/>
      <c r="Q232" s="258"/>
    </row>
    <row r="233" ht="15.75" customHeight="1">
      <c r="B233" s="258"/>
      <c r="C233" s="258"/>
      <c r="D233" s="258"/>
      <c r="E233" s="258"/>
      <c r="F233" s="258"/>
      <c r="G233" s="258"/>
      <c r="H233" s="258"/>
      <c r="I233" s="258"/>
      <c r="J233" s="258"/>
      <c r="K233" s="258"/>
      <c r="L233" s="258"/>
      <c r="M233" s="258"/>
      <c r="N233" s="258"/>
      <c r="O233" s="258"/>
      <c r="P233" s="258"/>
      <c r="Q233" s="258"/>
    </row>
    <row r="234" ht="15.75" customHeight="1">
      <c r="B234" s="258"/>
      <c r="C234" s="258"/>
      <c r="D234" s="258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</row>
    <row r="235" ht="15.75" customHeight="1">
      <c r="B235" s="258"/>
      <c r="C235" s="258"/>
      <c r="D235" s="258"/>
      <c r="E235" s="258"/>
      <c r="F235" s="258"/>
      <c r="G235" s="258"/>
      <c r="H235" s="258"/>
      <c r="I235" s="258"/>
      <c r="J235" s="258"/>
      <c r="K235" s="258"/>
      <c r="L235" s="258"/>
      <c r="M235" s="258"/>
      <c r="N235" s="258"/>
      <c r="O235" s="258"/>
      <c r="P235" s="258"/>
      <c r="Q235" s="258"/>
    </row>
    <row r="236" ht="15.75" customHeight="1">
      <c r="B236" s="258"/>
      <c r="C236" s="258"/>
      <c r="D236" s="258"/>
      <c r="E236" s="258"/>
      <c r="F236" s="258"/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</row>
    <row r="237" ht="15.75" customHeight="1"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</row>
    <row r="238" ht="15.75" customHeight="1">
      <c r="B238" s="258"/>
      <c r="C238" s="258"/>
      <c r="D238" s="258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</row>
    <row r="239" ht="15.75" customHeight="1">
      <c r="B239" s="258"/>
      <c r="C239" s="258"/>
      <c r="D239" s="258"/>
      <c r="E239" s="258"/>
      <c r="F239" s="258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</row>
    <row r="240" ht="15.75" customHeight="1">
      <c r="B240" s="258"/>
      <c r="C240" s="258"/>
      <c r="D240" s="258"/>
      <c r="E240" s="258"/>
      <c r="F240" s="258"/>
      <c r="G240" s="258"/>
      <c r="H240" s="258"/>
      <c r="I240" s="258"/>
      <c r="J240" s="258"/>
      <c r="K240" s="258"/>
      <c r="L240" s="258"/>
      <c r="M240" s="258"/>
      <c r="N240" s="258"/>
      <c r="O240" s="258"/>
      <c r="P240" s="258"/>
      <c r="Q240" s="258"/>
    </row>
    <row r="241" ht="15.75" customHeight="1">
      <c r="B241" s="258"/>
      <c r="C241" s="258"/>
      <c r="D241" s="258"/>
      <c r="E241" s="258"/>
      <c r="F241" s="258"/>
      <c r="G241" s="258"/>
      <c r="H241" s="258"/>
      <c r="I241" s="258"/>
      <c r="J241" s="258"/>
      <c r="K241" s="258"/>
      <c r="L241" s="258"/>
      <c r="M241" s="258"/>
      <c r="N241" s="258"/>
      <c r="O241" s="258"/>
      <c r="P241" s="258"/>
      <c r="Q241" s="258"/>
    </row>
    <row r="242" ht="15.75" customHeight="1">
      <c r="B242" s="258"/>
      <c r="C242" s="258"/>
      <c r="D242" s="258"/>
      <c r="E242" s="258"/>
      <c r="F242" s="258"/>
      <c r="G242" s="258"/>
      <c r="H242" s="258"/>
      <c r="I242" s="258"/>
      <c r="J242" s="258"/>
      <c r="K242" s="258"/>
      <c r="L242" s="258"/>
      <c r="M242" s="258"/>
      <c r="N242" s="258"/>
      <c r="O242" s="258"/>
      <c r="P242" s="258"/>
      <c r="Q242" s="258"/>
    </row>
    <row r="243" ht="15.75" customHeight="1">
      <c r="B243" s="258"/>
      <c r="C243" s="258"/>
      <c r="D243" s="258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</row>
    <row r="244" ht="15.75" customHeight="1"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</row>
    <row r="245" ht="15.75" customHeight="1">
      <c r="B245" s="258"/>
      <c r="C245" s="258"/>
      <c r="D245" s="258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</row>
    <row r="246" ht="15.75" customHeight="1">
      <c r="B246" s="258"/>
      <c r="C246" s="258"/>
      <c r="D246" s="258"/>
      <c r="E246" s="258"/>
      <c r="F246" s="258"/>
      <c r="G246" s="258"/>
      <c r="H246" s="258"/>
      <c r="I246" s="258"/>
      <c r="J246" s="258"/>
      <c r="K246" s="258"/>
      <c r="L246" s="258"/>
      <c r="M246" s="258"/>
      <c r="N246" s="258"/>
      <c r="O246" s="258"/>
      <c r="P246" s="258"/>
      <c r="Q246" s="258"/>
    </row>
    <row r="247" ht="15.75" customHeight="1">
      <c r="B247" s="258"/>
      <c r="C247" s="258"/>
      <c r="D247" s="258"/>
      <c r="E247" s="258"/>
      <c r="F247" s="258"/>
      <c r="G247" s="258"/>
      <c r="H247" s="258"/>
      <c r="I247" s="258"/>
      <c r="J247" s="258"/>
      <c r="K247" s="258"/>
      <c r="L247" s="258"/>
      <c r="M247" s="258"/>
      <c r="N247" s="258"/>
      <c r="O247" s="258"/>
      <c r="P247" s="258"/>
      <c r="Q247" s="258"/>
    </row>
    <row r="248" ht="15.75" customHeight="1"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</row>
    <row r="249" ht="15.75" customHeight="1">
      <c r="B249" s="258"/>
      <c r="C249" s="258"/>
      <c r="D249" s="258"/>
      <c r="E249" s="258"/>
      <c r="F249" s="258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</row>
    <row r="250" ht="15.75" customHeight="1">
      <c r="B250" s="258"/>
      <c r="C250" s="258"/>
      <c r="D250" s="258"/>
      <c r="E250" s="258"/>
      <c r="F250" s="258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</row>
    <row r="251" ht="15.75" customHeight="1">
      <c r="B251" s="258"/>
      <c r="C251" s="258"/>
      <c r="D251" s="258"/>
      <c r="E251" s="258"/>
      <c r="F251" s="258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</row>
    <row r="252" ht="15.75" customHeight="1">
      <c r="B252" s="258"/>
      <c r="C252" s="258"/>
      <c r="D252" s="258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</row>
    <row r="253" ht="15.75" customHeight="1">
      <c r="B253" s="258"/>
      <c r="C253" s="258"/>
      <c r="D253" s="258"/>
      <c r="E253" s="258"/>
      <c r="F253" s="258"/>
      <c r="G253" s="258"/>
      <c r="H253" s="258"/>
      <c r="I253" s="258"/>
      <c r="J253" s="258"/>
      <c r="K253" s="258"/>
      <c r="L253" s="258"/>
      <c r="M253" s="258"/>
      <c r="N253" s="258"/>
      <c r="O253" s="258"/>
      <c r="P253" s="258"/>
      <c r="Q253" s="258"/>
    </row>
    <row r="254" ht="15.75" customHeight="1">
      <c r="B254" s="258"/>
      <c r="C254" s="258"/>
      <c r="D254" s="258"/>
      <c r="E254" s="258"/>
      <c r="F254" s="258"/>
      <c r="G254" s="258"/>
      <c r="H254" s="258"/>
      <c r="I254" s="258"/>
      <c r="J254" s="258"/>
      <c r="K254" s="258"/>
      <c r="L254" s="258"/>
      <c r="M254" s="258"/>
      <c r="N254" s="258"/>
      <c r="O254" s="258"/>
      <c r="P254" s="258"/>
      <c r="Q254" s="258"/>
    </row>
    <row r="255" ht="15.75" customHeight="1">
      <c r="B255" s="258"/>
      <c r="C255" s="258"/>
      <c r="D255" s="258"/>
      <c r="E255" s="258"/>
      <c r="F255" s="258"/>
      <c r="G255" s="258"/>
      <c r="H255" s="258"/>
      <c r="I255" s="258"/>
      <c r="J255" s="258"/>
      <c r="K255" s="258"/>
      <c r="L255" s="258"/>
      <c r="M255" s="258"/>
      <c r="N255" s="258"/>
      <c r="O255" s="258"/>
      <c r="P255" s="258"/>
      <c r="Q255" s="258"/>
    </row>
    <row r="256" ht="15.75" customHeight="1">
      <c r="B256" s="258"/>
      <c r="C256" s="258"/>
      <c r="D256" s="258"/>
      <c r="E256" s="258"/>
      <c r="F256" s="258"/>
      <c r="G256" s="258"/>
      <c r="H256" s="258"/>
      <c r="I256" s="258"/>
      <c r="J256" s="258"/>
      <c r="K256" s="258"/>
      <c r="L256" s="258"/>
      <c r="M256" s="258"/>
      <c r="N256" s="258"/>
      <c r="O256" s="258"/>
      <c r="P256" s="258"/>
      <c r="Q256" s="258"/>
    </row>
    <row r="257" ht="15.75" customHeight="1">
      <c r="B257" s="258"/>
      <c r="C257" s="258"/>
      <c r="D257" s="258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</row>
    <row r="258" ht="15.75" customHeight="1">
      <c r="B258" s="258"/>
      <c r="C258" s="258"/>
      <c r="D258" s="258"/>
      <c r="E258" s="258"/>
      <c r="F258" s="258"/>
      <c r="G258" s="258"/>
      <c r="H258" s="258"/>
      <c r="I258" s="258"/>
      <c r="J258" s="258"/>
      <c r="K258" s="258"/>
      <c r="L258" s="258"/>
      <c r="M258" s="258"/>
      <c r="N258" s="258"/>
      <c r="O258" s="258"/>
      <c r="P258" s="258"/>
      <c r="Q258" s="258"/>
    </row>
    <row r="259" ht="15.75" customHeight="1">
      <c r="B259" s="258"/>
      <c r="C259" s="258"/>
      <c r="D259" s="258"/>
      <c r="E259" s="258"/>
      <c r="F259" s="258"/>
      <c r="G259" s="258"/>
      <c r="H259" s="258"/>
      <c r="I259" s="258"/>
      <c r="J259" s="258"/>
      <c r="K259" s="258"/>
      <c r="L259" s="258"/>
      <c r="M259" s="258"/>
      <c r="N259" s="258"/>
      <c r="O259" s="258"/>
      <c r="P259" s="258"/>
      <c r="Q259" s="258"/>
    </row>
    <row r="260" ht="15.75" customHeight="1"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8"/>
      <c r="Q260" s="258"/>
    </row>
    <row r="261" ht="15.75" customHeight="1">
      <c r="B261" s="258"/>
      <c r="C261" s="258"/>
      <c r="D261" s="258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</row>
    <row r="262" ht="15.75" customHeight="1">
      <c r="B262" s="258"/>
      <c r="C262" s="258"/>
      <c r="D262" s="25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</row>
    <row r="263" ht="15.75" customHeight="1">
      <c r="B263" s="258"/>
      <c r="C263" s="258"/>
      <c r="D263" s="258"/>
      <c r="E263" s="258"/>
      <c r="F263" s="258"/>
      <c r="G263" s="258"/>
      <c r="H263" s="258"/>
      <c r="I263" s="258"/>
      <c r="J263" s="258"/>
      <c r="K263" s="258"/>
      <c r="L263" s="258"/>
      <c r="M263" s="258"/>
      <c r="N263" s="258"/>
      <c r="O263" s="258"/>
      <c r="P263" s="258"/>
      <c r="Q263" s="258"/>
    </row>
    <row r="264" ht="15.75" customHeight="1">
      <c r="B264" s="258"/>
      <c r="C264" s="258"/>
      <c r="D264" s="258"/>
      <c r="E264" s="258"/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  <c r="Q264" s="258"/>
    </row>
    <row r="265" ht="15.75" customHeight="1">
      <c r="B265" s="258"/>
      <c r="C265" s="258"/>
      <c r="D265" s="25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</row>
    <row r="266" ht="15.75" customHeight="1">
      <c r="B266" s="258"/>
      <c r="C266" s="258"/>
      <c r="D266" s="258"/>
      <c r="E266" s="258"/>
      <c r="F266" s="258"/>
      <c r="G266" s="258"/>
      <c r="H266" s="258"/>
      <c r="I266" s="258"/>
      <c r="J266" s="258"/>
      <c r="K266" s="258"/>
      <c r="L266" s="258"/>
      <c r="M266" s="258"/>
      <c r="N266" s="258"/>
      <c r="O266" s="258"/>
      <c r="P266" s="258"/>
      <c r="Q266" s="258"/>
    </row>
    <row r="267" ht="15.75" customHeight="1">
      <c r="B267" s="258"/>
      <c r="C267" s="258"/>
      <c r="D267" s="258"/>
      <c r="E267" s="258"/>
      <c r="F267" s="258"/>
      <c r="G267" s="258"/>
      <c r="H267" s="258"/>
      <c r="I267" s="258"/>
      <c r="J267" s="258"/>
      <c r="K267" s="258"/>
      <c r="L267" s="258"/>
      <c r="M267" s="258"/>
      <c r="N267" s="258"/>
      <c r="O267" s="258"/>
      <c r="P267" s="258"/>
      <c r="Q267" s="258"/>
    </row>
    <row r="268" ht="15.75" customHeight="1">
      <c r="B268" s="258"/>
      <c r="C268" s="258"/>
      <c r="D268" s="258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  <c r="Q268" s="258"/>
    </row>
    <row r="269" ht="15.75" customHeight="1">
      <c r="B269" s="258"/>
      <c r="C269" s="258"/>
      <c r="D269" s="258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  <c r="Q269" s="258"/>
    </row>
    <row r="270" ht="15.75" customHeight="1">
      <c r="B270" s="258"/>
      <c r="C270" s="258"/>
      <c r="D270" s="258"/>
      <c r="E270" s="258"/>
      <c r="F270" s="258"/>
      <c r="G270" s="258"/>
      <c r="H270" s="258"/>
      <c r="I270" s="258"/>
      <c r="J270" s="258"/>
      <c r="K270" s="258"/>
      <c r="L270" s="258"/>
      <c r="M270" s="258"/>
      <c r="N270" s="258"/>
      <c r="O270" s="258"/>
      <c r="P270" s="258"/>
      <c r="Q270" s="258"/>
    </row>
    <row r="271" ht="15.75" customHeight="1">
      <c r="B271" s="258"/>
      <c r="C271" s="258"/>
      <c r="D271" s="258"/>
      <c r="E271" s="258"/>
      <c r="F271" s="258"/>
      <c r="G271" s="258"/>
      <c r="H271" s="258"/>
      <c r="I271" s="258"/>
      <c r="J271" s="258"/>
      <c r="K271" s="258"/>
      <c r="L271" s="258"/>
      <c r="M271" s="258"/>
      <c r="N271" s="258"/>
      <c r="O271" s="258"/>
      <c r="P271" s="258"/>
      <c r="Q271" s="258"/>
    </row>
    <row r="272" ht="15.75" customHeight="1">
      <c r="B272" s="258"/>
      <c r="C272" s="258"/>
      <c r="D272" s="258"/>
      <c r="E272" s="258"/>
      <c r="F272" s="258"/>
      <c r="G272" s="258"/>
      <c r="H272" s="258"/>
      <c r="I272" s="258"/>
      <c r="J272" s="258"/>
      <c r="K272" s="258"/>
      <c r="L272" s="258"/>
      <c r="M272" s="258"/>
      <c r="N272" s="258"/>
      <c r="O272" s="258"/>
      <c r="P272" s="258"/>
      <c r="Q272" s="258"/>
    </row>
    <row r="273" ht="15.75" customHeight="1">
      <c r="B273" s="258"/>
      <c r="C273" s="258"/>
      <c r="D273" s="258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</row>
    <row r="274" ht="15.75" customHeight="1">
      <c r="B274" s="258"/>
      <c r="C274" s="258"/>
      <c r="D274" s="258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</row>
    <row r="275" ht="15.75" customHeight="1">
      <c r="B275" s="258"/>
      <c r="C275" s="258"/>
      <c r="D275" s="258"/>
      <c r="E275" s="258"/>
      <c r="F275" s="258"/>
      <c r="G275" s="258"/>
      <c r="H275" s="258"/>
      <c r="I275" s="258"/>
      <c r="J275" s="258"/>
      <c r="K275" s="258"/>
      <c r="L275" s="258"/>
      <c r="M275" s="258"/>
      <c r="N275" s="258"/>
      <c r="O275" s="258"/>
      <c r="P275" s="258"/>
      <c r="Q275" s="258"/>
    </row>
    <row r="276" ht="15.75" customHeight="1">
      <c r="B276" s="258"/>
      <c r="C276" s="258"/>
      <c r="D276" s="258"/>
      <c r="E276" s="258"/>
      <c r="F276" s="258"/>
      <c r="G276" s="258"/>
      <c r="H276" s="258"/>
      <c r="I276" s="258"/>
      <c r="J276" s="258"/>
      <c r="K276" s="258"/>
      <c r="L276" s="258"/>
      <c r="M276" s="258"/>
      <c r="N276" s="258"/>
      <c r="O276" s="258"/>
      <c r="P276" s="258"/>
      <c r="Q276" s="258"/>
    </row>
    <row r="277" ht="15.75" customHeight="1">
      <c r="B277" s="258"/>
      <c r="C277" s="258"/>
      <c r="D277" s="258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</row>
    <row r="278" ht="15.75" customHeight="1">
      <c r="B278" s="258"/>
      <c r="C278" s="258"/>
      <c r="D278" s="258"/>
      <c r="E278" s="258"/>
      <c r="F278" s="258"/>
      <c r="G278" s="258"/>
      <c r="H278" s="258"/>
      <c r="I278" s="258"/>
      <c r="J278" s="258"/>
      <c r="K278" s="258"/>
      <c r="L278" s="258"/>
      <c r="M278" s="258"/>
      <c r="N278" s="258"/>
      <c r="O278" s="258"/>
      <c r="P278" s="258"/>
      <c r="Q278" s="258"/>
    </row>
    <row r="279" ht="15.75" customHeight="1">
      <c r="B279" s="258"/>
      <c r="C279" s="258"/>
      <c r="D279" s="258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  <c r="Q279" s="258"/>
    </row>
    <row r="280" ht="15.75" customHeight="1">
      <c r="B280" s="258"/>
      <c r="C280" s="258"/>
      <c r="D280" s="258"/>
      <c r="E280" s="258"/>
      <c r="F280" s="258"/>
      <c r="G280" s="258"/>
      <c r="H280" s="258"/>
      <c r="I280" s="258"/>
      <c r="J280" s="258"/>
      <c r="K280" s="258"/>
      <c r="L280" s="258"/>
      <c r="M280" s="258"/>
      <c r="N280" s="258"/>
      <c r="O280" s="258"/>
      <c r="P280" s="258"/>
      <c r="Q280" s="258"/>
    </row>
    <row r="281" ht="15.75" customHeight="1">
      <c r="B281" s="258"/>
      <c r="C281" s="258"/>
      <c r="D281" s="258"/>
      <c r="E281" s="258"/>
      <c r="F281" s="258"/>
      <c r="G281" s="258"/>
      <c r="H281" s="258"/>
      <c r="I281" s="258"/>
      <c r="J281" s="258"/>
      <c r="K281" s="258"/>
      <c r="L281" s="258"/>
      <c r="M281" s="258"/>
      <c r="N281" s="258"/>
      <c r="O281" s="258"/>
      <c r="P281" s="258"/>
      <c r="Q281" s="258"/>
    </row>
    <row r="282" ht="15.75" customHeight="1">
      <c r="B282" s="258"/>
      <c r="C282" s="258"/>
      <c r="D282" s="258"/>
      <c r="E282" s="258"/>
      <c r="F282" s="258"/>
      <c r="G282" s="258"/>
      <c r="H282" s="258"/>
      <c r="I282" s="258"/>
      <c r="J282" s="258"/>
      <c r="K282" s="258"/>
      <c r="L282" s="258"/>
      <c r="M282" s="258"/>
      <c r="N282" s="258"/>
      <c r="O282" s="258"/>
      <c r="P282" s="258"/>
      <c r="Q282" s="258"/>
    </row>
    <row r="283" ht="15.75" customHeight="1">
      <c r="B283" s="258"/>
      <c r="C283" s="258"/>
      <c r="D283" s="258"/>
      <c r="E283" s="258"/>
      <c r="F283" s="258"/>
      <c r="G283" s="258"/>
      <c r="H283" s="258"/>
      <c r="I283" s="258"/>
      <c r="J283" s="258"/>
      <c r="K283" s="258"/>
      <c r="L283" s="258"/>
      <c r="M283" s="258"/>
      <c r="N283" s="258"/>
      <c r="O283" s="258"/>
      <c r="P283" s="258"/>
      <c r="Q283" s="258"/>
    </row>
    <row r="284" ht="15.75" customHeight="1">
      <c r="B284" s="258"/>
      <c r="C284" s="258"/>
      <c r="D284" s="258"/>
      <c r="E284" s="258"/>
      <c r="F284" s="258"/>
      <c r="G284" s="258"/>
      <c r="H284" s="258"/>
      <c r="I284" s="258"/>
      <c r="J284" s="258"/>
      <c r="K284" s="258"/>
      <c r="L284" s="258"/>
      <c r="M284" s="258"/>
      <c r="N284" s="258"/>
      <c r="O284" s="258"/>
      <c r="P284" s="258"/>
      <c r="Q284" s="258"/>
    </row>
    <row r="285" ht="15.75" customHeight="1">
      <c r="B285" s="258"/>
      <c r="C285" s="258"/>
      <c r="D285" s="258"/>
      <c r="E285" s="258"/>
      <c r="F285" s="258"/>
      <c r="G285" s="258"/>
      <c r="H285" s="258"/>
      <c r="I285" s="258"/>
      <c r="J285" s="258"/>
      <c r="K285" s="258"/>
      <c r="L285" s="258"/>
      <c r="M285" s="258"/>
      <c r="N285" s="258"/>
      <c r="O285" s="258"/>
      <c r="P285" s="258"/>
      <c r="Q285" s="258"/>
    </row>
    <row r="286" ht="15.75" customHeight="1">
      <c r="B286" s="258"/>
      <c r="C286" s="258"/>
      <c r="D286" s="258"/>
      <c r="E286" s="258"/>
      <c r="F286" s="258"/>
      <c r="G286" s="258"/>
      <c r="H286" s="258"/>
      <c r="I286" s="258"/>
      <c r="J286" s="258"/>
      <c r="K286" s="258"/>
      <c r="L286" s="258"/>
      <c r="M286" s="258"/>
      <c r="N286" s="258"/>
      <c r="O286" s="258"/>
      <c r="P286" s="258"/>
      <c r="Q286" s="258"/>
    </row>
    <row r="287" ht="15.75" customHeight="1">
      <c r="B287" s="258"/>
      <c r="C287" s="258"/>
      <c r="D287" s="258"/>
      <c r="E287" s="258"/>
      <c r="F287" s="258"/>
      <c r="G287" s="258"/>
      <c r="H287" s="258"/>
      <c r="I287" s="258"/>
      <c r="J287" s="258"/>
      <c r="K287" s="258"/>
      <c r="L287" s="258"/>
      <c r="M287" s="258"/>
      <c r="N287" s="258"/>
      <c r="O287" s="258"/>
      <c r="P287" s="258"/>
      <c r="Q287" s="258"/>
    </row>
    <row r="288" ht="15.75" customHeight="1">
      <c r="B288" s="258"/>
      <c r="C288" s="258"/>
      <c r="D288" s="258"/>
      <c r="E288" s="258"/>
      <c r="F288" s="258"/>
      <c r="G288" s="258"/>
      <c r="H288" s="258"/>
      <c r="I288" s="258"/>
      <c r="J288" s="258"/>
      <c r="K288" s="258"/>
      <c r="L288" s="258"/>
      <c r="M288" s="258"/>
      <c r="N288" s="258"/>
      <c r="O288" s="258"/>
      <c r="P288" s="258"/>
      <c r="Q288" s="258"/>
    </row>
    <row r="289" ht="15.75" customHeight="1">
      <c r="B289" s="258"/>
      <c r="C289" s="258"/>
      <c r="D289" s="258"/>
      <c r="E289" s="258"/>
      <c r="F289" s="258"/>
      <c r="G289" s="258"/>
      <c r="H289" s="258"/>
      <c r="I289" s="258"/>
      <c r="J289" s="258"/>
      <c r="K289" s="258"/>
      <c r="L289" s="258"/>
      <c r="M289" s="258"/>
      <c r="N289" s="258"/>
      <c r="O289" s="258"/>
      <c r="P289" s="258"/>
      <c r="Q289" s="258"/>
    </row>
    <row r="290" ht="15.75" customHeight="1">
      <c r="B290" s="258"/>
      <c r="C290" s="258"/>
      <c r="D290" s="258"/>
      <c r="E290" s="258"/>
      <c r="F290" s="258"/>
      <c r="G290" s="258"/>
      <c r="H290" s="258"/>
      <c r="I290" s="258"/>
      <c r="J290" s="258"/>
      <c r="K290" s="258"/>
      <c r="L290" s="258"/>
      <c r="M290" s="258"/>
      <c r="N290" s="258"/>
      <c r="O290" s="258"/>
      <c r="P290" s="258"/>
      <c r="Q290" s="258"/>
    </row>
    <row r="291" ht="15.75" customHeight="1">
      <c r="B291" s="258"/>
      <c r="C291" s="258"/>
      <c r="D291" s="258"/>
      <c r="E291" s="258"/>
      <c r="F291" s="258"/>
      <c r="G291" s="258"/>
      <c r="H291" s="258"/>
      <c r="I291" s="258"/>
      <c r="J291" s="258"/>
      <c r="K291" s="258"/>
      <c r="L291" s="258"/>
      <c r="M291" s="258"/>
      <c r="N291" s="258"/>
      <c r="O291" s="258"/>
      <c r="P291" s="258"/>
      <c r="Q291" s="258"/>
    </row>
    <row r="292" ht="15.75" customHeight="1">
      <c r="B292" s="258"/>
      <c r="C292" s="258"/>
      <c r="D292" s="258"/>
      <c r="E292" s="258"/>
      <c r="F292" s="258"/>
      <c r="G292" s="258"/>
      <c r="H292" s="258"/>
      <c r="I292" s="258"/>
      <c r="J292" s="258"/>
      <c r="K292" s="258"/>
      <c r="L292" s="258"/>
      <c r="M292" s="258"/>
      <c r="N292" s="258"/>
      <c r="O292" s="258"/>
      <c r="P292" s="258"/>
      <c r="Q292" s="258"/>
    </row>
    <row r="293" ht="15.75" customHeight="1">
      <c r="B293" s="258"/>
      <c r="C293" s="258"/>
      <c r="D293" s="258"/>
      <c r="E293" s="258"/>
      <c r="F293" s="258"/>
      <c r="G293" s="258"/>
      <c r="H293" s="258"/>
      <c r="I293" s="258"/>
      <c r="J293" s="258"/>
      <c r="K293" s="258"/>
      <c r="L293" s="258"/>
      <c r="M293" s="258"/>
      <c r="N293" s="258"/>
      <c r="O293" s="258"/>
      <c r="P293" s="258"/>
      <c r="Q293" s="258"/>
    </row>
    <row r="294" ht="15.75" customHeight="1">
      <c r="B294" s="258"/>
      <c r="C294" s="258"/>
      <c r="D294" s="258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58"/>
      <c r="P294" s="258"/>
      <c r="Q294" s="258"/>
    </row>
    <row r="295" ht="15.75" customHeight="1">
      <c r="B295" s="258"/>
      <c r="C295" s="258"/>
      <c r="D295" s="258"/>
      <c r="E295" s="258"/>
      <c r="F295" s="258"/>
      <c r="G295" s="258"/>
      <c r="H295" s="258"/>
      <c r="I295" s="258"/>
      <c r="J295" s="258"/>
      <c r="K295" s="258"/>
      <c r="L295" s="258"/>
      <c r="M295" s="258"/>
      <c r="N295" s="258"/>
      <c r="O295" s="258"/>
      <c r="P295" s="258"/>
      <c r="Q295" s="258"/>
    </row>
    <row r="296" ht="15.75" customHeight="1">
      <c r="B296" s="258"/>
      <c r="C296" s="258"/>
      <c r="D296" s="258"/>
      <c r="E296" s="258"/>
      <c r="F296" s="258"/>
      <c r="G296" s="258"/>
      <c r="H296" s="258"/>
      <c r="I296" s="258"/>
      <c r="J296" s="258"/>
      <c r="K296" s="258"/>
      <c r="L296" s="258"/>
      <c r="M296" s="258"/>
      <c r="N296" s="258"/>
      <c r="O296" s="258"/>
      <c r="P296" s="258"/>
      <c r="Q296" s="258"/>
    </row>
    <row r="297" ht="15.75" customHeight="1">
      <c r="B297" s="258"/>
      <c r="C297" s="258"/>
      <c r="D297" s="258"/>
      <c r="E297" s="258"/>
      <c r="F297" s="258"/>
      <c r="G297" s="258"/>
      <c r="H297" s="258"/>
      <c r="I297" s="258"/>
      <c r="J297" s="258"/>
      <c r="K297" s="258"/>
      <c r="L297" s="258"/>
      <c r="M297" s="258"/>
      <c r="N297" s="258"/>
      <c r="O297" s="258"/>
      <c r="P297" s="258"/>
      <c r="Q297" s="258"/>
    </row>
    <row r="298" ht="15.75" customHeight="1">
      <c r="B298" s="258"/>
      <c r="C298" s="258"/>
      <c r="D298" s="258"/>
      <c r="E298" s="258"/>
      <c r="F298" s="258"/>
      <c r="G298" s="258"/>
      <c r="H298" s="258"/>
      <c r="I298" s="258"/>
      <c r="J298" s="258"/>
      <c r="K298" s="258"/>
      <c r="L298" s="258"/>
      <c r="M298" s="258"/>
      <c r="N298" s="258"/>
      <c r="O298" s="258"/>
      <c r="P298" s="258"/>
      <c r="Q298" s="258"/>
    </row>
    <row r="299" ht="15.75" customHeight="1">
      <c r="B299" s="258"/>
      <c r="C299" s="258"/>
      <c r="D299" s="258"/>
      <c r="E299" s="258"/>
      <c r="F299" s="258"/>
      <c r="G299" s="258"/>
      <c r="H299" s="258"/>
      <c r="I299" s="258"/>
      <c r="J299" s="258"/>
      <c r="K299" s="258"/>
      <c r="L299" s="258"/>
      <c r="M299" s="258"/>
      <c r="N299" s="258"/>
      <c r="O299" s="258"/>
      <c r="P299" s="258"/>
      <c r="Q299" s="258"/>
    </row>
    <row r="300" ht="15.75" customHeight="1">
      <c r="B300" s="258"/>
      <c r="C300" s="258"/>
      <c r="D300" s="258"/>
      <c r="E300" s="258"/>
      <c r="F300" s="258"/>
      <c r="G300" s="258"/>
      <c r="H300" s="258"/>
      <c r="I300" s="258"/>
      <c r="J300" s="258"/>
      <c r="K300" s="258"/>
      <c r="L300" s="258"/>
      <c r="M300" s="258"/>
      <c r="N300" s="258"/>
      <c r="O300" s="258"/>
      <c r="P300" s="258"/>
      <c r="Q300" s="258"/>
    </row>
    <row r="301" ht="15.75" customHeight="1">
      <c r="B301" s="258"/>
      <c r="C301" s="258"/>
      <c r="D301" s="258"/>
      <c r="E301" s="258"/>
      <c r="F301" s="258"/>
      <c r="G301" s="258"/>
      <c r="H301" s="258"/>
      <c r="I301" s="258"/>
      <c r="J301" s="258"/>
      <c r="K301" s="258"/>
      <c r="L301" s="258"/>
      <c r="M301" s="258"/>
      <c r="N301" s="258"/>
      <c r="O301" s="258"/>
      <c r="P301" s="258"/>
      <c r="Q301" s="258"/>
    </row>
    <row r="302" ht="15.75" customHeight="1">
      <c r="B302" s="258"/>
      <c r="C302" s="258"/>
      <c r="D302" s="258"/>
      <c r="E302" s="258"/>
      <c r="F302" s="258"/>
      <c r="G302" s="258"/>
      <c r="H302" s="258"/>
      <c r="I302" s="258"/>
      <c r="J302" s="258"/>
      <c r="K302" s="258"/>
      <c r="L302" s="258"/>
      <c r="M302" s="258"/>
      <c r="N302" s="258"/>
      <c r="O302" s="258"/>
      <c r="P302" s="258"/>
      <c r="Q302" s="258"/>
    </row>
    <row r="303" ht="15.75" customHeight="1">
      <c r="B303" s="258"/>
      <c r="C303" s="258"/>
      <c r="D303" s="25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</row>
    <row r="304" ht="15.75" customHeight="1">
      <c r="B304" s="258"/>
      <c r="C304" s="258"/>
      <c r="D304" s="258"/>
      <c r="E304" s="258"/>
      <c r="F304" s="258"/>
      <c r="G304" s="258"/>
      <c r="H304" s="258"/>
      <c r="I304" s="258"/>
      <c r="J304" s="258"/>
      <c r="K304" s="258"/>
      <c r="L304" s="258"/>
      <c r="M304" s="258"/>
      <c r="N304" s="258"/>
      <c r="O304" s="258"/>
      <c r="P304" s="258"/>
      <c r="Q304" s="258"/>
    </row>
    <row r="305" ht="15.75" customHeight="1">
      <c r="B305" s="258"/>
      <c r="C305" s="258"/>
      <c r="D305" s="258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</row>
    <row r="306" ht="15.75" customHeight="1">
      <c r="B306" s="258"/>
      <c r="C306" s="258"/>
      <c r="D306" s="258"/>
      <c r="E306" s="258"/>
      <c r="F306" s="258"/>
      <c r="G306" s="258"/>
      <c r="H306" s="258"/>
      <c r="I306" s="258"/>
      <c r="J306" s="258"/>
      <c r="K306" s="258"/>
      <c r="L306" s="258"/>
      <c r="M306" s="258"/>
      <c r="N306" s="258"/>
      <c r="O306" s="258"/>
      <c r="P306" s="258"/>
      <c r="Q306" s="258"/>
    </row>
    <row r="307" ht="15.75" customHeight="1">
      <c r="B307" s="258"/>
      <c r="C307" s="258"/>
      <c r="D307" s="258"/>
      <c r="E307" s="258"/>
      <c r="F307" s="258"/>
      <c r="G307" s="258"/>
      <c r="H307" s="258"/>
      <c r="I307" s="258"/>
      <c r="J307" s="258"/>
      <c r="K307" s="258"/>
      <c r="L307" s="258"/>
      <c r="M307" s="258"/>
      <c r="N307" s="258"/>
      <c r="O307" s="258"/>
      <c r="P307" s="258"/>
      <c r="Q307" s="258"/>
    </row>
    <row r="308" ht="15.75" customHeight="1">
      <c r="B308" s="258"/>
      <c r="C308" s="258"/>
      <c r="D308" s="258"/>
      <c r="E308" s="258"/>
      <c r="F308" s="258"/>
      <c r="G308" s="258"/>
      <c r="H308" s="258"/>
      <c r="I308" s="258"/>
      <c r="J308" s="258"/>
      <c r="K308" s="258"/>
      <c r="L308" s="258"/>
      <c r="M308" s="258"/>
      <c r="N308" s="258"/>
      <c r="O308" s="258"/>
      <c r="P308" s="258"/>
      <c r="Q308" s="258"/>
    </row>
    <row r="309" ht="15.75" customHeight="1">
      <c r="B309" s="258"/>
      <c r="C309" s="258"/>
      <c r="D309" s="258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</row>
    <row r="310" ht="15.75" customHeight="1">
      <c r="B310" s="258"/>
      <c r="C310" s="258"/>
      <c r="D310" s="258"/>
      <c r="E310" s="258"/>
      <c r="F310" s="258"/>
      <c r="G310" s="258"/>
      <c r="H310" s="258"/>
      <c r="I310" s="258"/>
      <c r="J310" s="258"/>
      <c r="K310" s="258"/>
      <c r="L310" s="258"/>
      <c r="M310" s="258"/>
      <c r="N310" s="258"/>
      <c r="O310" s="258"/>
      <c r="P310" s="258"/>
      <c r="Q310" s="258"/>
    </row>
    <row r="311" ht="15.75" customHeight="1">
      <c r="B311" s="258"/>
      <c r="C311" s="258"/>
      <c r="D311" s="258"/>
      <c r="E311" s="258"/>
      <c r="F311" s="258"/>
      <c r="G311" s="258"/>
      <c r="H311" s="258"/>
      <c r="I311" s="258"/>
      <c r="J311" s="258"/>
      <c r="K311" s="258"/>
      <c r="L311" s="258"/>
      <c r="M311" s="258"/>
      <c r="N311" s="258"/>
      <c r="O311" s="258"/>
      <c r="P311" s="258"/>
      <c r="Q311" s="258"/>
    </row>
    <row r="312" ht="15.75" customHeight="1">
      <c r="B312" s="258"/>
      <c r="C312" s="258"/>
      <c r="D312" s="258"/>
      <c r="E312" s="258"/>
      <c r="F312" s="258"/>
      <c r="G312" s="258"/>
      <c r="H312" s="258"/>
      <c r="I312" s="258"/>
      <c r="J312" s="258"/>
      <c r="K312" s="258"/>
      <c r="L312" s="258"/>
      <c r="M312" s="258"/>
      <c r="N312" s="258"/>
      <c r="O312" s="258"/>
      <c r="P312" s="258"/>
      <c r="Q312" s="258"/>
    </row>
    <row r="313" ht="15.75" customHeight="1">
      <c r="B313" s="258"/>
      <c r="C313" s="258"/>
      <c r="D313" s="258"/>
      <c r="E313" s="258"/>
      <c r="F313" s="258"/>
      <c r="G313" s="258"/>
      <c r="H313" s="258"/>
      <c r="I313" s="258"/>
      <c r="J313" s="258"/>
      <c r="K313" s="258"/>
      <c r="L313" s="258"/>
      <c r="M313" s="258"/>
      <c r="N313" s="258"/>
      <c r="O313" s="258"/>
      <c r="P313" s="258"/>
      <c r="Q313" s="258"/>
    </row>
    <row r="314" ht="15.75" customHeight="1">
      <c r="B314" s="258"/>
      <c r="C314" s="258"/>
      <c r="D314" s="258"/>
      <c r="E314" s="258"/>
      <c r="F314" s="258"/>
      <c r="G314" s="258"/>
      <c r="H314" s="258"/>
      <c r="I314" s="258"/>
      <c r="J314" s="258"/>
      <c r="K314" s="258"/>
      <c r="L314" s="258"/>
      <c r="M314" s="258"/>
      <c r="N314" s="258"/>
      <c r="O314" s="258"/>
      <c r="P314" s="258"/>
      <c r="Q314" s="258"/>
    </row>
    <row r="315" ht="15.75" customHeight="1">
      <c r="B315" s="258"/>
      <c r="C315" s="258"/>
      <c r="D315" s="258"/>
      <c r="E315" s="258"/>
      <c r="F315" s="258"/>
      <c r="G315" s="258"/>
      <c r="H315" s="258"/>
      <c r="I315" s="258"/>
      <c r="J315" s="258"/>
      <c r="K315" s="258"/>
      <c r="L315" s="258"/>
      <c r="M315" s="258"/>
      <c r="N315" s="258"/>
      <c r="O315" s="258"/>
      <c r="P315" s="258"/>
      <c r="Q315" s="258"/>
    </row>
    <row r="316" ht="15.75" customHeight="1">
      <c r="B316" s="258"/>
      <c r="C316" s="258"/>
      <c r="D316" s="258"/>
      <c r="E316" s="258"/>
      <c r="F316" s="258"/>
      <c r="G316" s="258"/>
      <c r="H316" s="258"/>
      <c r="I316" s="258"/>
      <c r="J316" s="258"/>
      <c r="K316" s="258"/>
      <c r="L316" s="258"/>
      <c r="M316" s="258"/>
      <c r="N316" s="258"/>
      <c r="O316" s="258"/>
      <c r="P316" s="258"/>
      <c r="Q316" s="258"/>
    </row>
    <row r="317" ht="15.75" customHeight="1">
      <c r="B317" s="258"/>
      <c r="C317" s="258"/>
      <c r="D317" s="258"/>
      <c r="E317" s="258"/>
      <c r="F317" s="258"/>
      <c r="G317" s="258"/>
      <c r="H317" s="258"/>
      <c r="I317" s="258"/>
      <c r="J317" s="258"/>
      <c r="K317" s="258"/>
      <c r="L317" s="258"/>
      <c r="M317" s="258"/>
      <c r="N317" s="258"/>
      <c r="O317" s="258"/>
      <c r="P317" s="258"/>
      <c r="Q317" s="258"/>
    </row>
    <row r="318" ht="15.75" customHeight="1">
      <c r="B318" s="258"/>
      <c r="C318" s="258"/>
      <c r="D318" s="258"/>
      <c r="E318" s="258"/>
      <c r="F318" s="258"/>
      <c r="G318" s="258"/>
      <c r="H318" s="258"/>
      <c r="I318" s="258"/>
      <c r="J318" s="258"/>
      <c r="K318" s="258"/>
      <c r="L318" s="258"/>
      <c r="M318" s="258"/>
      <c r="N318" s="258"/>
      <c r="O318" s="258"/>
      <c r="P318" s="258"/>
      <c r="Q318" s="258"/>
    </row>
    <row r="319" ht="15.75" customHeight="1">
      <c r="B319" s="258"/>
      <c r="C319" s="258"/>
      <c r="D319" s="258"/>
      <c r="E319" s="258"/>
      <c r="F319" s="258"/>
      <c r="G319" s="258"/>
      <c r="H319" s="258"/>
      <c r="I319" s="258"/>
      <c r="J319" s="258"/>
      <c r="K319" s="258"/>
      <c r="L319" s="258"/>
      <c r="M319" s="258"/>
      <c r="N319" s="258"/>
      <c r="O319" s="258"/>
      <c r="P319" s="258"/>
      <c r="Q319" s="258"/>
    </row>
    <row r="320" ht="15.75" customHeight="1">
      <c r="B320" s="258"/>
      <c r="C320" s="258"/>
      <c r="D320" s="258"/>
      <c r="E320" s="258"/>
      <c r="F320" s="258"/>
      <c r="G320" s="258"/>
      <c r="H320" s="258"/>
      <c r="I320" s="258"/>
      <c r="J320" s="258"/>
      <c r="K320" s="258"/>
      <c r="L320" s="258"/>
      <c r="M320" s="258"/>
      <c r="N320" s="258"/>
      <c r="O320" s="258"/>
      <c r="P320" s="258"/>
      <c r="Q320" s="258"/>
    </row>
    <row r="321" ht="15.75" customHeight="1">
      <c r="B321" s="258"/>
      <c r="C321" s="258"/>
      <c r="D321" s="258"/>
      <c r="E321" s="258"/>
      <c r="F321" s="258"/>
      <c r="G321" s="258"/>
      <c r="H321" s="258"/>
      <c r="I321" s="258"/>
      <c r="J321" s="258"/>
      <c r="K321" s="258"/>
      <c r="L321" s="258"/>
      <c r="M321" s="258"/>
      <c r="N321" s="258"/>
      <c r="O321" s="258"/>
      <c r="P321" s="258"/>
      <c r="Q321" s="258"/>
    </row>
    <row r="322" ht="15.75" customHeight="1">
      <c r="B322" s="258"/>
      <c r="C322" s="258"/>
      <c r="D322" s="258"/>
      <c r="E322" s="258"/>
      <c r="F322" s="258"/>
      <c r="G322" s="258"/>
      <c r="H322" s="258"/>
      <c r="I322" s="258"/>
      <c r="J322" s="258"/>
      <c r="K322" s="258"/>
      <c r="L322" s="258"/>
      <c r="M322" s="258"/>
      <c r="N322" s="258"/>
      <c r="O322" s="258"/>
      <c r="P322" s="258"/>
      <c r="Q322" s="258"/>
    </row>
    <row r="323" ht="15.75" customHeight="1">
      <c r="B323" s="258"/>
      <c r="C323" s="258"/>
      <c r="D323" s="258"/>
      <c r="E323" s="258"/>
      <c r="F323" s="258"/>
      <c r="G323" s="258"/>
      <c r="H323" s="258"/>
      <c r="I323" s="258"/>
      <c r="J323" s="258"/>
      <c r="K323" s="258"/>
      <c r="L323" s="258"/>
      <c r="M323" s="258"/>
      <c r="N323" s="258"/>
      <c r="O323" s="258"/>
      <c r="P323" s="258"/>
      <c r="Q323" s="258"/>
    </row>
    <row r="324" ht="15.75" customHeight="1">
      <c r="B324" s="258"/>
      <c r="C324" s="258"/>
      <c r="D324" s="258"/>
      <c r="E324" s="258"/>
      <c r="F324" s="258"/>
      <c r="G324" s="258"/>
      <c r="H324" s="258"/>
      <c r="I324" s="258"/>
      <c r="J324" s="258"/>
      <c r="K324" s="258"/>
      <c r="L324" s="258"/>
      <c r="M324" s="258"/>
      <c r="N324" s="258"/>
      <c r="O324" s="258"/>
      <c r="P324" s="258"/>
      <c r="Q324" s="258"/>
    </row>
    <row r="325" ht="15.75" customHeight="1">
      <c r="B325" s="258"/>
      <c r="C325" s="258"/>
      <c r="D325" s="258"/>
      <c r="E325" s="258"/>
      <c r="F325" s="258"/>
      <c r="G325" s="258"/>
      <c r="H325" s="258"/>
      <c r="I325" s="258"/>
      <c r="J325" s="258"/>
      <c r="K325" s="258"/>
      <c r="L325" s="258"/>
      <c r="M325" s="258"/>
      <c r="N325" s="258"/>
      <c r="O325" s="258"/>
      <c r="P325" s="258"/>
      <c r="Q325" s="258"/>
    </row>
    <row r="326" ht="15.75" customHeight="1">
      <c r="B326" s="258"/>
      <c r="C326" s="258"/>
      <c r="D326" s="258"/>
      <c r="E326" s="258"/>
      <c r="F326" s="258"/>
      <c r="G326" s="258"/>
      <c r="H326" s="258"/>
      <c r="I326" s="258"/>
      <c r="J326" s="258"/>
      <c r="K326" s="258"/>
      <c r="L326" s="258"/>
      <c r="M326" s="258"/>
      <c r="N326" s="258"/>
      <c r="O326" s="258"/>
      <c r="P326" s="258"/>
      <c r="Q326" s="258"/>
    </row>
    <row r="327" ht="15.75" customHeight="1">
      <c r="B327" s="258"/>
      <c r="C327" s="258"/>
      <c r="D327" s="258"/>
      <c r="E327" s="258"/>
      <c r="F327" s="258"/>
      <c r="G327" s="258"/>
      <c r="H327" s="258"/>
      <c r="I327" s="258"/>
      <c r="J327" s="258"/>
      <c r="K327" s="258"/>
      <c r="L327" s="258"/>
      <c r="M327" s="258"/>
      <c r="N327" s="258"/>
      <c r="O327" s="258"/>
      <c r="P327" s="258"/>
      <c r="Q327" s="258"/>
    </row>
    <row r="328" ht="15.75" customHeight="1">
      <c r="B328" s="258"/>
      <c r="C328" s="258"/>
      <c r="D328" s="258"/>
      <c r="E328" s="258"/>
      <c r="F328" s="258"/>
      <c r="G328" s="258"/>
      <c r="H328" s="258"/>
      <c r="I328" s="258"/>
      <c r="J328" s="258"/>
      <c r="K328" s="258"/>
      <c r="L328" s="258"/>
      <c r="M328" s="258"/>
      <c r="N328" s="258"/>
      <c r="O328" s="258"/>
      <c r="P328" s="258"/>
      <c r="Q328" s="258"/>
    </row>
    <row r="329" ht="15.75" customHeight="1">
      <c r="B329" s="258"/>
      <c r="C329" s="258"/>
      <c r="D329" s="258"/>
      <c r="E329" s="258"/>
      <c r="F329" s="258"/>
      <c r="G329" s="258"/>
      <c r="H329" s="258"/>
      <c r="I329" s="258"/>
      <c r="J329" s="258"/>
      <c r="K329" s="258"/>
      <c r="L329" s="258"/>
      <c r="M329" s="258"/>
      <c r="N329" s="258"/>
      <c r="O329" s="258"/>
      <c r="P329" s="258"/>
      <c r="Q329" s="258"/>
    </row>
    <row r="330" ht="15.75" customHeight="1">
      <c r="B330" s="258"/>
      <c r="C330" s="258"/>
      <c r="D330" s="258"/>
      <c r="E330" s="258"/>
      <c r="F330" s="258"/>
      <c r="G330" s="258"/>
      <c r="H330" s="258"/>
      <c r="I330" s="258"/>
      <c r="J330" s="258"/>
      <c r="K330" s="258"/>
      <c r="L330" s="258"/>
      <c r="M330" s="258"/>
      <c r="N330" s="258"/>
      <c r="O330" s="258"/>
      <c r="P330" s="258"/>
      <c r="Q330" s="258"/>
    </row>
    <row r="331" ht="15.75" customHeight="1">
      <c r="B331" s="258"/>
      <c r="C331" s="258"/>
      <c r="D331" s="258"/>
      <c r="E331" s="258"/>
      <c r="F331" s="258"/>
      <c r="G331" s="258"/>
      <c r="H331" s="258"/>
      <c r="I331" s="258"/>
      <c r="J331" s="258"/>
      <c r="K331" s="258"/>
      <c r="L331" s="258"/>
      <c r="M331" s="258"/>
      <c r="N331" s="258"/>
      <c r="O331" s="258"/>
      <c r="P331" s="258"/>
      <c r="Q331" s="258"/>
    </row>
    <row r="332" ht="15.75" customHeight="1">
      <c r="B332" s="258"/>
      <c r="C332" s="258"/>
      <c r="D332" s="258"/>
      <c r="E332" s="258"/>
      <c r="F332" s="258"/>
      <c r="G332" s="258"/>
      <c r="H332" s="258"/>
      <c r="I332" s="258"/>
      <c r="J332" s="258"/>
      <c r="K332" s="258"/>
      <c r="L332" s="258"/>
      <c r="M332" s="258"/>
      <c r="N332" s="258"/>
      <c r="O332" s="258"/>
      <c r="P332" s="258"/>
      <c r="Q332" s="258"/>
    </row>
    <row r="333" ht="15.75" customHeight="1">
      <c r="B333" s="258"/>
      <c r="C333" s="258"/>
      <c r="D333" s="258"/>
      <c r="E333" s="258"/>
      <c r="F333" s="258"/>
      <c r="G333" s="258"/>
      <c r="H333" s="258"/>
      <c r="I333" s="258"/>
      <c r="J333" s="258"/>
      <c r="K333" s="258"/>
      <c r="L333" s="258"/>
      <c r="M333" s="258"/>
      <c r="N333" s="258"/>
      <c r="O333" s="258"/>
      <c r="P333" s="258"/>
      <c r="Q333" s="258"/>
    </row>
    <row r="334" ht="15.75" customHeight="1">
      <c r="B334" s="258"/>
      <c r="C334" s="258"/>
      <c r="D334" s="258"/>
      <c r="E334" s="258"/>
      <c r="F334" s="258"/>
      <c r="G334" s="258"/>
      <c r="H334" s="258"/>
      <c r="I334" s="258"/>
      <c r="J334" s="258"/>
      <c r="K334" s="258"/>
      <c r="L334" s="258"/>
      <c r="M334" s="258"/>
      <c r="N334" s="258"/>
      <c r="O334" s="258"/>
      <c r="P334" s="258"/>
      <c r="Q334" s="258"/>
    </row>
    <row r="335" ht="15.75" customHeight="1">
      <c r="B335" s="258"/>
      <c r="C335" s="258"/>
      <c r="D335" s="258"/>
      <c r="E335" s="258"/>
      <c r="F335" s="258"/>
      <c r="G335" s="258"/>
      <c r="H335" s="258"/>
      <c r="I335" s="258"/>
      <c r="J335" s="258"/>
      <c r="K335" s="258"/>
      <c r="L335" s="258"/>
      <c r="M335" s="258"/>
      <c r="N335" s="258"/>
      <c r="O335" s="258"/>
      <c r="P335" s="258"/>
      <c r="Q335" s="258"/>
    </row>
    <row r="336" ht="15.75" customHeight="1">
      <c r="B336" s="258"/>
      <c r="C336" s="258"/>
      <c r="D336" s="258"/>
      <c r="E336" s="258"/>
      <c r="F336" s="258"/>
      <c r="G336" s="258"/>
      <c r="H336" s="258"/>
      <c r="I336" s="258"/>
      <c r="J336" s="258"/>
      <c r="K336" s="258"/>
      <c r="L336" s="258"/>
      <c r="M336" s="258"/>
      <c r="N336" s="258"/>
      <c r="O336" s="258"/>
      <c r="P336" s="258"/>
      <c r="Q336" s="258"/>
    </row>
    <row r="337" ht="15.75" customHeight="1">
      <c r="B337" s="258"/>
      <c r="C337" s="258"/>
      <c r="D337" s="258"/>
      <c r="E337" s="258"/>
      <c r="F337" s="258"/>
      <c r="G337" s="258"/>
      <c r="H337" s="258"/>
      <c r="I337" s="258"/>
      <c r="J337" s="258"/>
      <c r="K337" s="258"/>
      <c r="L337" s="258"/>
      <c r="M337" s="258"/>
      <c r="N337" s="258"/>
      <c r="O337" s="258"/>
      <c r="P337" s="258"/>
      <c r="Q337" s="258"/>
    </row>
    <row r="338" ht="15.75" customHeight="1">
      <c r="B338" s="258"/>
      <c r="C338" s="258"/>
      <c r="D338" s="258"/>
      <c r="E338" s="258"/>
      <c r="F338" s="258"/>
      <c r="G338" s="258"/>
      <c r="H338" s="258"/>
      <c r="I338" s="258"/>
      <c r="J338" s="258"/>
      <c r="K338" s="258"/>
      <c r="L338" s="258"/>
      <c r="M338" s="258"/>
      <c r="N338" s="258"/>
      <c r="O338" s="258"/>
      <c r="P338" s="258"/>
      <c r="Q338" s="258"/>
    </row>
    <row r="339" ht="15.75" customHeight="1">
      <c r="B339" s="258"/>
      <c r="C339" s="258"/>
      <c r="D339" s="258"/>
      <c r="E339" s="258"/>
      <c r="F339" s="258"/>
      <c r="G339" s="258"/>
      <c r="H339" s="258"/>
      <c r="I339" s="258"/>
      <c r="J339" s="258"/>
      <c r="K339" s="258"/>
      <c r="L339" s="258"/>
      <c r="M339" s="258"/>
      <c r="N339" s="258"/>
      <c r="O339" s="258"/>
      <c r="P339" s="258"/>
      <c r="Q339" s="258"/>
    </row>
    <row r="340" ht="15.75" customHeight="1">
      <c r="B340" s="258"/>
      <c r="C340" s="258"/>
      <c r="D340" s="258"/>
      <c r="E340" s="258"/>
      <c r="F340" s="258"/>
      <c r="G340" s="258"/>
      <c r="H340" s="258"/>
      <c r="I340" s="258"/>
      <c r="J340" s="258"/>
      <c r="K340" s="258"/>
      <c r="L340" s="258"/>
      <c r="M340" s="258"/>
      <c r="N340" s="258"/>
      <c r="O340" s="258"/>
      <c r="P340" s="258"/>
      <c r="Q340" s="258"/>
    </row>
    <row r="341" ht="15.75" customHeight="1">
      <c r="B341" s="258"/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</row>
    <row r="342" ht="15.75" customHeight="1">
      <c r="B342" s="258"/>
      <c r="C342" s="258"/>
      <c r="D342" s="258"/>
      <c r="E342" s="258"/>
      <c r="F342" s="258"/>
      <c r="G342" s="258"/>
      <c r="H342" s="258"/>
      <c r="I342" s="258"/>
      <c r="J342" s="258"/>
      <c r="K342" s="258"/>
      <c r="L342" s="258"/>
      <c r="M342" s="258"/>
      <c r="N342" s="258"/>
      <c r="O342" s="258"/>
      <c r="P342" s="258"/>
      <c r="Q342" s="258"/>
    </row>
    <row r="343" ht="15.75" customHeight="1">
      <c r="B343" s="258"/>
      <c r="C343" s="258"/>
      <c r="D343" s="258"/>
      <c r="E343" s="258"/>
      <c r="F343" s="258"/>
      <c r="G343" s="258"/>
      <c r="H343" s="258"/>
      <c r="I343" s="258"/>
      <c r="J343" s="258"/>
      <c r="K343" s="258"/>
      <c r="L343" s="258"/>
      <c r="M343" s="258"/>
      <c r="N343" s="258"/>
      <c r="O343" s="258"/>
      <c r="P343" s="258"/>
      <c r="Q343" s="258"/>
    </row>
    <row r="344" ht="15.75" customHeight="1">
      <c r="B344" s="258"/>
      <c r="C344" s="258"/>
      <c r="D344" s="258"/>
      <c r="E344" s="258"/>
      <c r="F344" s="258"/>
      <c r="G344" s="258"/>
      <c r="H344" s="258"/>
      <c r="I344" s="258"/>
      <c r="J344" s="258"/>
      <c r="K344" s="258"/>
      <c r="L344" s="258"/>
      <c r="M344" s="258"/>
      <c r="N344" s="258"/>
      <c r="O344" s="258"/>
      <c r="P344" s="258"/>
      <c r="Q344" s="258"/>
    </row>
    <row r="345" ht="15.75" customHeight="1">
      <c r="B345" s="258"/>
      <c r="C345" s="258"/>
      <c r="D345" s="258"/>
      <c r="E345" s="258"/>
      <c r="F345" s="258"/>
      <c r="G345" s="258"/>
      <c r="H345" s="258"/>
      <c r="I345" s="258"/>
      <c r="J345" s="258"/>
      <c r="K345" s="258"/>
      <c r="L345" s="258"/>
      <c r="M345" s="258"/>
      <c r="N345" s="258"/>
      <c r="O345" s="258"/>
      <c r="P345" s="258"/>
      <c r="Q345" s="258"/>
    </row>
    <row r="346" ht="15.75" customHeight="1">
      <c r="B346" s="258"/>
      <c r="C346" s="258"/>
      <c r="D346" s="258"/>
      <c r="E346" s="258"/>
      <c r="F346" s="258"/>
      <c r="G346" s="258"/>
      <c r="H346" s="258"/>
      <c r="I346" s="258"/>
      <c r="J346" s="258"/>
      <c r="K346" s="258"/>
      <c r="L346" s="258"/>
      <c r="M346" s="258"/>
      <c r="N346" s="258"/>
      <c r="O346" s="258"/>
      <c r="P346" s="258"/>
      <c r="Q346" s="258"/>
    </row>
    <row r="347" ht="15.75" customHeight="1">
      <c r="B347" s="258"/>
      <c r="C347" s="258"/>
      <c r="D347" s="258"/>
      <c r="E347" s="258"/>
      <c r="F347" s="258"/>
      <c r="G347" s="258"/>
      <c r="H347" s="258"/>
      <c r="I347" s="258"/>
      <c r="J347" s="258"/>
      <c r="K347" s="258"/>
      <c r="L347" s="258"/>
      <c r="M347" s="258"/>
      <c r="N347" s="258"/>
      <c r="O347" s="258"/>
      <c r="P347" s="258"/>
      <c r="Q347" s="258"/>
    </row>
    <row r="348" ht="15.75" customHeight="1">
      <c r="B348" s="258"/>
      <c r="C348" s="258"/>
      <c r="D348" s="258"/>
      <c r="E348" s="258"/>
      <c r="F348" s="258"/>
      <c r="G348" s="258"/>
      <c r="H348" s="258"/>
      <c r="I348" s="258"/>
      <c r="J348" s="258"/>
      <c r="K348" s="258"/>
      <c r="L348" s="258"/>
      <c r="M348" s="258"/>
      <c r="N348" s="258"/>
      <c r="O348" s="258"/>
      <c r="P348" s="258"/>
      <c r="Q348" s="258"/>
    </row>
    <row r="349" ht="15.75" customHeight="1">
      <c r="B349" s="258"/>
      <c r="C349" s="258"/>
      <c r="D349" s="258"/>
      <c r="E349" s="258"/>
      <c r="F349" s="258"/>
      <c r="G349" s="258"/>
      <c r="H349" s="258"/>
      <c r="I349" s="258"/>
      <c r="J349" s="258"/>
      <c r="K349" s="258"/>
      <c r="L349" s="258"/>
      <c r="M349" s="258"/>
      <c r="N349" s="258"/>
      <c r="O349" s="258"/>
      <c r="P349" s="258"/>
      <c r="Q349" s="258"/>
    </row>
    <row r="350" ht="15.75" customHeight="1">
      <c r="B350" s="258"/>
      <c r="C350" s="258"/>
      <c r="D350" s="258"/>
      <c r="E350" s="258"/>
      <c r="F350" s="258"/>
      <c r="G350" s="258"/>
      <c r="H350" s="258"/>
      <c r="I350" s="258"/>
      <c r="J350" s="258"/>
      <c r="K350" s="258"/>
      <c r="L350" s="258"/>
      <c r="M350" s="258"/>
      <c r="N350" s="258"/>
      <c r="O350" s="258"/>
      <c r="P350" s="258"/>
      <c r="Q350" s="258"/>
    </row>
    <row r="351" ht="15.75" customHeight="1">
      <c r="B351" s="258"/>
      <c r="C351" s="258"/>
      <c r="D351" s="258"/>
      <c r="E351" s="258"/>
      <c r="F351" s="258"/>
      <c r="G351" s="258"/>
      <c r="H351" s="258"/>
      <c r="I351" s="258"/>
      <c r="J351" s="258"/>
      <c r="K351" s="258"/>
      <c r="L351" s="258"/>
      <c r="M351" s="258"/>
      <c r="N351" s="258"/>
      <c r="O351" s="258"/>
      <c r="P351" s="258"/>
      <c r="Q351" s="258"/>
    </row>
    <row r="352" ht="15.75" customHeight="1">
      <c r="B352" s="258"/>
      <c r="C352" s="258"/>
      <c r="D352" s="258"/>
      <c r="E352" s="258"/>
      <c r="F352" s="258"/>
      <c r="G352" s="258"/>
      <c r="H352" s="258"/>
      <c r="I352" s="258"/>
      <c r="J352" s="258"/>
      <c r="K352" s="258"/>
      <c r="L352" s="258"/>
      <c r="M352" s="258"/>
      <c r="N352" s="258"/>
      <c r="O352" s="258"/>
      <c r="P352" s="258"/>
      <c r="Q352" s="258"/>
    </row>
    <row r="353" ht="15.75" customHeight="1">
      <c r="B353" s="258"/>
      <c r="C353" s="258"/>
      <c r="D353" s="258"/>
      <c r="E353" s="258"/>
      <c r="F353" s="258"/>
      <c r="G353" s="258"/>
      <c r="H353" s="258"/>
      <c r="I353" s="258"/>
      <c r="J353" s="258"/>
      <c r="K353" s="258"/>
      <c r="L353" s="258"/>
      <c r="M353" s="258"/>
      <c r="N353" s="258"/>
      <c r="O353" s="258"/>
      <c r="P353" s="258"/>
      <c r="Q353" s="258"/>
    </row>
    <row r="354" ht="15.75" customHeight="1">
      <c r="B354" s="258"/>
      <c r="C354" s="258"/>
      <c r="D354" s="258"/>
      <c r="E354" s="258"/>
      <c r="F354" s="258"/>
      <c r="G354" s="258"/>
      <c r="H354" s="258"/>
      <c r="I354" s="258"/>
      <c r="J354" s="258"/>
      <c r="K354" s="258"/>
      <c r="L354" s="258"/>
      <c r="M354" s="258"/>
      <c r="N354" s="258"/>
      <c r="O354" s="258"/>
      <c r="P354" s="258"/>
      <c r="Q354" s="258"/>
    </row>
    <row r="355" ht="15.75" customHeight="1">
      <c r="B355" s="258"/>
      <c r="C355" s="258"/>
      <c r="D355" s="258"/>
      <c r="E355" s="258"/>
      <c r="F355" s="258"/>
      <c r="G355" s="258"/>
      <c r="H355" s="258"/>
      <c r="I355" s="258"/>
      <c r="J355" s="258"/>
      <c r="K355" s="258"/>
      <c r="L355" s="258"/>
      <c r="M355" s="258"/>
      <c r="N355" s="258"/>
      <c r="O355" s="258"/>
      <c r="P355" s="258"/>
      <c r="Q355" s="258"/>
    </row>
    <row r="356" ht="15.75" customHeight="1">
      <c r="B356" s="258"/>
      <c r="C356" s="258"/>
      <c r="D356" s="258"/>
      <c r="E356" s="258"/>
      <c r="F356" s="258"/>
      <c r="G356" s="258"/>
      <c r="H356" s="258"/>
      <c r="I356" s="258"/>
      <c r="J356" s="258"/>
      <c r="K356" s="258"/>
      <c r="L356" s="258"/>
      <c r="M356" s="258"/>
      <c r="N356" s="258"/>
      <c r="O356" s="258"/>
      <c r="P356" s="258"/>
      <c r="Q356" s="258"/>
    </row>
    <row r="357" ht="15.75" customHeight="1">
      <c r="B357" s="258"/>
      <c r="C357" s="258"/>
      <c r="D357" s="258"/>
      <c r="E357" s="258"/>
      <c r="F357" s="258"/>
      <c r="G357" s="258"/>
      <c r="H357" s="258"/>
      <c r="I357" s="258"/>
      <c r="J357" s="258"/>
      <c r="K357" s="258"/>
      <c r="L357" s="258"/>
      <c r="M357" s="258"/>
      <c r="N357" s="258"/>
      <c r="O357" s="258"/>
      <c r="P357" s="258"/>
      <c r="Q357" s="258"/>
    </row>
    <row r="358" ht="15.75" customHeight="1">
      <c r="B358" s="258"/>
      <c r="C358" s="258"/>
      <c r="D358" s="258"/>
      <c r="E358" s="258"/>
      <c r="F358" s="258"/>
      <c r="G358" s="258"/>
      <c r="H358" s="258"/>
      <c r="I358" s="258"/>
      <c r="J358" s="258"/>
      <c r="K358" s="258"/>
      <c r="L358" s="258"/>
      <c r="M358" s="258"/>
      <c r="N358" s="258"/>
      <c r="O358" s="258"/>
      <c r="P358" s="258"/>
      <c r="Q358" s="258"/>
    </row>
    <row r="359" ht="15.75" customHeight="1">
      <c r="B359" s="258"/>
      <c r="C359" s="258"/>
      <c r="D359" s="258"/>
      <c r="E359" s="258"/>
      <c r="F359" s="258"/>
      <c r="G359" s="258"/>
      <c r="H359" s="258"/>
      <c r="I359" s="258"/>
      <c r="J359" s="258"/>
      <c r="K359" s="258"/>
      <c r="L359" s="258"/>
      <c r="M359" s="258"/>
      <c r="N359" s="258"/>
      <c r="O359" s="258"/>
      <c r="P359" s="258"/>
      <c r="Q359" s="258"/>
    </row>
    <row r="360" ht="15.75" customHeight="1">
      <c r="B360" s="258"/>
      <c r="C360" s="258"/>
      <c r="D360" s="258"/>
      <c r="E360" s="258"/>
      <c r="F360" s="258"/>
      <c r="G360" s="258"/>
      <c r="H360" s="258"/>
      <c r="I360" s="258"/>
      <c r="J360" s="258"/>
      <c r="K360" s="258"/>
      <c r="L360" s="258"/>
      <c r="M360" s="258"/>
      <c r="N360" s="258"/>
      <c r="O360" s="258"/>
      <c r="P360" s="258"/>
      <c r="Q360" s="258"/>
    </row>
    <row r="361" ht="15.75" customHeight="1">
      <c r="B361" s="258"/>
      <c r="C361" s="258"/>
      <c r="D361" s="258"/>
      <c r="E361" s="258"/>
      <c r="F361" s="258"/>
      <c r="G361" s="258"/>
      <c r="H361" s="258"/>
      <c r="I361" s="258"/>
      <c r="J361" s="258"/>
      <c r="K361" s="258"/>
      <c r="L361" s="258"/>
      <c r="M361" s="258"/>
      <c r="N361" s="258"/>
      <c r="O361" s="258"/>
      <c r="P361" s="258"/>
      <c r="Q361" s="258"/>
    </row>
    <row r="362" ht="15.75" customHeight="1">
      <c r="B362" s="258"/>
      <c r="C362" s="258"/>
      <c r="D362" s="258"/>
      <c r="E362" s="258"/>
      <c r="F362" s="258"/>
      <c r="G362" s="258"/>
      <c r="H362" s="258"/>
      <c r="I362" s="258"/>
      <c r="J362" s="258"/>
      <c r="K362" s="258"/>
      <c r="L362" s="258"/>
      <c r="M362" s="258"/>
      <c r="N362" s="258"/>
      <c r="O362" s="258"/>
      <c r="P362" s="258"/>
      <c r="Q362" s="258"/>
    </row>
    <row r="363" ht="15.75" customHeight="1">
      <c r="B363" s="258"/>
      <c r="C363" s="258"/>
      <c r="D363" s="258"/>
      <c r="E363" s="258"/>
      <c r="F363" s="258"/>
      <c r="G363" s="258"/>
      <c r="H363" s="258"/>
      <c r="I363" s="258"/>
      <c r="J363" s="258"/>
      <c r="K363" s="258"/>
      <c r="L363" s="258"/>
      <c r="M363" s="258"/>
      <c r="N363" s="258"/>
      <c r="O363" s="258"/>
      <c r="P363" s="258"/>
      <c r="Q363" s="258"/>
    </row>
    <row r="364" ht="15.75" customHeight="1">
      <c r="B364" s="258"/>
      <c r="C364" s="258"/>
      <c r="D364" s="258"/>
      <c r="E364" s="258"/>
      <c r="F364" s="258"/>
      <c r="G364" s="258"/>
      <c r="H364" s="258"/>
      <c r="I364" s="258"/>
      <c r="J364" s="258"/>
      <c r="K364" s="258"/>
      <c r="L364" s="258"/>
      <c r="M364" s="258"/>
      <c r="N364" s="258"/>
      <c r="O364" s="258"/>
      <c r="P364" s="258"/>
      <c r="Q364" s="258"/>
    </row>
    <row r="365" ht="15.75" customHeight="1">
      <c r="B365" s="258"/>
      <c r="C365" s="258"/>
      <c r="D365" s="258"/>
      <c r="E365" s="258"/>
      <c r="F365" s="258"/>
      <c r="G365" s="258"/>
      <c r="H365" s="258"/>
      <c r="I365" s="258"/>
      <c r="J365" s="258"/>
      <c r="K365" s="258"/>
      <c r="L365" s="258"/>
      <c r="M365" s="258"/>
      <c r="N365" s="258"/>
      <c r="O365" s="258"/>
      <c r="P365" s="258"/>
      <c r="Q365" s="258"/>
    </row>
    <row r="366" ht="15.75" customHeight="1">
      <c r="B366" s="258"/>
      <c r="C366" s="258"/>
      <c r="D366" s="258"/>
      <c r="E366" s="258"/>
      <c r="F366" s="258"/>
      <c r="G366" s="258"/>
      <c r="H366" s="258"/>
      <c r="I366" s="258"/>
      <c r="J366" s="258"/>
      <c r="K366" s="258"/>
      <c r="L366" s="258"/>
      <c r="M366" s="258"/>
      <c r="N366" s="258"/>
      <c r="O366" s="258"/>
      <c r="P366" s="258"/>
      <c r="Q366" s="258"/>
    </row>
    <row r="367" ht="15.75" customHeight="1">
      <c r="B367" s="258"/>
      <c r="C367" s="258"/>
      <c r="D367" s="258"/>
      <c r="E367" s="258"/>
      <c r="F367" s="258"/>
      <c r="G367" s="258"/>
      <c r="H367" s="258"/>
      <c r="I367" s="258"/>
      <c r="J367" s="258"/>
      <c r="K367" s="258"/>
      <c r="L367" s="258"/>
      <c r="M367" s="258"/>
      <c r="N367" s="258"/>
      <c r="O367" s="258"/>
      <c r="P367" s="258"/>
      <c r="Q367" s="258"/>
    </row>
    <row r="368" ht="15.75" customHeight="1">
      <c r="B368" s="258"/>
      <c r="C368" s="258"/>
      <c r="D368" s="258"/>
      <c r="E368" s="258"/>
      <c r="F368" s="258"/>
      <c r="G368" s="258"/>
      <c r="H368" s="258"/>
      <c r="I368" s="258"/>
      <c r="J368" s="258"/>
      <c r="K368" s="258"/>
      <c r="L368" s="258"/>
      <c r="M368" s="258"/>
      <c r="N368" s="258"/>
      <c r="O368" s="258"/>
      <c r="P368" s="258"/>
      <c r="Q368" s="258"/>
    </row>
    <row r="369" ht="15.75" customHeight="1">
      <c r="B369" s="258"/>
      <c r="C369" s="258"/>
      <c r="D369" s="258"/>
      <c r="E369" s="258"/>
      <c r="F369" s="258"/>
      <c r="G369" s="258"/>
      <c r="H369" s="258"/>
      <c r="I369" s="258"/>
      <c r="J369" s="258"/>
      <c r="K369" s="258"/>
      <c r="L369" s="258"/>
      <c r="M369" s="258"/>
      <c r="N369" s="258"/>
      <c r="O369" s="258"/>
      <c r="P369" s="258"/>
      <c r="Q369" s="258"/>
    </row>
    <row r="370" ht="15.75" customHeight="1">
      <c r="B370" s="258"/>
      <c r="C370" s="258"/>
      <c r="D370" s="258"/>
      <c r="E370" s="258"/>
      <c r="F370" s="258"/>
      <c r="G370" s="258"/>
      <c r="H370" s="258"/>
      <c r="I370" s="258"/>
      <c r="J370" s="258"/>
      <c r="K370" s="258"/>
      <c r="L370" s="258"/>
      <c r="M370" s="258"/>
      <c r="N370" s="258"/>
      <c r="O370" s="258"/>
      <c r="P370" s="258"/>
      <c r="Q370" s="258"/>
    </row>
    <row r="371" ht="15.75" customHeight="1">
      <c r="B371" s="258"/>
      <c r="C371" s="258"/>
      <c r="D371" s="258"/>
      <c r="E371" s="258"/>
      <c r="F371" s="258"/>
      <c r="G371" s="258"/>
      <c r="H371" s="258"/>
      <c r="I371" s="258"/>
      <c r="J371" s="258"/>
      <c r="K371" s="258"/>
      <c r="L371" s="258"/>
      <c r="M371" s="258"/>
      <c r="N371" s="258"/>
      <c r="O371" s="258"/>
      <c r="P371" s="258"/>
      <c r="Q371" s="258"/>
    </row>
    <row r="372" ht="15.75" customHeight="1">
      <c r="B372" s="258"/>
      <c r="C372" s="258"/>
      <c r="D372" s="258"/>
      <c r="E372" s="258"/>
      <c r="F372" s="258"/>
      <c r="G372" s="258"/>
      <c r="H372" s="258"/>
      <c r="I372" s="258"/>
      <c r="J372" s="258"/>
      <c r="K372" s="258"/>
      <c r="L372" s="258"/>
      <c r="M372" s="258"/>
      <c r="N372" s="258"/>
      <c r="O372" s="258"/>
      <c r="P372" s="258"/>
      <c r="Q372" s="258"/>
    </row>
    <row r="373" ht="15.75" customHeight="1">
      <c r="B373" s="258"/>
      <c r="C373" s="258"/>
      <c r="D373" s="258"/>
      <c r="E373" s="258"/>
      <c r="F373" s="258"/>
      <c r="G373" s="258"/>
      <c r="H373" s="258"/>
      <c r="I373" s="258"/>
      <c r="J373" s="258"/>
      <c r="K373" s="258"/>
      <c r="L373" s="258"/>
      <c r="M373" s="258"/>
      <c r="N373" s="258"/>
      <c r="O373" s="258"/>
      <c r="P373" s="258"/>
      <c r="Q373" s="258"/>
    </row>
    <row r="374" ht="15.75" customHeight="1">
      <c r="B374" s="258"/>
      <c r="C374" s="258"/>
      <c r="D374" s="258"/>
      <c r="E374" s="258"/>
      <c r="F374" s="258"/>
      <c r="G374" s="258"/>
      <c r="H374" s="258"/>
      <c r="I374" s="258"/>
      <c r="J374" s="258"/>
      <c r="K374" s="258"/>
      <c r="L374" s="258"/>
      <c r="M374" s="258"/>
      <c r="N374" s="258"/>
      <c r="O374" s="258"/>
      <c r="P374" s="258"/>
      <c r="Q374" s="258"/>
    </row>
    <row r="375" ht="15.75" customHeight="1">
      <c r="B375" s="258"/>
      <c r="C375" s="258"/>
      <c r="D375" s="258"/>
      <c r="E375" s="258"/>
      <c r="F375" s="258"/>
      <c r="G375" s="258"/>
      <c r="H375" s="258"/>
      <c r="I375" s="258"/>
      <c r="J375" s="258"/>
      <c r="K375" s="258"/>
      <c r="L375" s="258"/>
      <c r="M375" s="258"/>
      <c r="N375" s="258"/>
      <c r="O375" s="258"/>
      <c r="P375" s="258"/>
      <c r="Q375" s="258"/>
    </row>
    <row r="376" ht="15.75" customHeight="1">
      <c r="B376" s="258"/>
      <c r="C376" s="258"/>
      <c r="D376" s="258"/>
      <c r="E376" s="258"/>
      <c r="F376" s="258"/>
      <c r="G376" s="258"/>
      <c r="H376" s="258"/>
      <c r="I376" s="258"/>
      <c r="J376" s="258"/>
      <c r="K376" s="258"/>
      <c r="L376" s="258"/>
      <c r="M376" s="258"/>
      <c r="N376" s="258"/>
      <c r="O376" s="258"/>
      <c r="P376" s="258"/>
      <c r="Q376" s="258"/>
    </row>
    <row r="377" ht="15.75" customHeight="1">
      <c r="B377" s="258"/>
      <c r="C377" s="258"/>
      <c r="D377" s="258"/>
      <c r="E377" s="258"/>
      <c r="F377" s="258"/>
      <c r="G377" s="258"/>
      <c r="H377" s="258"/>
      <c r="I377" s="258"/>
      <c r="J377" s="258"/>
      <c r="K377" s="258"/>
      <c r="L377" s="258"/>
      <c r="M377" s="258"/>
      <c r="N377" s="258"/>
      <c r="O377" s="258"/>
      <c r="P377" s="258"/>
      <c r="Q377" s="258"/>
    </row>
    <row r="378" ht="15.75" customHeight="1">
      <c r="B378" s="258"/>
      <c r="C378" s="258"/>
      <c r="D378" s="258"/>
      <c r="E378" s="258"/>
      <c r="F378" s="258"/>
      <c r="G378" s="258"/>
      <c r="H378" s="258"/>
      <c r="I378" s="258"/>
      <c r="J378" s="258"/>
      <c r="K378" s="258"/>
      <c r="L378" s="258"/>
      <c r="M378" s="258"/>
      <c r="N378" s="258"/>
      <c r="O378" s="258"/>
      <c r="P378" s="258"/>
      <c r="Q378" s="258"/>
    </row>
    <row r="379" ht="15.75" customHeight="1">
      <c r="B379" s="258"/>
      <c r="C379" s="258"/>
      <c r="D379" s="25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</row>
    <row r="380" ht="15.75" customHeight="1">
      <c r="B380" s="258"/>
      <c r="C380" s="258"/>
      <c r="D380" s="258"/>
      <c r="E380" s="258"/>
      <c r="F380" s="258"/>
      <c r="G380" s="258"/>
      <c r="H380" s="258"/>
      <c r="I380" s="258"/>
      <c r="J380" s="258"/>
      <c r="K380" s="258"/>
      <c r="L380" s="258"/>
      <c r="M380" s="258"/>
      <c r="N380" s="258"/>
      <c r="O380" s="258"/>
      <c r="P380" s="258"/>
      <c r="Q380" s="258"/>
    </row>
    <row r="381" ht="15.75" customHeight="1">
      <c r="B381" s="258"/>
      <c r="C381" s="258"/>
      <c r="D381" s="258"/>
      <c r="E381" s="258"/>
      <c r="F381" s="258"/>
      <c r="G381" s="258"/>
      <c r="H381" s="258"/>
      <c r="I381" s="258"/>
      <c r="J381" s="258"/>
      <c r="K381" s="258"/>
      <c r="L381" s="258"/>
      <c r="M381" s="258"/>
      <c r="N381" s="258"/>
      <c r="O381" s="258"/>
      <c r="P381" s="258"/>
      <c r="Q381" s="258"/>
    </row>
    <row r="382" ht="15.75" customHeight="1">
      <c r="B382" s="258"/>
      <c r="C382" s="258"/>
      <c r="D382" s="258"/>
      <c r="E382" s="258"/>
      <c r="F382" s="258"/>
      <c r="G382" s="258"/>
      <c r="H382" s="258"/>
      <c r="I382" s="258"/>
      <c r="J382" s="258"/>
      <c r="K382" s="258"/>
      <c r="L382" s="258"/>
      <c r="M382" s="258"/>
      <c r="N382" s="258"/>
      <c r="O382" s="258"/>
      <c r="P382" s="258"/>
      <c r="Q382" s="258"/>
    </row>
    <row r="383" ht="15.75" customHeight="1">
      <c r="B383" s="258"/>
      <c r="C383" s="258"/>
      <c r="D383" s="258"/>
      <c r="E383" s="258"/>
      <c r="F383" s="258"/>
      <c r="G383" s="258"/>
      <c r="H383" s="258"/>
      <c r="I383" s="258"/>
      <c r="J383" s="258"/>
      <c r="K383" s="258"/>
      <c r="L383" s="258"/>
      <c r="M383" s="258"/>
      <c r="N383" s="258"/>
      <c r="O383" s="258"/>
      <c r="P383" s="258"/>
      <c r="Q383" s="258"/>
    </row>
    <row r="384" ht="15.75" customHeight="1">
      <c r="B384" s="258"/>
      <c r="C384" s="258"/>
      <c r="D384" s="258"/>
      <c r="E384" s="258"/>
      <c r="F384" s="258"/>
      <c r="G384" s="258"/>
      <c r="H384" s="258"/>
      <c r="I384" s="258"/>
      <c r="J384" s="258"/>
      <c r="K384" s="258"/>
      <c r="L384" s="258"/>
      <c r="M384" s="258"/>
      <c r="N384" s="258"/>
      <c r="O384" s="258"/>
      <c r="P384" s="258"/>
      <c r="Q384" s="258"/>
    </row>
    <row r="385" ht="15.75" customHeight="1">
      <c r="B385" s="258"/>
      <c r="C385" s="258"/>
      <c r="D385" s="258"/>
      <c r="E385" s="258"/>
      <c r="F385" s="258"/>
      <c r="G385" s="258"/>
      <c r="H385" s="258"/>
      <c r="I385" s="258"/>
      <c r="J385" s="258"/>
      <c r="K385" s="258"/>
      <c r="L385" s="258"/>
      <c r="M385" s="258"/>
      <c r="N385" s="258"/>
      <c r="O385" s="258"/>
      <c r="P385" s="258"/>
      <c r="Q385" s="258"/>
    </row>
    <row r="386" ht="15.75" customHeight="1">
      <c r="B386" s="258"/>
      <c r="C386" s="258"/>
      <c r="D386" s="258"/>
      <c r="E386" s="258"/>
      <c r="F386" s="258"/>
      <c r="G386" s="258"/>
      <c r="H386" s="258"/>
      <c r="I386" s="258"/>
      <c r="J386" s="258"/>
      <c r="K386" s="258"/>
      <c r="L386" s="258"/>
      <c r="M386" s="258"/>
      <c r="N386" s="258"/>
      <c r="O386" s="258"/>
      <c r="P386" s="258"/>
      <c r="Q386" s="258"/>
    </row>
    <row r="387" ht="15.75" customHeight="1">
      <c r="B387" s="258"/>
      <c r="C387" s="258"/>
      <c r="D387" s="258"/>
      <c r="E387" s="258"/>
      <c r="F387" s="258"/>
      <c r="G387" s="258"/>
      <c r="H387" s="258"/>
      <c r="I387" s="258"/>
      <c r="J387" s="258"/>
      <c r="K387" s="258"/>
      <c r="L387" s="258"/>
      <c r="M387" s="258"/>
      <c r="N387" s="258"/>
      <c r="O387" s="258"/>
      <c r="P387" s="258"/>
      <c r="Q387" s="258"/>
    </row>
    <row r="388" ht="15.75" customHeight="1">
      <c r="B388" s="258"/>
      <c r="C388" s="258"/>
      <c r="D388" s="258"/>
      <c r="E388" s="258"/>
      <c r="F388" s="258"/>
      <c r="G388" s="258"/>
      <c r="H388" s="258"/>
      <c r="I388" s="258"/>
      <c r="J388" s="258"/>
      <c r="K388" s="258"/>
      <c r="L388" s="258"/>
      <c r="M388" s="258"/>
      <c r="N388" s="258"/>
      <c r="O388" s="258"/>
      <c r="P388" s="258"/>
      <c r="Q388" s="258"/>
    </row>
    <row r="389" ht="15.75" customHeight="1">
      <c r="B389" s="258"/>
      <c r="C389" s="258"/>
      <c r="D389" s="258"/>
      <c r="E389" s="258"/>
      <c r="F389" s="258"/>
      <c r="G389" s="258"/>
      <c r="H389" s="258"/>
      <c r="I389" s="258"/>
      <c r="J389" s="258"/>
      <c r="K389" s="258"/>
      <c r="L389" s="258"/>
      <c r="M389" s="258"/>
      <c r="N389" s="258"/>
      <c r="O389" s="258"/>
      <c r="P389" s="258"/>
      <c r="Q389" s="258"/>
    </row>
    <row r="390" ht="15.75" customHeight="1">
      <c r="B390" s="258"/>
      <c r="C390" s="258"/>
      <c r="D390" s="258"/>
      <c r="E390" s="258"/>
      <c r="F390" s="258"/>
      <c r="G390" s="258"/>
      <c r="H390" s="258"/>
      <c r="I390" s="258"/>
      <c r="J390" s="258"/>
      <c r="K390" s="258"/>
      <c r="L390" s="258"/>
      <c r="M390" s="258"/>
      <c r="N390" s="258"/>
      <c r="O390" s="258"/>
      <c r="P390" s="258"/>
      <c r="Q390" s="258"/>
    </row>
    <row r="391" ht="15.75" customHeight="1">
      <c r="B391" s="258"/>
      <c r="C391" s="258"/>
      <c r="D391" s="258"/>
      <c r="E391" s="258"/>
      <c r="F391" s="258"/>
      <c r="G391" s="258"/>
      <c r="H391" s="258"/>
      <c r="I391" s="258"/>
      <c r="J391" s="258"/>
      <c r="K391" s="258"/>
      <c r="L391" s="258"/>
      <c r="M391" s="258"/>
      <c r="N391" s="258"/>
      <c r="O391" s="258"/>
      <c r="P391" s="258"/>
      <c r="Q391" s="258"/>
    </row>
    <row r="392" ht="15.75" customHeight="1">
      <c r="B392" s="258"/>
      <c r="C392" s="258"/>
      <c r="D392" s="258"/>
      <c r="E392" s="258"/>
      <c r="F392" s="258"/>
      <c r="G392" s="258"/>
      <c r="H392" s="258"/>
      <c r="I392" s="258"/>
      <c r="J392" s="258"/>
      <c r="K392" s="258"/>
      <c r="L392" s="258"/>
      <c r="M392" s="258"/>
      <c r="N392" s="258"/>
      <c r="O392" s="258"/>
      <c r="P392" s="258"/>
      <c r="Q392" s="258"/>
    </row>
    <row r="393" ht="15.75" customHeight="1">
      <c r="B393" s="258"/>
      <c r="C393" s="258"/>
      <c r="D393" s="258"/>
      <c r="E393" s="258"/>
      <c r="F393" s="258"/>
      <c r="G393" s="258"/>
      <c r="H393" s="258"/>
      <c r="I393" s="258"/>
      <c r="J393" s="258"/>
      <c r="K393" s="258"/>
      <c r="L393" s="258"/>
      <c r="M393" s="258"/>
      <c r="N393" s="258"/>
      <c r="O393" s="258"/>
      <c r="P393" s="258"/>
      <c r="Q393" s="258"/>
    </row>
    <row r="394" ht="15.75" customHeight="1">
      <c r="B394" s="258"/>
      <c r="C394" s="258"/>
      <c r="D394" s="258"/>
      <c r="E394" s="258"/>
      <c r="F394" s="258"/>
      <c r="G394" s="258"/>
      <c r="H394" s="258"/>
      <c r="I394" s="258"/>
      <c r="J394" s="258"/>
      <c r="K394" s="258"/>
      <c r="L394" s="258"/>
      <c r="M394" s="258"/>
      <c r="N394" s="258"/>
      <c r="O394" s="258"/>
      <c r="P394" s="258"/>
      <c r="Q394" s="258"/>
    </row>
    <row r="395" ht="15.75" customHeight="1">
      <c r="B395" s="258"/>
      <c r="C395" s="258"/>
      <c r="D395" s="258"/>
      <c r="E395" s="258"/>
      <c r="F395" s="258"/>
      <c r="G395" s="258"/>
      <c r="H395" s="258"/>
      <c r="I395" s="258"/>
      <c r="J395" s="258"/>
      <c r="K395" s="258"/>
      <c r="L395" s="258"/>
      <c r="M395" s="258"/>
      <c r="N395" s="258"/>
      <c r="O395" s="258"/>
      <c r="P395" s="258"/>
      <c r="Q395" s="258"/>
    </row>
    <row r="396" ht="15.75" customHeight="1">
      <c r="B396" s="258"/>
      <c r="C396" s="258"/>
      <c r="D396" s="258"/>
      <c r="E396" s="258"/>
      <c r="F396" s="258"/>
      <c r="G396" s="258"/>
      <c r="H396" s="258"/>
      <c r="I396" s="258"/>
      <c r="J396" s="258"/>
      <c r="K396" s="258"/>
      <c r="L396" s="258"/>
      <c r="M396" s="258"/>
      <c r="N396" s="258"/>
      <c r="O396" s="258"/>
      <c r="P396" s="258"/>
      <c r="Q396" s="258"/>
    </row>
    <row r="397" ht="15.75" customHeight="1">
      <c r="B397" s="258"/>
      <c r="C397" s="258"/>
      <c r="D397" s="258"/>
      <c r="E397" s="258"/>
      <c r="F397" s="258"/>
      <c r="G397" s="258"/>
      <c r="H397" s="258"/>
      <c r="I397" s="258"/>
      <c r="J397" s="258"/>
      <c r="K397" s="258"/>
      <c r="L397" s="258"/>
      <c r="M397" s="258"/>
      <c r="N397" s="258"/>
      <c r="O397" s="258"/>
      <c r="P397" s="258"/>
      <c r="Q397" s="258"/>
    </row>
    <row r="398" ht="15.75" customHeight="1">
      <c r="B398" s="258"/>
      <c r="C398" s="258"/>
      <c r="D398" s="258"/>
      <c r="E398" s="258"/>
      <c r="F398" s="258"/>
      <c r="G398" s="258"/>
      <c r="H398" s="258"/>
      <c r="I398" s="258"/>
      <c r="J398" s="258"/>
      <c r="K398" s="258"/>
      <c r="L398" s="258"/>
      <c r="M398" s="258"/>
      <c r="N398" s="258"/>
      <c r="O398" s="258"/>
      <c r="P398" s="258"/>
      <c r="Q398" s="258"/>
    </row>
    <row r="399" ht="15.75" customHeight="1">
      <c r="B399" s="258"/>
      <c r="C399" s="258"/>
      <c r="D399" s="258"/>
      <c r="E399" s="258"/>
      <c r="F399" s="258"/>
      <c r="G399" s="258"/>
      <c r="H399" s="258"/>
      <c r="I399" s="258"/>
      <c r="J399" s="258"/>
      <c r="K399" s="258"/>
      <c r="L399" s="258"/>
      <c r="M399" s="258"/>
      <c r="N399" s="258"/>
      <c r="O399" s="258"/>
      <c r="P399" s="258"/>
      <c r="Q399" s="258"/>
    </row>
    <row r="400" ht="15.75" customHeight="1">
      <c r="B400" s="258"/>
      <c r="C400" s="258"/>
      <c r="D400" s="258"/>
      <c r="E400" s="258"/>
      <c r="F400" s="258"/>
      <c r="G400" s="258"/>
      <c r="H400" s="258"/>
      <c r="I400" s="258"/>
      <c r="J400" s="258"/>
      <c r="K400" s="258"/>
      <c r="L400" s="258"/>
      <c r="M400" s="258"/>
      <c r="N400" s="258"/>
      <c r="O400" s="258"/>
      <c r="P400" s="258"/>
      <c r="Q400" s="258"/>
    </row>
    <row r="401" ht="15.75" customHeight="1">
      <c r="B401" s="258"/>
      <c r="C401" s="258"/>
      <c r="D401" s="258"/>
      <c r="E401" s="258"/>
      <c r="F401" s="258"/>
      <c r="G401" s="258"/>
      <c r="H401" s="258"/>
      <c r="I401" s="258"/>
      <c r="J401" s="258"/>
      <c r="K401" s="258"/>
      <c r="L401" s="258"/>
      <c r="M401" s="258"/>
      <c r="N401" s="258"/>
      <c r="O401" s="258"/>
      <c r="P401" s="258"/>
      <c r="Q401" s="258"/>
    </row>
    <row r="402" ht="15.75" customHeight="1">
      <c r="B402" s="258"/>
      <c r="C402" s="258"/>
      <c r="D402" s="258"/>
      <c r="E402" s="258"/>
      <c r="F402" s="258"/>
      <c r="G402" s="258"/>
      <c r="H402" s="258"/>
      <c r="I402" s="258"/>
      <c r="J402" s="258"/>
      <c r="K402" s="258"/>
      <c r="L402" s="258"/>
      <c r="M402" s="258"/>
      <c r="N402" s="258"/>
      <c r="O402" s="258"/>
      <c r="P402" s="258"/>
      <c r="Q402" s="258"/>
    </row>
    <row r="403" ht="15.75" customHeight="1">
      <c r="B403" s="258"/>
      <c r="C403" s="258"/>
      <c r="D403" s="258"/>
      <c r="E403" s="258"/>
      <c r="F403" s="258"/>
      <c r="G403" s="258"/>
      <c r="H403" s="258"/>
      <c r="I403" s="258"/>
      <c r="J403" s="258"/>
      <c r="K403" s="258"/>
      <c r="L403" s="258"/>
      <c r="M403" s="258"/>
      <c r="N403" s="258"/>
      <c r="O403" s="258"/>
      <c r="P403" s="258"/>
      <c r="Q403" s="258"/>
    </row>
    <row r="404" ht="15.75" customHeight="1">
      <c r="B404" s="258"/>
      <c r="C404" s="258"/>
      <c r="D404" s="258"/>
      <c r="E404" s="258"/>
      <c r="F404" s="258"/>
      <c r="G404" s="258"/>
      <c r="H404" s="258"/>
      <c r="I404" s="258"/>
      <c r="J404" s="258"/>
      <c r="K404" s="258"/>
      <c r="L404" s="258"/>
      <c r="M404" s="258"/>
      <c r="N404" s="258"/>
      <c r="O404" s="258"/>
      <c r="P404" s="258"/>
      <c r="Q404" s="258"/>
    </row>
    <row r="405" ht="15.75" customHeight="1">
      <c r="B405" s="258"/>
      <c r="C405" s="258"/>
      <c r="D405" s="258"/>
      <c r="E405" s="258"/>
      <c r="F405" s="258"/>
      <c r="G405" s="258"/>
      <c r="H405" s="258"/>
      <c r="I405" s="258"/>
      <c r="J405" s="258"/>
      <c r="K405" s="258"/>
      <c r="L405" s="258"/>
      <c r="M405" s="258"/>
      <c r="N405" s="258"/>
      <c r="O405" s="258"/>
      <c r="P405" s="258"/>
      <c r="Q405" s="258"/>
    </row>
    <row r="406" ht="15.75" customHeight="1">
      <c r="B406" s="258"/>
      <c r="C406" s="258"/>
      <c r="D406" s="258"/>
      <c r="E406" s="258"/>
      <c r="F406" s="258"/>
      <c r="G406" s="258"/>
      <c r="H406" s="258"/>
      <c r="I406" s="258"/>
      <c r="J406" s="258"/>
      <c r="K406" s="258"/>
      <c r="L406" s="258"/>
      <c r="M406" s="258"/>
      <c r="N406" s="258"/>
      <c r="O406" s="258"/>
      <c r="P406" s="258"/>
      <c r="Q406" s="258"/>
    </row>
    <row r="407" ht="15.75" customHeight="1">
      <c r="B407" s="258"/>
      <c r="C407" s="258"/>
      <c r="D407" s="258"/>
      <c r="E407" s="258"/>
      <c r="F407" s="258"/>
      <c r="G407" s="258"/>
      <c r="H407" s="258"/>
      <c r="I407" s="258"/>
      <c r="J407" s="258"/>
      <c r="K407" s="258"/>
      <c r="L407" s="258"/>
      <c r="M407" s="258"/>
      <c r="N407" s="258"/>
      <c r="O407" s="258"/>
      <c r="P407" s="258"/>
      <c r="Q407" s="258"/>
    </row>
    <row r="408" ht="15.75" customHeight="1">
      <c r="B408" s="258"/>
      <c r="C408" s="258"/>
      <c r="D408" s="258"/>
      <c r="E408" s="258"/>
      <c r="F408" s="258"/>
      <c r="G408" s="258"/>
      <c r="H408" s="258"/>
      <c r="I408" s="258"/>
      <c r="J408" s="258"/>
      <c r="K408" s="258"/>
      <c r="L408" s="258"/>
      <c r="M408" s="258"/>
      <c r="N408" s="258"/>
      <c r="O408" s="258"/>
      <c r="P408" s="258"/>
      <c r="Q408" s="258"/>
    </row>
    <row r="409" ht="15.75" customHeight="1">
      <c r="B409" s="258"/>
      <c r="C409" s="258"/>
      <c r="D409" s="258"/>
      <c r="E409" s="258"/>
      <c r="F409" s="258"/>
      <c r="G409" s="258"/>
      <c r="H409" s="258"/>
      <c r="I409" s="258"/>
      <c r="J409" s="258"/>
      <c r="K409" s="258"/>
      <c r="L409" s="258"/>
      <c r="M409" s="258"/>
      <c r="N409" s="258"/>
      <c r="O409" s="258"/>
      <c r="P409" s="258"/>
      <c r="Q409" s="258"/>
    </row>
    <row r="410" ht="15.75" customHeight="1">
      <c r="B410" s="258"/>
      <c r="C410" s="258"/>
      <c r="D410" s="258"/>
      <c r="E410" s="258"/>
      <c r="F410" s="258"/>
      <c r="G410" s="258"/>
      <c r="H410" s="258"/>
      <c r="I410" s="258"/>
      <c r="J410" s="258"/>
      <c r="K410" s="258"/>
      <c r="L410" s="258"/>
      <c r="M410" s="258"/>
      <c r="N410" s="258"/>
      <c r="O410" s="258"/>
      <c r="P410" s="258"/>
      <c r="Q410" s="258"/>
    </row>
    <row r="411" ht="15.75" customHeight="1">
      <c r="B411" s="258"/>
      <c r="C411" s="258"/>
      <c r="D411" s="258"/>
      <c r="E411" s="258"/>
      <c r="F411" s="258"/>
      <c r="G411" s="258"/>
      <c r="H411" s="258"/>
      <c r="I411" s="258"/>
      <c r="J411" s="258"/>
      <c r="K411" s="258"/>
      <c r="L411" s="258"/>
      <c r="M411" s="258"/>
      <c r="N411" s="258"/>
      <c r="O411" s="258"/>
      <c r="P411" s="258"/>
      <c r="Q411" s="258"/>
    </row>
    <row r="412" ht="15.75" customHeight="1">
      <c r="B412" s="258"/>
      <c r="C412" s="258"/>
      <c r="D412" s="258"/>
      <c r="E412" s="258"/>
      <c r="F412" s="258"/>
      <c r="G412" s="258"/>
      <c r="H412" s="258"/>
      <c r="I412" s="258"/>
      <c r="J412" s="258"/>
      <c r="K412" s="258"/>
      <c r="L412" s="258"/>
      <c r="M412" s="258"/>
      <c r="N412" s="258"/>
      <c r="O412" s="258"/>
      <c r="P412" s="258"/>
      <c r="Q412" s="258"/>
    </row>
    <row r="413" ht="15.75" customHeight="1">
      <c r="B413" s="258"/>
      <c r="C413" s="258"/>
      <c r="D413" s="258"/>
      <c r="E413" s="258"/>
      <c r="F413" s="258"/>
      <c r="G413" s="258"/>
      <c r="H413" s="258"/>
      <c r="I413" s="258"/>
      <c r="J413" s="258"/>
      <c r="K413" s="258"/>
      <c r="L413" s="258"/>
      <c r="M413" s="258"/>
      <c r="N413" s="258"/>
      <c r="O413" s="258"/>
      <c r="P413" s="258"/>
      <c r="Q413" s="258"/>
    </row>
    <row r="414" ht="15.75" customHeight="1">
      <c r="B414" s="258"/>
      <c r="C414" s="258"/>
      <c r="D414" s="258"/>
      <c r="E414" s="258"/>
      <c r="F414" s="258"/>
      <c r="G414" s="258"/>
      <c r="H414" s="258"/>
      <c r="I414" s="258"/>
      <c r="J414" s="258"/>
      <c r="K414" s="258"/>
      <c r="L414" s="258"/>
      <c r="M414" s="258"/>
      <c r="N414" s="258"/>
      <c r="O414" s="258"/>
      <c r="P414" s="258"/>
      <c r="Q414" s="258"/>
    </row>
    <row r="415" ht="15.75" customHeight="1">
      <c r="B415" s="258"/>
      <c r="C415" s="258"/>
      <c r="D415" s="258"/>
      <c r="E415" s="258"/>
      <c r="F415" s="258"/>
      <c r="G415" s="258"/>
      <c r="H415" s="258"/>
      <c r="I415" s="258"/>
      <c r="J415" s="258"/>
      <c r="K415" s="258"/>
      <c r="L415" s="258"/>
      <c r="M415" s="258"/>
      <c r="N415" s="258"/>
      <c r="O415" s="258"/>
      <c r="P415" s="258"/>
      <c r="Q415" s="258"/>
    </row>
    <row r="416" ht="15.75" customHeight="1">
      <c r="B416" s="258"/>
      <c r="C416" s="258"/>
      <c r="D416" s="258"/>
      <c r="E416" s="258"/>
      <c r="F416" s="258"/>
      <c r="G416" s="258"/>
      <c r="H416" s="258"/>
      <c r="I416" s="258"/>
      <c r="J416" s="258"/>
      <c r="K416" s="258"/>
      <c r="L416" s="258"/>
      <c r="M416" s="258"/>
      <c r="N416" s="258"/>
      <c r="O416" s="258"/>
      <c r="P416" s="258"/>
      <c r="Q416" s="258"/>
    </row>
    <row r="417" ht="15.75" customHeight="1">
      <c r="B417" s="258"/>
      <c r="C417" s="258"/>
      <c r="D417" s="258"/>
      <c r="E417" s="258"/>
      <c r="F417" s="258"/>
      <c r="G417" s="258"/>
      <c r="H417" s="258"/>
      <c r="I417" s="258"/>
      <c r="J417" s="258"/>
      <c r="K417" s="258"/>
      <c r="L417" s="258"/>
      <c r="M417" s="258"/>
      <c r="N417" s="258"/>
      <c r="O417" s="258"/>
      <c r="P417" s="258"/>
      <c r="Q417" s="258"/>
    </row>
    <row r="418" ht="15.75" customHeight="1">
      <c r="B418" s="258"/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</row>
    <row r="419" ht="15.75" customHeight="1">
      <c r="B419" s="258"/>
      <c r="C419" s="258"/>
      <c r="D419" s="258"/>
      <c r="E419" s="258"/>
      <c r="F419" s="258"/>
      <c r="G419" s="258"/>
      <c r="H419" s="258"/>
      <c r="I419" s="258"/>
      <c r="J419" s="258"/>
      <c r="K419" s="258"/>
      <c r="L419" s="258"/>
      <c r="M419" s="258"/>
      <c r="N419" s="258"/>
      <c r="O419" s="258"/>
      <c r="P419" s="258"/>
      <c r="Q419" s="258"/>
    </row>
    <row r="420" ht="15.75" customHeight="1">
      <c r="B420" s="258"/>
      <c r="C420" s="258"/>
      <c r="D420" s="258"/>
      <c r="E420" s="258"/>
      <c r="F420" s="258"/>
      <c r="G420" s="258"/>
      <c r="H420" s="258"/>
      <c r="I420" s="258"/>
      <c r="J420" s="258"/>
      <c r="K420" s="258"/>
      <c r="L420" s="258"/>
      <c r="M420" s="258"/>
      <c r="N420" s="258"/>
      <c r="O420" s="258"/>
      <c r="P420" s="258"/>
      <c r="Q420" s="258"/>
    </row>
    <row r="421" ht="15.75" customHeight="1">
      <c r="B421" s="258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258"/>
      <c r="P421" s="258"/>
      <c r="Q421" s="258"/>
    </row>
    <row r="422" ht="15.75" customHeight="1">
      <c r="B422" s="258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258"/>
      <c r="P422" s="258"/>
      <c r="Q422" s="258"/>
    </row>
    <row r="423" ht="15.75" customHeight="1">
      <c r="B423" s="258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258"/>
      <c r="P423" s="258"/>
      <c r="Q423" s="258"/>
    </row>
    <row r="424" ht="15.75" customHeight="1">
      <c r="B424" s="258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258"/>
      <c r="P424" s="258"/>
      <c r="Q424" s="258"/>
    </row>
    <row r="425" ht="15.75" customHeight="1">
      <c r="B425" s="258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258"/>
      <c r="P425" s="258"/>
      <c r="Q425" s="258"/>
    </row>
    <row r="426" ht="15.75" customHeight="1">
      <c r="B426" s="258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258"/>
      <c r="P426" s="258"/>
      <c r="Q426" s="258"/>
    </row>
    <row r="427" ht="15.75" customHeight="1">
      <c r="B427" s="258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258"/>
      <c r="P427" s="258"/>
      <c r="Q427" s="258"/>
    </row>
    <row r="428" ht="15.75" customHeight="1">
      <c r="B428" s="258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258"/>
      <c r="P428" s="258"/>
      <c r="Q428" s="258"/>
    </row>
    <row r="429" ht="15.75" customHeight="1">
      <c r="B429" s="258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258"/>
      <c r="P429" s="258"/>
      <c r="Q429" s="258"/>
    </row>
    <row r="430" ht="15.75" customHeight="1">
      <c r="B430" s="258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258"/>
      <c r="P430" s="258"/>
      <c r="Q430" s="258"/>
    </row>
    <row r="431" ht="15.75" customHeight="1">
      <c r="B431" s="258"/>
      <c r="C431" s="258"/>
      <c r="D431" s="258"/>
      <c r="E431" s="258"/>
      <c r="F431" s="258"/>
      <c r="G431" s="258"/>
      <c r="H431" s="258"/>
      <c r="I431" s="258"/>
      <c r="J431" s="258"/>
      <c r="K431" s="258"/>
      <c r="L431" s="258"/>
      <c r="M431" s="258"/>
      <c r="N431" s="258"/>
      <c r="O431" s="258"/>
      <c r="P431" s="258"/>
      <c r="Q431" s="258"/>
    </row>
    <row r="432" ht="15.75" customHeight="1">
      <c r="B432" s="258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N432" s="258"/>
      <c r="O432" s="258"/>
      <c r="P432" s="258"/>
      <c r="Q432" s="258"/>
    </row>
    <row r="433" ht="15.75" customHeight="1">
      <c r="B433" s="258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258"/>
    </row>
    <row r="434" ht="15.75" customHeight="1">
      <c r="B434" s="258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P434" s="258"/>
      <c r="Q434" s="258"/>
    </row>
    <row r="435" ht="15.75" customHeight="1">
      <c r="B435" s="258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258"/>
    </row>
    <row r="436" ht="15.75" customHeight="1">
      <c r="B436" s="258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258"/>
    </row>
    <row r="437" ht="15.75" customHeight="1">
      <c r="B437" s="258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258"/>
    </row>
    <row r="438" ht="15.75" customHeight="1">
      <c r="B438" s="258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258"/>
    </row>
    <row r="439" ht="15.75" customHeight="1">
      <c r="B439" s="258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258"/>
    </row>
    <row r="440" ht="15.75" customHeight="1">
      <c r="B440" s="258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258"/>
      <c r="Q440" s="258"/>
    </row>
    <row r="441" ht="15.75" customHeight="1">
      <c r="B441" s="258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 s="258"/>
      <c r="Q441" s="258"/>
    </row>
    <row r="442" ht="15.75" customHeight="1">
      <c r="B442" s="258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258"/>
      <c r="Q442" s="258"/>
    </row>
    <row r="443" ht="15.75" customHeight="1">
      <c r="B443" s="258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258"/>
    </row>
    <row r="444" ht="15.75" customHeight="1">
      <c r="B444" s="258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258"/>
    </row>
    <row r="445" ht="15.75" customHeight="1">
      <c r="B445" s="258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258"/>
    </row>
    <row r="446" ht="15.75" customHeight="1">
      <c r="B446" s="258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258"/>
    </row>
    <row r="447" ht="15.75" customHeight="1">
      <c r="B447" s="258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258"/>
    </row>
    <row r="448" ht="15.75" customHeight="1">
      <c r="B448" s="258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258"/>
    </row>
    <row r="449" ht="15.75" customHeight="1">
      <c r="B449" s="258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258"/>
    </row>
    <row r="450" ht="15.75" customHeight="1">
      <c r="B450" s="258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258"/>
      <c r="Q450" s="258"/>
    </row>
    <row r="451" ht="15.75" customHeight="1">
      <c r="B451" s="258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258"/>
    </row>
    <row r="452" ht="15.75" customHeight="1">
      <c r="B452" s="258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</row>
    <row r="453" ht="15.75" customHeight="1">
      <c r="B453" s="258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</row>
    <row r="454" ht="15.75" customHeight="1">
      <c r="B454" s="258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</row>
    <row r="455" ht="15.75" customHeight="1">
      <c r="B455" s="258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</row>
    <row r="456" ht="15.75" customHeight="1">
      <c r="B456" s="258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</row>
    <row r="457" ht="15.75" customHeight="1">
      <c r="B457" s="258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</row>
    <row r="458" ht="15.75" customHeight="1">
      <c r="B458" s="258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</row>
    <row r="459" ht="15.75" customHeight="1">
      <c r="B459" s="258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</row>
    <row r="460" ht="15.75" customHeight="1">
      <c r="B460" s="258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</row>
    <row r="461" ht="15.75" customHeight="1">
      <c r="B461" s="258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</row>
    <row r="462" ht="15.75" customHeight="1">
      <c r="B462" s="258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</row>
    <row r="463" ht="15.75" customHeight="1">
      <c r="B463" s="258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</row>
    <row r="464" ht="15.75" customHeight="1">
      <c r="B464" s="258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</row>
    <row r="465" ht="15.75" customHeight="1">
      <c r="B465" s="258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</row>
    <row r="466" ht="15.75" customHeight="1">
      <c r="B466" s="258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</row>
    <row r="467" ht="15.75" customHeight="1">
      <c r="B467" s="258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</row>
    <row r="468" ht="15.75" customHeight="1">
      <c r="B468" s="258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</row>
    <row r="469" ht="15.75" customHeight="1">
      <c r="B469" s="258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</row>
    <row r="470" ht="15.75" customHeight="1">
      <c r="B470" s="258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</row>
    <row r="471" ht="15.75" customHeight="1">
      <c r="B471" s="258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</row>
    <row r="472" ht="15.75" customHeight="1">
      <c r="B472" s="258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</row>
    <row r="473" ht="15.75" customHeight="1">
      <c r="B473" s="258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</row>
    <row r="474" ht="15.75" customHeight="1">
      <c r="B474" s="258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</row>
    <row r="475" ht="15.75" customHeight="1">
      <c r="B475" s="258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</row>
    <row r="476" ht="15.75" customHeight="1">
      <c r="B476" s="258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</row>
    <row r="477" ht="15.75" customHeight="1">
      <c r="B477" s="258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</row>
    <row r="478" ht="15.75" customHeight="1">
      <c r="B478" s="258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</row>
    <row r="479" ht="15.75" customHeight="1">
      <c r="B479" s="258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</row>
    <row r="480" ht="15.75" customHeight="1">
      <c r="B480" s="258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</row>
    <row r="481" ht="15.75" customHeight="1">
      <c r="B481" s="258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</row>
    <row r="482" ht="15.75" customHeight="1">
      <c r="B482" s="258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</row>
    <row r="483" ht="15.75" customHeight="1">
      <c r="B483" s="258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</row>
    <row r="484" ht="15.75" customHeight="1">
      <c r="B484" s="258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</row>
    <row r="485" ht="15.75" customHeight="1">
      <c r="B485" s="258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</row>
    <row r="486" ht="15.75" customHeight="1">
      <c r="B486" s="258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</row>
    <row r="487" ht="15.75" customHeight="1">
      <c r="B487" s="258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</row>
    <row r="488" ht="15.75" customHeight="1">
      <c r="B488" s="258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</row>
    <row r="489" ht="15.75" customHeight="1">
      <c r="B489" s="258"/>
      <c r="C489" s="258"/>
      <c r="D489" s="258"/>
      <c r="E489" s="258"/>
      <c r="F489" s="258"/>
      <c r="G489" s="258"/>
      <c r="H489" s="258"/>
      <c r="I489" s="258"/>
      <c r="J489" s="258"/>
      <c r="K489" s="258"/>
      <c r="L489" s="258"/>
      <c r="M489" s="258"/>
      <c r="N489" s="258"/>
      <c r="O489" s="258"/>
      <c r="P489" s="258"/>
      <c r="Q489" s="258"/>
    </row>
    <row r="490" ht="15.75" customHeight="1">
      <c r="B490" s="258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</row>
    <row r="491" ht="15.75" customHeight="1">
      <c r="B491" s="258"/>
      <c r="C491" s="258"/>
      <c r="D491" s="258"/>
      <c r="E491" s="258"/>
      <c r="F491" s="258"/>
      <c r="G491" s="258"/>
      <c r="H491" s="258"/>
      <c r="I491" s="258"/>
      <c r="J491" s="258"/>
      <c r="K491" s="258"/>
      <c r="L491" s="258"/>
      <c r="M491" s="258"/>
      <c r="N491" s="258"/>
      <c r="O491" s="258"/>
      <c r="P491" s="258"/>
      <c r="Q491" s="258"/>
    </row>
    <row r="492" ht="15.75" customHeight="1">
      <c r="B492" s="258"/>
      <c r="C492" s="258"/>
      <c r="D492" s="258"/>
      <c r="E492" s="258"/>
      <c r="F492" s="258"/>
      <c r="G492" s="258"/>
      <c r="H492" s="258"/>
      <c r="I492" s="258"/>
      <c r="J492" s="258"/>
      <c r="K492" s="258"/>
      <c r="L492" s="258"/>
      <c r="M492" s="258"/>
      <c r="N492" s="258"/>
      <c r="O492" s="258"/>
      <c r="P492" s="258"/>
      <c r="Q492" s="258"/>
    </row>
    <row r="493" ht="15.75" customHeight="1">
      <c r="B493" s="258"/>
      <c r="C493" s="258"/>
      <c r="D493" s="258"/>
      <c r="E493" s="258"/>
      <c r="F493" s="258"/>
      <c r="G493" s="258"/>
      <c r="H493" s="258"/>
      <c r="I493" s="258"/>
      <c r="J493" s="258"/>
      <c r="K493" s="258"/>
      <c r="L493" s="258"/>
      <c r="M493" s="258"/>
      <c r="N493" s="258"/>
      <c r="O493" s="258"/>
      <c r="P493" s="258"/>
      <c r="Q493" s="258"/>
    </row>
    <row r="494" ht="15.75" customHeight="1">
      <c r="B494" s="258"/>
      <c r="C494" s="258"/>
      <c r="D494" s="258"/>
      <c r="E494" s="258"/>
      <c r="F494" s="258"/>
      <c r="G494" s="258"/>
      <c r="H494" s="258"/>
      <c r="I494" s="258"/>
      <c r="J494" s="258"/>
      <c r="K494" s="258"/>
      <c r="L494" s="258"/>
      <c r="M494" s="258"/>
      <c r="N494" s="258"/>
      <c r="O494" s="258"/>
      <c r="P494" s="258"/>
      <c r="Q494" s="258"/>
    </row>
    <row r="495" ht="15.75" customHeight="1">
      <c r="B495" s="258"/>
      <c r="C495" s="258"/>
      <c r="D495" s="258"/>
      <c r="E495" s="258"/>
      <c r="F495" s="258"/>
      <c r="G495" s="258"/>
      <c r="H495" s="258"/>
      <c r="I495" s="258"/>
      <c r="J495" s="258"/>
      <c r="K495" s="258"/>
      <c r="L495" s="258"/>
      <c r="M495" s="258"/>
      <c r="N495" s="258"/>
      <c r="O495" s="258"/>
      <c r="P495" s="258"/>
      <c r="Q495" s="258"/>
    </row>
    <row r="496" ht="15.75" customHeight="1">
      <c r="B496" s="258"/>
      <c r="C496" s="258"/>
      <c r="D496" s="258"/>
      <c r="E496" s="258"/>
      <c r="F496" s="258"/>
      <c r="G496" s="258"/>
      <c r="H496" s="258"/>
      <c r="I496" s="258"/>
      <c r="J496" s="258"/>
      <c r="K496" s="258"/>
      <c r="L496" s="258"/>
      <c r="M496" s="258"/>
      <c r="N496" s="258"/>
      <c r="O496" s="258"/>
      <c r="P496" s="258"/>
      <c r="Q496" s="258"/>
    </row>
    <row r="497" ht="15.75" customHeight="1">
      <c r="B497" s="258"/>
      <c r="C497" s="258"/>
      <c r="D497" s="258"/>
      <c r="E497" s="258"/>
      <c r="F497" s="258"/>
      <c r="G497" s="258"/>
      <c r="H497" s="258"/>
      <c r="I497" s="258"/>
      <c r="J497" s="258"/>
      <c r="K497" s="258"/>
      <c r="L497" s="258"/>
      <c r="M497" s="258"/>
      <c r="N497" s="258"/>
      <c r="O497" s="258"/>
      <c r="P497" s="258"/>
      <c r="Q497" s="258"/>
    </row>
    <row r="498" ht="15.75" customHeight="1">
      <c r="B498" s="258"/>
      <c r="C498" s="258"/>
      <c r="D498" s="258"/>
      <c r="E498" s="258"/>
      <c r="F498" s="258"/>
      <c r="G498" s="258"/>
      <c r="H498" s="258"/>
      <c r="I498" s="258"/>
      <c r="J498" s="258"/>
      <c r="K498" s="258"/>
      <c r="L498" s="258"/>
      <c r="M498" s="258"/>
      <c r="N498" s="258"/>
      <c r="O498" s="258"/>
      <c r="P498" s="258"/>
      <c r="Q498" s="258"/>
    </row>
    <row r="499" ht="15.75" customHeight="1">
      <c r="B499" s="258"/>
      <c r="C499" s="258"/>
      <c r="D499" s="258"/>
      <c r="E499" s="258"/>
      <c r="F499" s="258"/>
      <c r="G499" s="258"/>
      <c r="H499" s="258"/>
      <c r="I499" s="258"/>
      <c r="J499" s="258"/>
      <c r="K499" s="258"/>
      <c r="L499" s="258"/>
      <c r="M499" s="258"/>
      <c r="N499" s="258"/>
      <c r="O499" s="258"/>
      <c r="P499" s="258"/>
      <c r="Q499" s="258"/>
    </row>
    <row r="500" ht="15.75" customHeight="1">
      <c r="B500" s="258"/>
      <c r="C500" s="258"/>
      <c r="D500" s="258"/>
      <c r="E500" s="258"/>
      <c r="F500" s="258"/>
      <c r="G500" s="258"/>
      <c r="H500" s="258"/>
      <c r="I500" s="258"/>
      <c r="J500" s="258"/>
      <c r="K500" s="258"/>
      <c r="L500" s="258"/>
      <c r="M500" s="258"/>
      <c r="N500" s="258"/>
      <c r="O500" s="258"/>
      <c r="P500" s="258"/>
      <c r="Q500" s="258"/>
    </row>
    <row r="501" ht="15.75" customHeight="1">
      <c r="B501" s="258"/>
      <c r="C501" s="258"/>
      <c r="D501" s="258"/>
      <c r="E501" s="258"/>
      <c r="F501" s="258"/>
      <c r="G501" s="258"/>
      <c r="H501" s="258"/>
      <c r="I501" s="258"/>
      <c r="J501" s="258"/>
      <c r="K501" s="258"/>
      <c r="L501" s="258"/>
      <c r="M501" s="258"/>
      <c r="N501" s="258"/>
      <c r="O501" s="258"/>
      <c r="P501" s="258"/>
      <c r="Q501" s="258"/>
    </row>
    <row r="502" ht="15.75" customHeight="1">
      <c r="B502" s="258"/>
      <c r="C502" s="258"/>
      <c r="D502" s="258"/>
      <c r="E502" s="258"/>
      <c r="F502" s="258"/>
      <c r="G502" s="258"/>
      <c r="H502" s="258"/>
      <c r="I502" s="258"/>
      <c r="J502" s="258"/>
      <c r="K502" s="258"/>
      <c r="L502" s="258"/>
      <c r="M502" s="258"/>
      <c r="N502" s="258"/>
      <c r="O502" s="258"/>
      <c r="P502" s="258"/>
      <c r="Q502" s="258"/>
    </row>
    <row r="503" ht="15.75" customHeight="1">
      <c r="B503" s="258"/>
      <c r="C503" s="258"/>
      <c r="D503" s="258"/>
      <c r="E503" s="258"/>
      <c r="F503" s="258"/>
      <c r="G503" s="258"/>
      <c r="H503" s="258"/>
      <c r="I503" s="258"/>
      <c r="J503" s="258"/>
      <c r="K503" s="258"/>
      <c r="L503" s="258"/>
      <c r="M503" s="258"/>
      <c r="N503" s="258"/>
      <c r="O503" s="258"/>
      <c r="P503" s="258"/>
      <c r="Q503" s="258"/>
    </row>
    <row r="504" ht="15.75" customHeight="1">
      <c r="B504" s="258"/>
      <c r="C504" s="258"/>
      <c r="D504" s="258"/>
      <c r="E504" s="258"/>
      <c r="F504" s="258"/>
      <c r="G504" s="258"/>
      <c r="H504" s="258"/>
      <c r="I504" s="258"/>
      <c r="J504" s="258"/>
      <c r="K504" s="258"/>
      <c r="L504" s="258"/>
      <c r="M504" s="258"/>
      <c r="N504" s="258"/>
      <c r="O504" s="258"/>
      <c r="P504" s="258"/>
      <c r="Q504" s="258"/>
    </row>
    <row r="505" ht="15.75" customHeight="1">
      <c r="B505" s="258"/>
      <c r="C505" s="258"/>
      <c r="D505" s="258"/>
      <c r="E505" s="258"/>
      <c r="F505" s="258"/>
      <c r="G505" s="258"/>
      <c r="H505" s="258"/>
      <c r="I505" s="258"/>
      <c r="J505" s="258"/>
      <c r="K505" s="258"/>
      <c r="L505" s="258"/>
      <c r="M505" s="258"/>
      <c r="N505" s="258"/>
      <c r="O505" s="258"/>
      <c r="P505" s="258"/>
      <c r="Q505" s="258"/>
    </row>
    <row r="506" ht="15.75" customHeight="1">
      <c r="B506" s="258"/>
      <c r="C506" s="258"/>
      <c r="D506" s="258"/>
      <c r="E506" s="258"/>
      <c r="F506" s="258"/>
      <c r="G506" s="258"/>
      <c r="H506" s="258"/>
      <c r="I506" s="258"/>
      <c r="J506" s="258"/>
      <c r="K506" s="258"/>
      <c r="L506" s="258"/>
      <c r="M506" s="258"/>
      <c r="N506" s="258"/>
      <c r="O506" s="258"/>
      <c r="P506" s="258"/>
      <c r="Q506" s="258"/>
    </row>
    <row r="507" ht="15.75" customHeight="1">
      <c r="B507" s="258"/>
      <c r="C507" s="258"/>
      <c r="D507" s="258"/>
      <c r="E507" s="258"/>
      <c r="F507" s="258"/>
      <c r="G507" s="258"/>
      <c r="H507" s="258"/>
      <c r="I507" s="258"/>
      <c r="J507" s="258"/>
      <c r="K507" s="258"/>
      <c r="L507" s="258"/>
      <c r="M507" s="258"/>
      <c r="N507" s="258"/>
      <c r="O507" s="258"/>
      <c r="P507" s="258"/>
      <c r="Q507" s="258"/>
    </row>
    <row r="508" ht="15.75" customHeight="1">
      <c r="B508" s="258"/>
      <c r="C508" s="258"/>
      <c r="D508" s="258"/>
      <c r="E508" s="258"/>
      <c r="F508" s="258"/>
      <c r="G508" s="258"/>
      <c r="H508" s="258"/>
      <c r="I508" s="258"/>
      <c r="J508" s="258"/>
      <c r="K508" s="258"/>
      <c r="L508" s="258"/>
      <c r="M508" s="258"/>
      <c r="N508" s="258"/>
      <c r="O508" s="258"/>
      <c r="P508" s="258"/>
      <c r="Q508" s="258"/>
    </row>
    <row r="509" ht="15.75" customHeight="1">
      <c r="B509" s="258"/>
      <c r="C509" s="258"/>
      <c r="D509" s="258"/>
      <c r="E509" s="258"/>
      <c r="F509" s="258"/>
      <c r="G509" s="258"/>
      <c r="H509" s="258"/>
      <c r="I509" s="258"/>
      <c r="J509" s="258"/>
      <c r="K509" s="258"/>
      <c r="L509" s="258"/>
      <c r="M509" s="258"/>
      <c r="N509" s="258"/>
      <c r="O509" s="258"/>
      <c r="P509" s="258"/>
      <c r="Q509" s="258"/>
    </row>
    <row r="510" ht="15.75" customHeight="1">
      <c r="B510" s="258"/>
      <c r="C510" s="258"/>
      <c r="D510" s="258"/>
      <c r="E510" s="258"/>
      <c r="F510" s="258"/>
      <c r="G510" s="258"/>
      <c r="H510" s="258"/>
      <c r="I510" s="258"/>
      <c r="J510" s="258"/>
      <c r="K510" s="258"/>
      <c r="L510" s="258"/>
      <c r="M510" s="258"/>
      <c r="N510" s="258"/>
      <c r="O510" s="258"/>
      <c r="P510" s="258"/>
      <c r="Q510" s="258"/>
    </row>
    <row r="511" ht="15.75" customHeight="1">
      <c r="B511" s="258"/>
      <c r="C511" s="258"/>
      <c r="D511" s="258"/>
      <c r="E511" s="258"/>
      <c r="F511" s="258"/>
      <c r="G511" s="258"/>
      <c r="H511" s="258"/>
      <c r="I511" s="258"/>
      <c r="J511" s="258"/>
      <c r="K511" s="258"/>
      <c r="L511" s="258"/>
      <c r="M511" s="258"/>
      <c r="N511" s="258"/>
      <c r="O511" s="258"/>
      <c r="P511" s="258"/>
      <c r="Q511" s="258"/>
    </row>
    <row r="512" ht="15.75" customHeight="1">
      <c r="B512" s="258"/>
      <c r="C512" s="258"/>
      <c r="D512" s="258"/>
      <c r="E512" s="258"/>
      <c r="F512" s="258"/>
      <c r="G512" s="258"/>
      <c r="H512" s="258"/>
      <c r="I512" s="258"/>
      <c r="J512" s="258"/>
      <c r="K512" s="258"/>
      <c r="L512" s="258"/>
      <c r="M512" s="258"/>
      <c r="N512" s="258"/>
      <c r="O512" s="258"/>
      <c r="P512" s="258"/>
      <c r="Q512" s="258"/>
    </row>
    <row r="513" ht="15.75" customHeight="1">
      <c r="B513" s="258"/>
      <c r="C513" s="258"/>
      <c r="D513" s="258"/>
      <c r="E513" s="258"/>
      <c r="F513" s="258"/>
      <c r="G513" s="258"/>
      <c r="H513" s="258"/>
      <c r="I513" s="258"/>
      <c r="J513" s="258"/>
      <c r="K513" s="258"/>
      <c r="L513" s="258"/>
      <c r="M513" s="258"/>
      <c r="N513" s="258"/>
      <c r="O513" s="258"/>
      <c r="P513" s="258"/>
      <c r="Q513" s="258"/>
    </row>
    <row r="514" ht="15.75" customHeight="1">
      <c r="B514" s="258"/>
      <c r="C514" s="258"/>
      <c r="D514" s="258"/>
      <c r="E514" s="258"/>
      <c r="F514" s="258"/>
      <c r="G514" s="258"/>
      <c r="H514" s="258"/>
      <c r="I514" s="258"/>
      <c r="J514" s="258"/>
      <c r="K514" s="258"/>
      <c r="L514" s="258"/>
      <c r="M514" s="258"/>
      <c r="N514" s="258"/>
      <c r="O514" s="258"/>
      <c r="P514" s="258"/>
      <c r="Q514" s="258"/>
    </row>
    <row r="515" ht="15.75" customHeight="1">
      <c r="B515" s="258"/>
      <c r="C515" s="258"/>
      <c r="D515" s="258"/>
      <c r="E515" s="258"/>
      <c r="F515" s="258"/>
      <c r="G515" s="258"/>
      <c r="H515" s="258"/>
      <c r="I515" s="258"/>
      <c r="J515" s="258"/>
      <c r="K515" s="258"/>
      <c r="L515" s="258"/>
      <c r="M515" s="258"/>
      <c r="N515" s="258"/>
      <c r="O515" s="258"/>
      <c r="P515" s="258"/>
      <c r="Q515" s="258"/>
    </row>
    <row r="516" ht="15.75" customHeight="1">
      <c r="B516" s="258"/>
      <c r="C516" s="258"/>
      <c r="D516" s="258"/>
      <c r="E516" s="258"/>
      <c r="F516" s="258"/>
      <c r="G516" s="258"/>
      <c r="H516" s="258"/>
      <c r="I516" s="258"/>
      <c r="J516" s="258"/>
      <c r="K516" s="258"/>
      <c r="L516" s="258"/>
      <c r="M516" s="258"/>
      <c r="N516" s="258"/>
      <c r="O516" s="258"/>
      <c r="P516" s="258"/>
      <c r="Q516" s="258"/>
    </row>
    <row r="517" ht="15.75" customHeight="1">
      <c r="B517" s="258"/>
      <c r="C517" s="258"/>
      <c r="D517" s="258"/>
      <c r="E517" s="258"/>
      <c r="F517" s="258"/>
      <c r="G517" s="258"/>
      <c r="H517" s="258"/>
      <c r="I517" s="258"/>
      <c r="J517" s="258"/>
      <c r="K517" s="258"/>
      <c r="L517" s="258"/>
      <c r="M517" s="258"/>
      <c r="N517" s="258"/>
      <c r="O517" s="258"/>
      <c r="P517" s="258"/>
      <c r="Q517" s="258"/>
    </row>
    <row r="518" ht="15.75" customHeight="1">
      <c r="B518" s="258"/>
      <c r="C518" s="258"/>
      <c r="D518" s="258"/>
      <c r="E518" s="258"/>
      <c r="F518" s="258"/>
      <c r="G518" s="258"/>
      <c r="H518" s="258"/>
      <c r="I518" s="258"/>
      <c r="J518" s="258"/>
      <c r="K518" s="258"/>
      <c r="L518" s="258"/>
      <c r="M518" s="258"/>
      <c r="N518" s="258"/>
      <c r="O518" s="258"/>
      <c r="P518" s="258"/>
      <c r="Q518" s="258"/>
    </row>
    <row r="519" ht="15.75" customHeight="1">
      <c r="B519" s="258"/>
      <c r="C519" s="258"/>
      <c r="D519" s="258"/>
      <c r="E519" s="258"/>
      <c r="F519" s="258"/>
      <c r="G519" s="258"/>
      <c r="H519" s="258"/>
      <c r="I519" s="258"/>
      <c r="J519" s="258"/>
      <c r="K519" s="258"/>
      <c r="L519" s="258"/>
      <c r="M519" s="258"/>
      <c r="N519" s="258"/>
      <c r="O519" s="258"/>
      <c r="P519" s="258"/>
      <c r="Q519" s="258"/>
    </row>
    <row r="520" ht="15.75" customHeight="1">
      <c r="B520" s="258"/>
      <c r="C520" s="258"/>
      <c r="D520" s="258"/>
      <c r="E520" s="258"/>
      <c r="F520" s="258"/>
      <c r="G520" s="258"/>
      <c r="H520" s="258"/>
      <c r="I520" s="258"/>
      <c r="J520" s="258"/>
      <c r="K520" s="258"/>
      <c r="L520" s="258"/>
      <c r="M520" s="258"/>
      <c r="N520" s="258"/>
      <c r="O520" s="258"/>
      <c r="P520" s="258"/>
      <c r="Q520" s="258"/>
    </row>
    <row r="521" ht="15.75" customHeight="1">
      <c r="B521" s="258"/>
      <c r="C521" s="258"/>
      <c r="D521" s="258"/>
      <c r="E521" s="258"/>
      <c r="F521" s="258"/>
      <c r="G521" s="258"/>
      <c r="H521" s="258"/>
      <c r="I521" s="258"/>
      <c r="J521" s="258"/>
      <c r="K521" s="258"/>
      <c r="L521" s="258"/>
      <c r="M521" s="258"/>
      <c r="N521" s="258"/>
      <c r="O521" s="258"/>
      <c r="P521" s="258"/>
      <c r="Q521" s="258"/>
    </row>
    <row r="522" ht="15.75" customHeight="1">
      <c r="B522" s="258"/>
      <c r="C522" s="258"/>
      <c r="D522" s="258"/>
      <c r="E522" s="258"/>
      <c r="F522" s="258"/>
      <c r="G522" s="258"/>
      <c r="H522" s="258"/>
      <c r="I522" s="258"/>
      <c r="J522" s="258"/>
      <c r="K522" s="258"/>
      <c r="L522" s="258"/>
      <c r="M522" s="258"/>
      <c r="N522" s="258"/>
      <c r="O522" s="258"/>
      <c r="P522" s="258"/>
      <c r="Q522" s="258"/>
    </row>
    <row r="523" ht="15.75" customHeight="1">
      <c r="B523" s="258"/>
      <c r="C523" s="258"/>
      <c r="D523" s="258"/>
      <c r="E523" s="258"/>
      <c r="F523" s="258"/>
      <c r="G523" s="258"/>
      <c r="H523" s="258"/>
      <c r="I523" s="258"/>
      <c r="J523" s="258"/>
      <c r="K523" s="258"/>
      <c r="L523" s="258"/>
      <c r="M523" s="258"/>
      <c r="N523" s="258"/>
      <c r="O523" s="258"/>
      <c r="P523" s="258"/>
      <c r="Q523" s="258"/>
    </row>
    <row r="524" ht="15.75" customHeight="1">
      <c r="B524" s="258"/>
      <c r="C524" s="258"/>
      <c r="D524" s="258"/>
      <c r="E524" s="258"/>
      <c r="F524" s="258"/>
      <c r="G524" s="258"/>
      <c r="H524" s="258"/>
      <c r="I524" s="258"/>
      <c r="J524" s="258"/>
      <c r="K524" s="258"/>
      <c r="L524" s="258"/>
      <c r="M524" s="258"/>
      <c r="N524" s="258"/>
      <c r="O524" s="258"/>
      <c r="P524" s="258"/>
      <c r="Q524" s="258"/>
    </row>
    <row r="525" ht="15.75" customHeight="1">
      <c r="B525" s="258"/>
      <c r="C525" s="258"/>
      <c r="D525" s="258"/>
      <c r="E525" s="258"/>
      <c r="F525" s="258"/>
      <c r="G525" s="258"/>
      <c r="H525" s="258"/>
      <c r="I525" s="258"/>
      <c r="J525" s="258"/>
      <c r="K525" s="258"/>
      <c r="L525" s="258"/>
      <c r="M525" s="258"/>
      <c r="N525" s="258"/>
      <c r="O525" s="258"/>
      <c r="P525" s="258"/>
      <c r="Q525" s="258"/>
    </row>
    <row r="526" ht="15.75" customHeight="1">
      <c r="B526" s="258"/>
      <c r="C526" s="258"/>
      <c r="D526" s="258"/>
      <c r="E526" s="258"/>
      <c r="F526" s="258"/>
      <c r="G526" s="258"/>
      <c r="H526" s="258"/>
      <c r="I526" s="258"/>
      <c r="J526" s="258"/>
      <c r="K526" s="258"/>
      <c r="L526" s="258"/>
      <c r="M526" s="258"/>
      <c r="N526" s="258"/>
      <c r="O526" s="258"/>
      <c r="P526" s="258"/>
      <c r="Q526" s="258"/>
    </row>
    <row r="527" ht="15.75" customHeight="1">
      <c r="B527" s="258"/>
      <c r="C527" s="258"/>
      <c r="D527" s="258"/>
      <c r="E527" s="258"/>
      <c r="F527" s="258"/>
      <c r="G527" s="258"/>
      <c r="H527" s="258"/>
      <c r="I527" s="258"/>
      <c r="J527" s="258"/>
      <c r="K527" s="258"/>
      <c r="L527" s="258"/>
      <c r="M527" s="258"/>
      <c r="N527" s="258"/>
      <c r="O527" s="258"/>
      <c r="P527" s="258"/>
      <c r="Q527" s="258"/>
    </row>
    <row r="528" ht="15.75" customHeight="1">
      <c r="B528" s="258"/>
      <c r="C528" s="258"/>
      <c r="D528" s="258"/>
      <c r="E528" s="258"/>
      <c r="F528" s="258"/>
      <c r="G528" s="258"/>
      <c r="H528" s="258"/>
      <c r="I528" s="258"/>
      <c r="J528" s="258"/>
      <c r="K528" s="258"/>
      <c r="L528" s="258"/>
      <c r="M528" s="258"/>
      <c r="N528" s="258"/>
      <c r="O528" s="258"/>
      <c r="P528" s="258"/>
      <c r="Q528" s="258"/>
    </row>
    <row r="529" ht="15.75" customHeight="1">
      <c r="B529" s="258"/>
      <c r="C529" s="258"/>
      <c r="D529" s="258"/>
      <c r="E529" s="258"/>
      <c r="F529" s="258"/>
      <c r="G529" s="258"/>
      <c r="H529" s="258"/>
      <c r="I529" s="258"/>
      <c r="J529" s="258"/>
      <c r="K529" s="258"/>
      <c r="L529" s="258"/>
      <c r="M529" s="258"/>
      <c r="N529" s="258"/>
      <c r="O529" s="258"/>
      <c r="P529" s="258"/>
      <c r="Q529" s="258"/>
    </row>
    <row r="530" ht="15.75" customHeight="1">
      <c r="B530" s="258"/>
      <c r="C530" s="258"/>
      <c r="D530" s="258"/>
      <c r="E530" s="258"/>
      <c r="F530" s="258"/>
      <c r="G530" s="258"/>
      <c r="H530" s="258"/>
      <c r="I530" s="258"/>
      <c r="J530" s="258"/>
      <c r="K530" s="258"/>
      <c r="L530" s="258"/>
      <c r="M530" s="258"/>
      <c r="N530" s="258"/>
      <c r="O530" s="258"/>
      <c r="P530" s="258"/>
      <c r="Q530" s="258"/>
    </row>
    <row r="531" ht="15.75" customHeight="1">
      <c r="B531" s="258"/>
      <c r="C531" s="258"/>
      <c r="D531" s="258"/>
      <c r="E531" s="258"/>
      <c r="F531" s="258"/>
      <c r="G531" s="258"/>
      <c r="H531" s="258"/>
      <c r="I531" s="258"/>
      <c r="J531" s="258"/>
      <c r="K531" s="258"/>
      <c r="L531" s="258"/>
      <c r="M531" s="258"/>
      <c r="N531" s="258"/>
      <c r="O531" s="258"/>
      <c r="P531" s="258"/>
      <c r="Q531" s="258"/>
    </row>
    <row r="532" ht="15.75" customHeight="1">
      <c r="B532" s="258"/>
      <c r="C532" s="258"/>
      <c r="D532" s="258"/>
      <c r="E532" s="258"/>
      <c r="F532" s="258"/>
      <c r="G532" s="258"/>
      <c r="H532" s="258"/>
      <c r="I532" s="258"/>
      <c r="J532" s="258"/>
      <c r="K532" s="258"/>
      <c r="L532" s="258"/>
      <c r="M532" s="258"/>
      <c r="N532" s="258"/>
      <c r="O532" s="258"/>
      <c r="P532" s="258"/>
      <c r="Q532" s="258"/>
    </row>
    <row r="533" ht="15.75" customHeight="1">
      <c r="B533" s="258"/>
      <c r="C533" s="258"/>
      <c r="D533" s="258"/>
      <c r="E533" s="258"/>
      <c r="F533" s="258"/>
      <c r="G533" s="258"/>
      <c r="H533" s="258"/>
      <c r="I533" s="258"/>
      <c r="J533" s="258"/>
      <c r="K533" s="258"/>
      <c r="L533" s="258"/>
      <c r="M533" s="258"/>
      <c r="N533" s="258"/>
      <c r="O533" s="258"/>
      <c r="P533" s="258"/>
      <c r="Q533" s="258"/>
    </row>
    <row r="534" ht="15.75" customHeight="1">
      <c r="B534" s="258"/>
      <c r="C534" s="258"/>
      <c r="D534" s="258"/>
      <c r="E534" s="258"/>
      <c r="F534" s="258"/>
      <c r="G534" s="258"/>
      <c r="H534" s="258"/>
      <c r="I534" s="258"/>
      <c r="J534" s="258"/>
      <c r="K534" s="258"/>
      <c r="L534" s="258"/>
      <c r="M534" s="258"/>
      <c r="N534" s="258"/>
      <c r="O534" s="258"/>
      <c r="P534" s="258"/>
      <c r="Q534" s="258"/>
    </row>
    <row r="535" ht="15.75" customHeight="1">
      <c r="B535" s="258"/>
      <c r="C535" s="258"/>
      <c r="D535" s="258"/>
      <c r="E535" s="258"/>
      <c r="F535" s="258"/>
      <c r="G535" s="258"/>
      <c r="H535" s="258"/>
      <c r="I535" s="258"/>
      <c r="J535" s="258"/>
      <c r="K535" s="258"/>
      <c r="L535" s="258"/>
      <c r="M535" s="258"/>
      <c r="N535" s="258"/>
      <c r="O535" s="258"/>
      <c r="P535" s="258"/>
      <c r="Q535" s="258"/>
    </row>
    <row r="536" ht="15.75" customHeight="1">
      <c r="B536" s="258"/>
      <c r="C536" s="258"/>
      <c r="D536" s="258"/>
      <c r="E536" s="258"/>
      <c r="F536" s="258"/>
      <c r="G536" s="258"/>
      <c r="H536" s="258"/>
      <c r="I536" s="258"/>
      <c r="J536" s="258"/>
      <c r="K536" s="258"/>
      <c r="L536" s="258"/>
      <c r="M536" s="258"/>
      <c r="N536" s="258"/>
      <c r="O536" s="258"/>
      <c r="P536" s="258"/>
      <c r="Q536" s="258"/>
    </row>
    <row r="537" ht="15.75" customHeight="1">
      <c r="B537" s="258"/>
      <c r="C537" s="258"/>
      <c r="D537" s="258"/>
      <c r="E537" s="258"/>
      <c r="F537" s="258"/>
      <c r="G537" s="258"/>
      <c r="H537" s="258"/>
      <c r="I537" s="258"/>
      <c r="J537" s="258"/>
      <c r="K537" s="258"/>
      <c r="L537" s="258"/>
      <c r="M537" s="258"/>
      <c r="N537" s="258"/>
      <c r="O537" s="258"/>
      <c r="P537" s="258"/>
      <c r="Q537" s="258"/>
    </row>
    <row r="538" ht="15.75" customHeight="1">
      <c r="B538" s="258"/>
      <c r="C538" s="258"/>
      <c r="D538" s="258"/>
      <c r="E538" s="258"/>
      <c r="F538" s="258"/>
      <c r="G538" s="258"/>
      <c r="H538" s="258"/>
      <c r="I538" s="258"/>
      <c r="J538" s="258"/>
      <c r="K538" s="258"/>
      <c r="L538" s="258"/>
      <c r="M538" s="258"/>
      <c r="N538" s="258"/>
      <c r="O538" s="258"/>
      <c r="P538" s="258"/>
      <c r="Q538" s="258"/>
    </row>
    <row r="539" ht="15.75" customHeight="1">
      <c r="B539" s="258"/>
      <c r="C539" s="258"/>
      <c r="D539" s="258"/>
      <c r="E539" s="258"/>
      <c r="F539" s="258"/>
      <c r="G539" s="258"/>
      <c r="H539" s="258"/>
      <c r="I539" s="258"/>
      <c r="J539" s="258"/>
      <c r="K539" s="258"/>
      <c r="L539" s="258"/>
      <c r="M539" s="258"/>
      <c r="N539" s="258"/>
      <c r="O539" s="258"/>
      <c r="P539" s="258"/>
      <c r="Q539" s="258"/>
    </row>
    <row r="540" ht="15.75" customHeight="1">
      <c r="B540" s="258"/>
      <c r="C540" s="258"/>
      <c r="D540" s="258"/>
      <c r="E540" s="258"/>
      <c r="F540" s="258"/>
      <c r="G540" s="258"/>
      <c r="H540" s="258"/>
      <c r="I540" s="258"/>
      <c r="J540" s="258"/>
      <c r="K540" s="258"/>
      <c r="L540" s="258"/>
      <c r="M540" s="258"/>
      <c r="N540" s="258"/>
      <c r="O540" s="258"/>
      <c r="P540" s="258"/>
      <c r="Q540" s="258"/>
    </row>
    <row r="541" ht="15.75" customHeight="1">
      <c r="B541" s="258"/>
      <c r="C541" s="258"/>
      <c r="D541" s="258"/>
      <c r="E541" s="258"/>
      <c r="F541" s="258"/>
      <c r="G541" s="258"/>
      <c r="H541" s="258"/>
      <c r="I541" s="258"/>
      <c r="J541" s="258"/>
      <c r="K541" s="258"/>
      <c r="L541" s="258"/>
      <c r="M541" s="258"/>
      <c r="N541" s="258"/>
      <c r="O541" s="258"/>
      <c r="P541" s="258"/>
      <c r="Q541" s="258"/>
    </row>
    <row r="542" ht="15.75" customHeight="1">
      <c r="B542" s="258"/>
      <c r="C542" s="258"/>
      <c r="D542" s="258"/>
      <c r="E542" s="258"/>
      <c r="F542" s="258"/>
      <c r="G542" s="258"/>
      <c r="H542" s="258"/>
      <c r="I542" s="258"/>
      <c r="J542" s="258"/>
      <c r="K542" s="258"/>
      <c r="L542" s="258"/>
      <c r="M542" s="258"/>
      <c r="N542" s="258"/>
      <c r="O542" s="258"/>
      <c r="P542" s="258"/>
      <c r="Q542" s="258"/>
    </row>
    <row r="543" ht="15.75" customHeight="1">
      <c r="B543" s="258"/>
      <c r="C543" s="258"/>
      <c r="D543" s="258"/>
      <c r="E543" s="258"/>
      <c r="F543" s="258"/>
      <c r="G543" s="258"/>
      <c r="H543" s="258"/>
      <c r="I543" s="258"/>
      <c r="J543" s="258"/>
      <c r="K543" s="258"/>
      <c r="L543" s="258"/>
      <c r="M543" s="258"/>
      <c r="N543" s="258"/>
      <c r="O543" s="258"/>
      <c r="P543" s="258"/>
      <c r="Q543" s="258"/>
    </row>
    <row r="544" ht="15.75" customHeight="1">
      <c r="B544" s="258"/>
      <c r="C544" s="258"/>
      <c r="D544" s="258"/>
      <c r="E544" s="258"/>
      <c r="F544" s="258"/>
      <c r="G544" s="258"/>
      <c r="H544" s="258"/>
      <c r="I544" s="258"/>
      <c r="J544" s="258"/>
      <c r="K544" s="258"/>
      <c r="L544" s="258"/>
      <c r="M544" s="258"/>
      <c r="N544" s="258"/>
      <c r="O544" s="258"/>
      <c r="P544" s="258"/>
      <c r="Q544" s="258"/>
    </row>
    <row r="545" ht="15.75" customHeight="1">
      <c r="B545" s="258"/>
      <c r="C545" s="258"/>
      <c r="D545" s="258"/>
      <c r="E545" s="258"/>
      <c r="F545" s="258"/>
      <c r="G545" s="258"/>
      <c r="H545" s="258"/>
      <c r="I545" s="258"/>
      <c r="J545" s="258"/>
      <c r="K545" s="258"/>
      <c r="L545" s="258"/>
      <c r="M545" s="258"/>
      <c r="N545" s="258"/>
      <c r="O545" s="258"/>
      <c r="P545" s="258"/>
      <c r="Q545" s="258"/>
    </row>
    <row r="546" ht="15.75" customHeight="1">
      <c r="B546" s="258"/>
      <c r="C546" s="258"/>
      <c r="D546" s="258"/>
      <c r="E546" s="258"/>
      <c r="F546" s="258"/>
      <c r="G546" s="258"/>
      <c r="H546" s="258"/>
      <c r="I546" s="258"/>
      <c r="J546" s="258"/>
      <c r="K546" s="258"/>
      <c r="L546" s="258"/>
      <c r="M546" s="258"/>
      <c r="N546" s="258"/>
      <c r="O546" s="258"/>
      <c r="P546" s="258"/>
      <c r="Q546" s="258"/>
    </row>
    <row r="547" ht="15.75" customHeight="1">
      <c r="B547" s="258"/>
      <c r="C547" s="258"/>
      <c r="D547" s="258"/>
      <c r="E547" s="258"/>
      <c r="F547" s="258"/>
      <c r="G547" s="258"/>
      <c r="H547" s="258"/>
      <c r="I547" s="258"/>
      <c r="J547" s="258"/>
      <c r="K547" s="258"/>
      <c r="L547" s="258"/>
      <c r="M547" s="258"/>
      <c r="N547" s="258"/>
      <c r="O547" s="258"/>
      <c r="P547" s="258"/>
      <c r="Q547" s="258"/>
    </row>
    <row r="548" ht="15.75" customHeight="1">
      <c r="B548" s="258"/>
      <c r="C548" s="258"/>
      <c r="D548" s="258"/>
      <c r="E548" s="258"/>
      <c r="F548" s="258"/>
      <c r="G548" s="258"/>
      <c r="H548" s="258"/>
      <c r="I548" s="258"/>
      <c r="J548" s="258"/>
      <c r="K548" s="258"/>
      <c r="L548" s="258"/>
      <c r="M548" s="258"/>
      <c r="N548" s="258"/>
      <c r="O548" s="258"/>
      <c r="P548" s="258"/>
      <c r="Q548" s="258"/>
    </row>
    <row r="549" ht="15.75" customHeight="1">
      <c r="B549" s="258"/>
      <c r="C549" s="258"/>
      <c r="D549" s="258"/>
      <c r="E549" s="258"/>
      <c r="F549" s="258"/>
      <c r="G549" s="258"/>
      <c r="H549" s="258"/>
      <c r="I549" s="258"/>
      <c r="J549" s="258"/>
      <c r="K549" s="258"/>
      <c r="L549" s="258"/>
      <c r="M549" s="258"/>
      <c r="N549" s="258"/>
      <c r="O549" s="258"/>
      <c r="P549" s="258"/>
      <c r="Q549" s="258"/>
    </row>
    <row r="550" ht="15.75" customHeight="1">
      <c r="B550" s="258"/>
      <c r="C550" s="258"/>
      <c r="D550" s="258"/>
      <c r="E550" s="258"/>
      <c r="F550" s="258"/>
      <c r="G550" s="258"/>
      <c r="H550" s="258"/>
      <c r="I550" s="258"/>
      <c r="J550" s="258"/>
      <c r="K550" s="258"/>
      <c r="L550" s="258"/>
      <c r="M550" s="258"/>
      <c r="N550" s="258"/>
      <c r="O550" s="258"/>
      <c r="P550" s="258"/>
      <c r="Q550" s="258"/>
    </row>
    <row r="551" ht="15.75" customHeight="1">
      <c r="B551" s="258"/>
      <c r="C551" s="258"/>
      <c r="D551" s="258"/>
      <c r="E551" s="258"/>
      <c r="F551" s="258"/>
      <c r="G551" s="258"/>
      <c r="H551" s="258"/>
      <c r="I551" s="258"/>
      <c r="J551" s="258"/>
      <c r="K551" s="258"/>
      <c r="L551" s="258"/>
      <c r="M551" s="258"/>
      <c r="N551" s="258"/>
      <c r="O551" s="258"/>
      <c r="P551" s="258"/>
      <c r="Q551" s="258"/>
    </row>
    <row r="552" ht="15.75" customHeight="1">
      <c r="B552" s="258"/>
      <c r="C552" s="258"/>
      <c r="D552" s="258"/>
      <c r="E552" s="258"/>
      <c r="F552" s="258"/>
      <c r="G552" s="258"/>
      <c r="H552" s="258"/>
      <c r="I552" s="258"/>
      <c r="J552" s="258"/>
      <c r="K552" s="258"/>
      <c r="L552" s="258"/>
      <c r="M552" s="258"/>
      <c r="N552" s="258"/>
      <c r="O552" s="258"/>
      <c r="P552" s="258"/>
      <c r="Q552" s="258"/>
    </row>
    <row r="553" ht="15.75" customHeight="1">
      <c r="B553" s="258"/>
      <c r="C553" s="258"/>
      <c r="D553" s="258"/>
      <c r="E553" s="258"/>
      <c r="F553" s="258"/>
      <c r="G553" s="258"/>
      <c r="H553" s="258"/>
      <c r="I553" s="258"/>
      <c r="J553" s="258"/>
      <c r="K553" s="258"/>
      <c r="L553" s="258"/>
      <c r="M553" s="258"/>
      <c r="N553" s="258"/>
      <c r="O553" s="258"/>
      <c r="P553" s="258"/>
      <c r="Q553" s="258"/>
    </row>
    <row r="554" ht="15.75" customHeight="1">
      <c r="B554" s="258"/>
      <c r="C554" s="258"/>
      <c r="D554" s="258"/>
      <c r="E554" s="258"/>
      <c r="F554" s="258"/>
      <c r="G554" s="258"/>
      <c r="H554" s="258"/>
      <c r="I554" s="258"/>
      <c r="J554" s="258"/>
      <c r="K554" s="258"/>
      <c r="L554" s="258"/>
      <c r="M554" s="258"/>
      <c r="N554" s="258"/>
      <c r="O554" s="258"/>
      <c r="P554" s="258"/>
      <c r="Q554" s="258"/>
    </row>
    <row r="555" ht="15.75" customHeight="1">
      <c r="B555" s="258"/>
      <c r="C555" s="258"/>
      <c r="D555" s="258"/>
      <c r="E555" s="258"/>
      <c r="F555" s="258"/>
      <c r="G555" s="258"/>
      <c r="H555" s="258"/>
      <c r="I555" s="258"/>
      <c r="J555" s="258"/>
      <c r="K555" s="258"/>
      <c r="L555" s="258"/>
      <c r="M555" s="258"/>
      <c r="N555" s="258"/>
      <c r="O555" s="258"/>
      <c r="P555" s="258"/>
      <c r="Q555" s="258"/>
    </row>
    <row r="556" ht="15.75" customHeight="1">
      <c r="B556" s="258"/>
      <c r="C556" s="258"/>
      <c r="D556" s="258"/>
      <c r="E556" s="258"/>
      <c r="F556" s="258"/>
      <c r="G556" s="258"/>
      <c r="H556" s="258"/>
      <c r="I556" s="258"/>
      <c r="J556" s="258"/>
      <c r="K556" s="258"/>
      <c r="L556" s="258"/>
      <c r="M556" s="258"/>
      <c r="N556" s="258"/>
      <c r="O556" s="258"/>
      <c r="P556" s="258"/>
      <c r="Q556" s="258"/>
    </row>
    <row r="557" ht="15.75" customHeight="1">
      <c r="B557" s="258"/>
      <c r="C557" s="258"/>
      <c r="D557" s="258"/>
      <c r="E557" s="258"/>
      <c r="F557" s="258"/>
      <c r="G557" s="258"/>
      <c r="H557" s="258"/>
      <c r="I557" s="258"/>
      <c r="J557" s="258"/>
      <c r="K557" s="258"/>
      <c r="L557" s="258"/>
      <c r="M557" s="258"/>
      <c r="N557" s="258"/>
      <c r="O557" s="258"/>
      <c r="P557" s="258"/>
      <c r="Q557" s="258"/>
    </row>
    <row r="558" ht="15.75" customHeight="1">
      <c r="B558" s="258"/>
      <c r="C558" s="258"/>
      <c r="D558" s="258"/>
      <c r="E558" s="258"/>
      <c r="F558" s="258"/>
      <c r="G558" s="258"/>
      <c r="H558" s="258"/>
      <c r="I558" s="258"/>
      <c r="J558" s="258"/>
      <c r="K558" s="258"/>
      <c r="L558" s="258"/>
      <c r="M558" s="258"/>
      <c r="N558" s="258"/>
      <c r="O558" s="258"/>
      <c r="P558" s="258"/>
      <c r="Q558" s="258"/>
    </row>
    <row r="559" ht="15.75" customHeight="1">
      <c r="B559" s="258"/>
      <c r="C559" s="258"/>
      <c r="D559" s="258"/>
      <c r="E559" s="258"/>
      <c r="F559" s="258"/>
      <c r="G559" s="258"/>
      <c r="H559" s="258"/>
      <c r="I559" s="258"/>
      <c r="J559" s="258"/>
      <c r="K559" s="258"/>
      <c r="L559" s="258"/>
      <c r="M559" s="258"/>
      <c r="N559" s="258"/>
      <c r="O559" s="258"/>
      <c r="P559" s="258"/>
      <c r="Q559" s="258"/>
    </row>
    <row r="560" ht="15.75" customHeight="1">
      <c r="B560" s="258"/>
      <c r="C560" s="258"/>
      <c r="D560" s="258"/>
      <c r="E560" s="258"/>
      <c r="F560" s="258"/>
      <c r="G560" s="258"/>
      <c r="H560" s="258"/>
      <c r="I560" s="258"/>
      <c r="J560" s="258"/>
      <c r="K560" s="258"/>
      <c r="L560" s="258"/>
      <c r="M560" s="258"/>
      <c r="N560" s="258"/>
      <c r="O560" s="258"/>
      <c r="P560" s="258"/>
      <c r="Q560" s="258"/>
    </row>
    <row r="561" ht="15.75" customHeight="1">
      <c r="B561" s="258"/>
      <c r="C561" s="258"/>
      <c r="D561" s="258"/>
      <c r="E561" s="258"/>
      <c r="F561" s="258"/>
      <c r="G561" s="258"/>
      <c r="H561" s="258"/>
      <c r="I561" s="258"/>
      <c r="J561" s="258"/>
      <c r="K561" s="258"/>
      <c r="L561" s="258"/>
      <c r="M561" s="258"/>
      <c r="N561" s="258"/>
      <c r="O561" s="258"/>
      <c r="P561" s="258"/>
      <c r="Q561" s="258"/>
    </row>
    <row r="562" ht="15.75" customHeight="1">
      <c r="B562" s="258"/>
      <c r="C562" s="258"/>
      <c r="D562" s="258"/>
      <c r="E562" s="258"/>
      <c r="F562" s="258"/>
      <c r="G562" s="258"/>
      <c r="H562" s="258"/>
      <c r="I562" s="258"/>
      <c r="J562" s="258"/>
      <c r="K562" s="258"/>
      <c r="L562" s="258"/>
      <c r="M562" s="258"/>
      <c r="N562" s="258"/>
      <c r="O562" s="258"/>
      <c r="P562" s="258"/>
      <c r="Q562" s="258"/>
    </row>
    <row r="563" ht="15.75" customHeight="1">
      <c r="B563" s="258"/>
      <c r="C563" s="258"/>
      <c r="D563" s="258"/>
      <c r="E563" s="258"/>
      <c r="F563" s="258"/>
      <c r="G563" s="258"/>
      <c r="H563" s="258"/>
      <c r="I563" s="258"/>
      <c r="J563" s="258"/>
      <c r="K563" s="258"/>
      <c r="L563" s="258"/>
      <c r="M563" s="258"/>
      <c r="N563" s="258"/>
      <c r="O563" s="258"/>
      <c r="P563" s="258"/>
      <c r="Q563" s="258"/>
    </row>
    <row r="564" ht="15.75" customHeight="1">
      <c r="B564" s="258"/>
      <c r="C564" s="258"/>
      <c r="D564" s="258"/>
      <c r="E564" s="258"/>
      <c r="F564" s="258"/>
      <c r="G564" s="258"/>
      <c r="H564" s="258"/>
      <c r="I564" s="258"/>
      <c r="J564" s="258"/>
      <c r="K564" s="258"/>
      <c r="L564" s="258"/>
      <c r="M564" s="258"/>
      <c r="N564" s="258"/>
      <c r="O564" s="258"/>
      <c r="P564" s="258"/>
      <c r="Q564" s="258"/>
    </row>
    <row r="565" ht="15.75" customHeight="1">
      <c r="B565" s="258"/>
      <c r="C565" s="258"/>
      <c r="D565" s="258"/>
      <c r="E565" s="258"/>
      <c r="F565" s="258"/>
      <c r="G565" s="258"/>
      <c r="H565" s="258"/>
      <c r="I565" s="258"/>
      <c r="J565" s="258"/>
      <c r="K565" s="258"/>
      <c r="L565" s="258"/>
      <c r="M565" s="258"/>
      <c r="N565" s="258"/>
      <c r="O565" s="258"/>
      <c r="P565" s="258"/>
      <c r="Q565" s="258"/>
    </row>
    <row r="566" ht="15.75" customHeight="1">
      <c r="B566" s="258"/>
      <c r="C566" s="258"/>
      <c r="D566" s="258"/>
      <c r="E566" s="258"/>
      <c r="F566" s="258"/>
      <c r="G566" s="258"/>
      <c r="H566" s="258"/>
      <c r="I566" s="258"/>
      <c r="J566" s="258"/>
      <c r="K566" s="258"/>
      <c r="L566" s="258"/>
      <c r="M566" s="258"/>
      <c r="N566" s="258"/>
      <c r="O566" s="258"/>
      <c r="P566" s="258"/>
      <c r="Q566" s="258"/>
    </row>
    <row r="567" ht="15.75" customHeight="1">
      <c r="B567" s="258"/>
      <c r="C567" s="258"/>
      <c r="D567" s="258"/>
      <c r="E567" s="258"/>
      <c r="F567" s="258"/>
      <c r="G567" s="258"/>
      <c r="H567" s="258"/>
      <c r="I567" s="258"/>
      <c r="J567" s="258"/>
      <c r="K567" s="258"/>
      <c r="L567" s="258"/>
      <c r="M567" s="258"/>
      <c r="N567" s="258"/>
      <c r="O567" s="258"/>
      <c r="P567" s="258"/>
      <c r="Q567" s="258"/>
    </row>
    <row r="568" ht="15.75" customHeight="1">
      <c r="B568" s="258"/>
      <c r="C568" s="258"/>
      <c r="D568" s="258"/>
      <c r="E568" s="258"/>
      <c r="F568" s="258"/>
      <c r="G568" s="258"/>
      <c r="H568" s="258"/>
      <c r="I568" s="258"/>
      <c r="J568" s="258"/>
      <c r="K568" s="258"/>
      <c r="L568" s="258"/>
      <c r="M568" s="258"/>
      <c r="N568" s="258"/>
      <c r="O568" s="258"/>
      <c r="P568" s="258"/>
      <c r="Q568" s="258"/>
    </row>
    <row r="569" ht="15.75" customHeight="1">
      <c r="B569" s="258"/>
      <c r="C569" s="258"/>
      <c r="D569" s="258"/>
      <c r="E569" s="258"/>
      <c r="F569" s="258"/>
      <c r="G569" s="258"/>
      <c r="H569" s="258"/>
      <c r="I569" s="258"/>
      <c r="J569" s="258"/>
      <c r="K569" s="258"/>
      <c r="L569" s="258"/>
      <c r="M569" s="258"/>
      <c r="N569" s="258"/>
      <c r="O569" s="258"/>
      <c r="P569" s="258"/>
      <c r="Q569" s="258"/>
    </row>
    <row r="570" ht="15.75" customHeight="1">
      <c r="B570" s="258"/>
      <c r="C570" s="258"/>
      <c r="D570" s="258"/>
      <c r="E570" s="258"/>
      <c r="F570" s="258"/>
      <c r="G570" s="258"/>
      <c r="H570" s="258"/>
      <c r="I570" s="258"/>
      <c r="J570" s="258"/>
      <c r="K570" s="258"/>
      <c r="L570" s="258"/>
      <c r="M570" s="258"/>
      <c r="N570" s="258"/>
      <c r="O570" s="258"/>
      <c r="P570" s="258"/>
      <c r="Q570" s="258"/>
    </row>
    <row r="571" ht="15.75" customHeight="1">
      <c r="B571" s="258"/>
      <c r="C571" s="258"/>
      <c r="D571" s="258"/>
      <c r="E571" s="258"/>
      <c r="F571" s="258"/>
      <c r="G571" s="258"/>
      <c r="H571" s="258"/>
      <c r="I571" s="258"/>
      <c r="J571" s="258"/>
      <c r="K571" s="258"/>
      <c r="L571" s="258"/>
      <c r="M571" s="258"/>
      <c r="N571" s="258"/>
      <c r="O571" s="258"/>
      <c r="P571" s="258"/>
      <c r="Q571" s="258"/>
    </row>
    <row r="572" ht="15.75" customHeight="1">
      <c r="B572" s="258"/>
      <c r="C572" s="258"/>
      <c r="D572" s="258"/>
      <c r="E572" s="258"/>
      <c r="F572" s="258"/>
      <c r="G572" s="258"/>
      <c r="H572" s="258"/>
      <c r="I572" s="258"/>
      <c r="J572" s="258"/>
      <c r="K572" s="258"/>
      <c r="L572" s="258"/>
      <c r="M572" s="258"/>
      <c r="N572" s="258"/>
      <c r="O572" s="258"/>
      <c r="P572" s="258"/>
      <c r="Q572" s="258"/>
    </row>
    <row r="573" ht="15.75" customHeight="1">
      <c r="B573" s="258"/>
      <c r="C573" s="258"/>
      <c r="D573" s="258"/>
      <c r="E573" s="258"/>
      <c r="F573" s="258"/>
      <c r="G573" s="258"/>
      <c r="H573" s="258"/>
      <c r="I573" s="258"/>
      <c r="J573" s="258"/>
      <c r="K573" s="258"/>
      <c r="L573" s="258"/>
      <c r="M573" s="258"/>
      <c r="N573" s="258"/>
      <c r="O573" s="258"/>
      <c r="P573" s="258"/>
      <c r="Q573" s="258"/>
    </row>
    <row r="574" ht="15.75" customHeight="1">
      <c r="B574" s="258"/>
      <c r="C574" s="258"/>
      <c r="D574" s="258"/>
      <c r="E574" s="258"/>
      <c r="F574" s="258"/>
      <c r="G574" s="258"/>
      <c r="H574" s="258"/>
      <c r="I574" s="258"/>
      <c r="J574" s="258"/>
      <c r="K574" s="258"/>
      <c r="L574" s="258"/>
      <c r="M574" s="258"/>
      <c r="N574" s="258"/>
      <c r="O574" s="258"/>
      <c r="P574" s="258"/>
      <c r="Q574" s="258"/>
    </row>
    <row r="575" ht="15.75" customHeight="1">
      <c r="B575" s="258"/>
      <c r="C575" s="258"/>
      <c r="D575" s="258"/>
      <c r="E575" s="258"/>
      <c r="F575" s="258"/>
      <c r="G575" s="258"/>
      <c r="H575" s="258"/>
      <c r="I575" s="258"/>
      <c r="J575" s="258"/>
      <c r="K575" s="258"/>
      <c r="L575" s="258"/>
      <c r="M575" s="258"/>
      <c r="N575" s="258"/>
      <c r="O575" s="258"/>
      <c r="P575" s="258"/>
      <c r="Q575" s="258"/>
    </row>
    <row r="576" ht="15.75" customHeight="1">
      <c r="B576" s="258"/>
      <c r="C576" s="258"/>
      <c r="D576" s="258"/>
      <c r="E576" s="258"/>
      <c r="F576" s="258"/>
      <c r="G576" s="258"/>
      <c r="H576" s="258"/>
      <c r="I576" s="258"/>
      <c r="J576" s="258"/>
      <c r="K576" s="258"/>
      <c r="L576" s="258"/>
      <c r="M576" s="258"/>
      <c r="N576" s="258"/>
      <c r="O576" s="258"/>
      <c r="P576" s="258"/>
      <c r="Q576" s="258"/>
    </row>
    <row r="577" ht="15.75" customHeight="1">
      <c r="B577" s="258"/>
      <c r="C577" s="258"/>
      <c r="D577" s="258"/>
      <c r="E577" s="258"/>
      <c r="F577" s="258"/>
      <c r="G577" s="258"/>
      <c r="H577" s="258"/>
      <c r="I577" s="258"/>
      <c r="J577" s="258"/>
      <c r="K577" s="258"/>
      <c r="L577" s="258"/>
      <c r="M577" s="258"/>
      <c r="N577" s="258"/>
      <c r="O577" s="258"/>
      <c r="P577" s="258"/>
      <c r="Q577" s="258"/>
    </row>
    <row r="578" ht="15.75" customHeight="1">
      <c r="B578" s="258"/>
      <c r="C578" s="258"/>
      <c r="D578" s="258"/>
      <c r="E578" s="258"/>
      <c r="F578" s="258"/>
      <c r="G578" s="258"/>
      <c r="H578" s="258"/>
      <c r="I578" s="258"/>
      <c r="J578" s="258"/>
      <c r="K578" s="258"/>
      <c r="L578" s="258"/>
      <c r="M578" s="258"/>
      <c r="N578" s="258"/>
      <c r="O578" s="258"/>
      <c r="P578" s="258"/>
      <c r="Q578" s="258"/>
    </row>
    <row r="579" ht="15.75" customHeight="1">
      <c r="B579" s="258"/>
      <c r="C579" s="258"/>
      <c r="D579" s="258"/>
      <c r="E579" s="258"/>
      <c r="F579" s="258"/>
      <c r="G579" s="258"/>
      <c r="H579" s="258"/>
      <c r="I579" s="258"/>
      <c r="J579" s="258"/>
      <c r="K579" s="258"/>
      <c r="L579" s="258"/>
      <c r="M579" s="258"/>
      <c r="N579" s="258"/>
      <c r="O579" s="258"/>
      <c r="P579" s="258"/>
      <c r="Q579" s="258"/>
    </row>
    <row r="580" ht="15.75" customHeight="1">
      <c r="B580" s="258"/>
      <c r="C580" s="258"/>
      <c r="D580" s="258"/>
      <c r="E580" s="258"/>
      <c r="F580" s="258"/>
      <c r="G580" s="258"/>
      <c r="H580" s="258"/>
      <c r="I580" s="258"/>
      <c r="J580" s="258"/>
      <c r="K580" s="258"/>
      <c r="L580" s="258"/>
      <c r="M580" s="258"/>
      <c r="N580" s="258"/>
      <c r="O580" s="258"/>
      <c r="P580" s="258"/>
      <c r="Q580" s="258"/>
    </row>
    <row r="581" ht="15.75" customHeight="1">
      <c r="B581" s="258"/>
      <c r="C581" s="258"/>
      <c r="D581" s="258"/>
      <c r="E581" s="258"/>
      <c r="F581" s="258"/>
      <c r="G581" s="258"/>
      <c r="H581" s="258"/>
      <c r="I581" s="258"/>
      <c r="J581" s="258"/>
      <c r="K581" s="258"/>
      <c r="L581" s="258"/>
      <c r="M581" s="258"/>
      <c r="N581" s="258"/>
      <c r="O581" s="258"/>
      <c r="P581" s="258"/>
      <c r="Q581" s="258"/>
    </row>
    <row r="582" ht="15.75" customHeight="1">
      <c r="B582" s="258"/>
      <c r="C582" s="258"/>
      <c r="D582" s="258"/>
      <c r="E582" s="258"/>
      <c r="F582" s="258"/>
      <c r="G582" s="258"/>
      <c r="H582" s="258"/>
      <c r="I582" s="258"/>
      <c r="J582" s="258"/>
      <c r="K582" s="258"/>
      <c r="L582" s="258"/>
      <c r="M582" s="258"/>
      <c r="N582" s="258"/>
      <c r="O582" s="258"/>
      <c r="P582" s="258"/>
      <c r="Q582" s="258"/>
    </row>
    <row r="583" ht="15.75" customHeight="1">
      <c r="B583" s="258"/>
      <c r="C583" s="258"/>
      <c r="D583" s="258"/>
      <c r="E583" s="258"/>
      <c r="F583" s="258"/>
      <c r="G583" s="258"/>
      <c r="H583" s="258"/>
      <c r="I583" s="258"/>
      <c r="J583" s="258"/>
      <c r="K583" s="258"/>
      <c r="L583" s="258"/>
      <c r="M583" s="258"/>
      <c r="N583" s="258"/>
      <c r="O583" s="258"/>
      <c r="P583" s="258"/>
      <c r="Q583" s="258"/>
    </row>
    <row r="584" ht="15.75" customHeight="1">
      <c r="B584" s="258"/>
      <c r="C584" s="258"/>
      <c r="D584" s="258"/>
      <c r="E584" s="258"/>
      <c r="F584" s="258"/>
      <c r="G584" s="258"/>
      <c r="H584" s="258"/>
      <c r="I584" s="258"/>
      <c r="J584" s="258"/>
      <c r="K584" s="258"/>
      <c r="L584" s="258"/>
      <c r="M584" s="258"/>
      <c r="N584" s="258"/>
      <c r="O584" s="258"/>
      <c r="P584" s="258"/>
      <c r="Q584" s="258"/>
    </row>
    <row r="585" ht="15.75" customHeight="1">
      <c r="B585" s="258"/>
      <c r="C585" s="258"/>
      <c r="D585" s="258"/>
      <c r="E585" s="258"/>
      <c r="F585" s="258"/>
      <c r="G585" s="258"/>
      <c r="H585" s="258"/>
      <c r="I585" s="258"/>
      <c r="J585" s="258"/>
      <c r="K585" s="258"/>
      <c r="L585" s="258"/>
      <c r="M585" s="258"/>
      <c r="N585" s="258"/>
      <c r="O585" s="258"/>
      <c r="P585" s="258"/>
      <c r="Q585" s="258"/>
    </row>
    <row r="586" ht="15.75" customHeight="1">
      <c r="B586" s="258"/>
      <c r="C586" s="258"/>
      <c r="D586" s="258"/>
      <c r="E586" s="258"/>
      <c r="F586" s="258"/>
      <c r="G586" s="258"/>
      <c r="H586" s="258"/>
      <c r="I586" s="258"/>
      <c r="J586" s="258"/>
      <c r="K586" s="258"/>
      <c r="L586" s="258"/>
      <c r="M586" s="258"/>
      <c r="N586" s="258"/>
      <c r="O586" s="258"/>
      <c r="P586" s="258"/>
      <c r="Q586" s="258"/>
    </row>
    <row r="587" ht="15.75" customHeight="1">
      <c r="B587" s="258"/>
      <c r="C587" s="258"/>
      <c r="D587" s="258"/>
      <c r="E587" s="258"/>
      <c r="F587" s="258"/>
      <c r="G587" s="258"/>
      <c r="H587" s="258"/>
      <c r="I587" s="258"/>
      <c r="J587" s="258"/>
      <c r="K587" s="258"/>
      <c r="L587" s="258"/>
      <c r="M587" s="258"/>
      <c r="N587" s="258"/>
      <c r="O587" s="258"/>
      <c r="P587" s="258"/>
      <c r="Q587" s="258"/>
    </row>
    <row r="588" ht="15.75" customHeight="1">
      <c r="B588" s="258"/>
      <c r="C588" s="258"/>
      <c r="D588" s="258"/>
      <c r="E588" s="258"/>
      <c r="F588" s="258"/>
      <c r="G588" s="258"/>
      <c r="H588" s="258"/>
      <c r="I588" s="258"/>
      <c r="J588" s="258"/>
      <c r="K588" s="258"/>
      <c r="L588" s="258"/>
      <c r="M588" s="258"/>
      <c r="N588" s="258"/>
      <c r="O588" s="258"/>
      <c r="P588" s="258"/>
      <c r="Q588" s="258"/>
    </row>
    <row r="589" ht="15.75" customHeight="1">
      <c r="B589" s="258"/>
      <c r="C589" s="258"/>
      <c r="D589" s="258"/>
      <c r="E589" s="258"/>
      <c r="F589" s="258"/>
      <c r="G589" s="258"/>
      <c r="H589" s="258"/>
      <c r="I589" s="258"/>
      <c r="J589" s="258"/>
      <c r="K589" s="258"/>
      <c r="L589" s="258"/>
      <c r="M589" s="258"/>
      <c r="N589" s="258"/>
      <c r="O589" s="258"/>
      <c r="P589" s="258"/>
      <c r="Q589" s="258"/>
    </row>
    <row r="590" ht="15.75" customHeight="1">
      <c r="B590" s="258"/>
      <c r="C590" s="258"/>
      <c r="D590" s="258"/>
      <c r="E590" s="258"/>
      <c r="F590" s="258"/>
      <c r="G590" s="258"/>
      <c r="H590" s="258"/>
      <c r="I590" s="258"/>
      <c r="J590" s="258"/>
      <c r="K590" s="258"/>
      <c r="L590" s="258"/>
      <c r="M590" s="258"/>
      <c r="N590" s="258"/>
      <c r="O590" s="258"/>
      <c r="P590" s="258"/>
      <c r="Q590" s="258"/>
    </row>
    <row r="591" ht="15.75" customHeight="1">
      <c r="B591" s="258"/>
      <c r="C591" s="258"/>
      <c r="D591" s="258"/>
      <c r="E591" s="258"/>
      <c r="F591" s="258"/>
      <c r="G591" s="258"/>
      <c r="H591" s="258"/>
      <c r="I591" s="258"/>
      <c r="J591" s="258"/>
      <c r="K591" s="258"/>
      <c r="L591" s="258"/>
      <c r="M591" s="258"/>
      <c r="N591" s="258"/>
      <c r="O591" s="258"/>
      <c r="P591" s="258"/>
      <c r="Q591" s="258"/>
    </row>
    <row r="592" ht="15.75" customHeight="1">
      <c r="B592" s="258"/>
      <c r="C592" s="258"/>
      <c r="D592" s="258"/>
      <c r="E592" s="258"/>
      <c r="F592" s="258"/>
      <c r="G592" s="258"/>
      <c r="H592" s="258"/>
      <c r="I592" s="258"/>
      <c r="J592" s="258"/>
      <c r="K592" s="258"/>
      <c r="L592" s="258"/>
      <c r="M592" s="258"/>
      <c r="N592" s="258"/>
      <c r="O592" s="258"/>
      <c r="P592" s="258"/>
      <c r="Q592" s="258"/>
    </row>
    <row r="593" ht="15.75" customHeight="1">
      <c r="B593" s="258"/>
      <c r="C593" s="258"/>
      <c r="D593" s="258"/>
      <c r="E593" s="258"/>
      <c r="F593" s="258"/>
      <c r="G593" s="258"/>
      <c r="H593" s="258"/>
      <c r="I593" s="258"/>
      <c r="J593" s="258"/>
      <c r="K593" s="258"/>
      <c r="L593" s="258"/>
      <c r="M593" s="258"/>
      <c r="N593" s="258"/>
      <c r="O593" s="258"/>
      <c r="P593" s="258"/>
      <c r="Q593" s="258"/>
    </row>
    <row r="594" ht="15.75" customHeight="1">
      <c r="B594" s="258"/>
      <c r="C594" s="258"/>
      <c r="D594" s="258"/>
      <c r="E594" s="258"/>
      <c r="F594" s="258"/>
      <c r="G594" s="258"/>
      <c r="H594" s="258"/>
      <c r="I594" s="258"/>
      <c r="J594" s="258"/>
      <c r="K594" s="258"/>
      <c r="L594" s="258"/>
      <c r="M594" s="258"/>
      <c r="N594" s="258"/>
      <c r="O594" s="258"/>
      <c r="P594" s="258"/>
      <c r="Q594" s="258"/>
    </row>
    <row r="595" ht="15.75" customHeight="1">
      <c r="B595" s="258"/>
      <c r="C595" s="258"/>
      <c r="D595" s="258"/>
      <c r="E595" s="258"/>
      <c r="F595" s="258"/>
      <c r="G595" s="258"/>
      <c r="H595" s="258"/>
      <c r="I595" s="258"/>
      <c r="J595" s="258"/>
      <c r="K595" s="258"/>
      <c r="L595" s="258"/>
      <c r="M595" s="258"/>
      <c r="N595" s="258"/>
      <c r="O595" s="258"/>
      <c r="P595" s="258"/>
      <c r="Q595" s="258"/>
    </row>
    <row r="596" ht="15.75" customHeight="1">
      <c r="B596" s="258"/>
      <c r="C596" s="258"/>
      <c r="D596" s="258"/>
      <c r="E596" s="258"/>
      <c r="F596" s="258"/>
      <c r="G596" s="258"/>
      <c r="H596" s="258"/>
      <c r="I596" s="258"/>
      <c r="J596" s="258"/>
      <c r="K596" s="258"/>
      <c r="L596" s="258"/>
      <c r="M596" s="258"/>
      <c r="N596" s="258"/>
      <c r="O596" s="258"/>
      <c r="P596" s="258"/>
      <c r="Q596" s="258"/>
    </row>
    <row r="597" ht="15.75" customHeight="1">
      <c r="B597" s="258"/>
      <c r="C597" s="258"/>
      <c r="D597" s="258"/>
      <c r="E597" s="258"/>
      <c r="F597" s="258"/>
      <c r="G597" s="258"/>
      <c r="H597" s="258"/>
      <c r="I597" s="258"/>
      <c r="J597" s="258"/>
      <c r="K597" s="258"/>
      <c r="L597" s="258"/>
      <c r="M597" s="258"/>
      <c r="N597" s="258"/>
      <c r="O597" s="258"/>
      <c r="P597" s="258"/>
      <c r="Q597" s="258"/>
    </row>
    <row r="598" ht="15.75" customHeight="1">
      <c r="B598" s="258"/>
      <c r="C598" s="258"/>
      <c r="D598" s="258"/>
      <c r="E598" s="258"/>
      <c r="F598" s="258"/>
      <c r="G598" s="258"/>
      <c r="H598" s="258"/>
      <c r="I598" s="258"/>
      <c r="J598" s="258"/>
      <c r="K598" s="258"/>
      <c r="L598" s="258"/>
      <c r="M598" s="258"/>
      <c r="N598" s="258"/>
      <c r="O598" s="258"/>
      <c r="P598" s="258"/>
      <c r="Q598" s="258"/>
    </row>
    <row r="599" ht="15.75" customHeight="1">
      <c r="B599" s="258"/>
      <c r="C599" s="258"/>
      <c r="D599" s="258"/>
      <c r="E599" s="258"/>
      <c r="F599" s="258"/>
      <c r="G599" s="258"/>
      <c r="H599" s="258"/>
      <c r="I599" s="258"/>
      <c r="J599" s="258"/>
      <c r="K599" s="258"/>
      <c r="L599" s="258"/>
      <c r="M599" s="258"/>
      <c r="N599" s="258"/>
      <c r="O599" s="258"/>
      <c r="P599" s="258"/>
      <c r="Q599" s="258"/>
    </row>
    <row r="600" ht="15.75" customHeight="1">
      <c r="B600" s="258"/>
      <c r="C600" s="258"/>
      <c r="D600" s="258"/>
      <c r="E600" s="258"/>
      <c r="F600" s="258"/>
      <c r="G600" s="258"/>
      <c r="H600" s="258"/>
      <c r="I600" s="258"/>
      <c r="J600" s="258"/>
      <c r="K600" s="258"/>
      <c r="L600" s="258"/>
      <c r="M600" s="258"/>
      <c r="N600" s="258"/>
      <c r="O600" s="258"/>
      <c r="P600" s="258"/>
      <c r="Q600" s="258"/>
    </row>
    <row r="601" ht="15.75" customHeight="1">
      <c r="B601" s="258"/>
      <c r="C601" s="258"/>
      <c r="D601" s="258"/>
      <c r="E601" s="258"/>
      <c r="F601" s="258"/>
      <c r="G601" s="258"/>
      <c r="H601" s="258"/>
      <c r="I601" s="258"/>
      <c r="J601" s="258"/>
      <c r="K601" s="258"/>
      <c r="L601" s="258"/>
      <c r="M601" s="258"/>
      <c r="N601" s="258"/>
      <c r="O601" s="258"/>
      <c r="P601" s="258"/>
      <c r="Q601" s="258"/>
    </row>
    <row r="602" ht="15.75" customHeight="1">
      <c r="B602" s="258"/>
      <c r="C602" s="258"/>
      <c r="D602" s="258"/>
      <c r="E602" s="258"/>
      <c r="F602" s="258"/>
      <c r="G602" s="258"/>
      <c r="H602" s="258"/>
      <c r="I602" s="258"/>
      <c r="J602" s="258"/>
      <c r="K602" s="258"/>
      <c r="L602" s="258"/>
      <c r="M602" s="258"/>
      <c r="N602" s="258"/>
      <c r="O602" s="258"/>
      <c r="P602" s="258"/>
      <c r="Q602" s="258"/>
    </row>
    <row r="603" ht="15.75" customHeight="1">
      <c r="B603" s="258"/>
      <c r="C603" s="258"/>
      <c r="D603" s="258"/>
      <c r="E603" s="258"/>
      <c r="F603" s="258"/>
      <c r="G603" s="258"/>
      <c r="H603" s="258"/>
      <c r="I603" s="258"/>
      <c r="J603" s="258"/>
      <c r="K603" s="258"/>
      <c r="L603" s="258"/>
      <c r="M603" s="258"/>
      <c r="N603" s="258"/>
      <c r="O603" s="258"/>
      <c r="P603" s="258"/>
      <c r="Q603" s="258"/>
    </row>
    <row r="604" ht="15.75" customHeight="1">
      <c r="B604" s="258"/>
      <c r="C604" s="258"/>
      <c r="D604" s="258"/>
      <c r="E604" s="258"/>
      <c r="F604" s="258"/>
      <c r="G604" s="258"/>
      <c r="H604" s="258"/>
      <c r="I604" s="258"/>
      <c r="J604" s="258"/>
      <c r="K604" s="258"/>
      <c r="L604" s="258"/>
      <c r="M604" s="258"/>
      <c r="N604" s="258"/>
      <c r="O604" s="258"/>
      <c r="P604" s="258"/>
      <c r="Q604" s="258"/>
    </row>
    <row r="605" ht="15.75" customHeight="1">
      <c r="B605" s="258"/>
      <c r="C605" s="258"/>
      <c r="D605" s="258"/>
      <c r="E605" s="258"/>
      <c r="F605" s="258"/>
      <c r="G605" s="258"/>
      <c r="H605" s="258"/>
      <c r="I605" s="258"/>
      <c r="J605" s="258"/>
      <c r="K605" s="258"/>
      <c r="L605" s="258"/>
      <c r="M605" s="258"/>
      <c r="N605" s="258"/>
      <c r="O605" s="258"/>
      <c r="P605" s="258"/>
      <c r="Q605" s="258"/>
    </row>
    <row r="606" ht="15.75" customHeight="1">
      <c r="B606" s="258"/>
      <c r="C606" s="258"/>
      <c r="D606" s="258"/>
      <c r="E606" s="258"/>
      <c r="F606" s="258"/>
      <c r="G606" s="258"/>
      <c r="H606" s="258"/>
      <c r="I606" s="258"/>
      <c r="J606" s="258"/>
      <c r="K606" s="258"/>
      <c r="L606" s="258"/>
      <c r="M606" s="258"/>
      <c r="N606" s="258"/>
      <c r="O606" s="258"/>
      <c r="P606" s="258"/>
      <c r="Q606" s="258"/>
    </row>
    <row r="607" ht="15.75" customHeight="1">
      <c r="B607" s="258"/>
      <c r="C607" s="258"/>
      <c r="D607" s="258"/>
      <c r="E607" s="258"/>
      <c r="F607" s="258"/>
      <c r="G607" s="258"/>
      <c r="H607" s="258"/>
      <c r="I607" s="258"/>
      <c r="J607" s="258"/>
      <c r="K607" s="258"/>
      <c r="L607" s="258"/>
      <c r="M607" s="258"/>
      <c r="N607" s="258"/>
      <c r="O607" s="258"/>
      <c r="P607" s="258"/>
      <c r="Q607" s="258"/>
    </row>
    <row r="608" ht="15.75" customHeight="1">
      <c r="B608" s="258"/>
      <c r="C608" s="258"/>
      <c r="D608" s="258"/>
      <c r="E608" s="258"/>
      <c r="F608" s="258"/>
      <c r="G608" s="258"/>
      <c r="H608" s="258"/>
      <c r="I608" s="258"/>
      <c r="J608" s="258"/>
      <c r="K608" s="258"/>
      <c r="L608" s="258"/>
      <c r="M608" s="258"/>
      <c r="N608" s="258"/>
      <c r="O608" s="258"/>
      <c r="P608" s="258"/>
      <c r="Q608" s="258"/>
    </row>
    <row r="609" ht="15.75" customHeight="1">
      <c r="B609" s="258"/>
      <c r="C609" s="258"/>
      <c r="D609" s="258"/>
      <c r="E609" s="258"/>
      <c r="F609" s="258"/>
      <c r="G609" s="258"/>
      <c r="H609" s="258"/>
      <c r="I609" s="258"/>
      <c r="J609" s="258"/>
      <c r="K609" s="258"/>
      <c r="L609" s="258"/>
      <c r="M609" s="258"/>
      <c r="N609" s="258"/>
      <c r="O609" s="258"/>
      <c r="P609" s="258"/>
      <c r="Q609" s="258"/>
    </row>
    <row r="610" ht="15.75" customHeight="1">
      <c r="B610" s="258"/>
      <c r="C610" s="258"/>
      <c r="D610" s="258"/>
      <c r="E610" s="258"/>
      <c r="F610" s="258"/>
      <c r="G610" s="258"/>
      <c r="H610" s="258"/>
      <c r="I610" s="258"/>
      <c r="J610" s="258"/>
      <c r="K610" s="258"/>
      <c r="L610" s="258"/>
      <c r="M610" s="258"/>
      <c r="N610" s="258"/>
      <c r="O610" s="258"/>
      <c r="P610" s="258"/>
      <c r="Q610" s="258"/>
    </row>
    <row r="611" ht="15.75" customHeight="1">
      <c r="B611" s="258"/>
      <c r="C611" s="258"/>
      <c r="D611" s="258"/>
      <c r="E611" s="258"/>
      <c r="F611" s="258"/>
      <c r="G611" s="258"/>
      <c r="H611" s="258"/>
      <c r="I611" s="258"/>
      <c r="J611" s="258"/>
      <c r="K611" s="258"/>
      <c r="L611" s="258"/>
      <c r="M611" s="258"/>
      <c r="N611" s="258"/>
      <c r="O611" s="258"/>
      <c r="P611" s="258"/>
      <c r="Q611" s="258"/>
    </row>
    <row r="612" ht="15.75" customHeight="1">
      <c r="B612" s="258"/>
      <c r="C612" s="258"/>
      <c r="D612" s="258"/>
      <c r="E612" s="258"/>
      <c r="F612" s="258"/>
      <c r="G612" s="258"/>
      <c r="H612" s="258"/>
      <c r="I612" s="258"/>
      <c r="J612" s="258"/>
      <c r="K612" s="258"/>
      <c r="L612" s="258"/>
      <c r="M612" s="258"/>
      <c r="N612" s="258"/>
      <c r="O612" s="258"/>
      <c r="P612" s="258"/>
      <c r="Q612" s="258"/>
    </row>
    <row r="613" ht="15.75" customHeight="1">
      <c r="B613" s="258"/>
      <c r="C613" s="258"/>
      <c r="D613" s="258"/>
      <c r="E613" s="258"/>
      <c r="F613" s="258"/>
      <c r="G613" s="258"/>
      <c r="H613" s="258"/>
      <c r="I613" s="258"/>
      <c r="J613" s="258"/>
      <c r="K613" s="258"/>
      <c r="L613" s="258"/>
      <c r="M613" s="258"/>
      <c r="N613" s="258"/>
      <c r="O613" s="258"/>
      <c r="P613" s="258"/>
      <c r="Q613" s="258"/>
    </row>
    <row r="614" ht="15.75" customHeight="1">
      <c r="B614" s="258"/>
      <c r="C614" s="258"/>
      <c r="D614" s="258"/>
      <c r="E614" s="258"/>
      <c r="F614" s="258"/>
      <c r="G614" s="258"/>
      <c r="H614" s="258"/>
      <c r="I614" s="258"/>
      <c r="J614" s="258"/>
      <c r="K614" s="258"/>
      <c r="L614" s="258"/>
      <c r="M614" s="258"/>
      <c r="N614" s="258"/>
      <c r="O614" s="258"/>
      <c r="P614" s="258"/>
      <c r="Q614" s="258"/>
    </row>
    <row r="615" ht="15.75" customHeight="1">
      <c r="B615" s="258"/>
      <c r="C615" s="258"/>
      <c r="D615" s="258"/>
      <c r="E615" s="258"/>
      <c r="F615" s="258"/>
      <c r="G615" s="258"/>
      <c r="H615" s="258"/>
      <c r="I615" s="258"/>
      <c r="J615" s="258"/>
      <c r="K615" s="258"/>
      <c r="L615" s="258"/>
      <c r="M615" s="258"/>
      <c r="N615" s="258"/>
      <c r="O615" s="258"/>
      <c r="P615" s="258"/>
      <c r="Q615" s="258"/>
    </row>
    <row r="616" ht="15.75" customHeight="1">
      <c r="B616" s="258"/>
      <c r="C616" s="258"/>
      <c r="D616" s="258"/>
      <c r="E616" s="258"/>
      <c r="F616" s="258"/>
      <c r="G616" s="258"/>
      <c r="H616" s="258"/>
      <c r="I616" s="258"/>
      <c r="J616" s="258"/>
      <c r="K616" s="258"/>
      <c r="L616" s="258"/>
      <c r="M616" s="258"/>
      <c r="N616" s="258"/>
      <c r="O616" s="258"/>
      <c r="P616" s="258"/>
      <c r="Q616" s="258"/>
    </row>
    <row r="617" ht="15.75" customHeight="1">
      <c r="B617" s="258"/>
      <c r="C617" s="258"/>
      <c r="D617" s="258"/>
      <c r="E617" s="258"/>
      <c r="F617" s="258"/>
      <c r="G617" s="258"/>
      <c r="H617" s="258"/>
      <c r="I617" s="258"/>
      <c r="J617" s="258"/>
      <c r="K617" s="258"/>
      <c r="L617" s="258"/>
      <c r="M617" s="258"/>
      <c r="N617" s="258"/>
      <c r="O617" s="258"/>
      <c r="P617" s="258"/>
      <c r="Q617" s="258"/>
    </row>
    <row r="618" ht="15.75" customHeight="1">
      <c r="B618" s="258"/>
      <c r="C618" s="258"/>
      <c r="D618" s="258"/>
      <c r="E618" s="258"/>
      <c r="F618" s="258"/>
      <c r="G618" s="258"/>
      <c r="H618" s="258"/>
      <c r="I618" s="258"/>
      <c r="J618" s="258"/>
      <c r="K618" s="258"/>
      <c r="L618" s="258"/>
      <c r="M618" s="258"/>
      <c r="N618" s="258"/>
      <c r="O618" s="258"/>
      <c r="P618" s="258"/>
      <c r="Q618" s="258"/>
    </row>
    <row r="619" ht="15.75" customHeight="1">
      <c r="B619" s="258"/>
      <c r="C619" s="258"/>
      <c r="D619" s="258"/>
      <c r="E619" s="258"/>
      <c r="F619" s="258"/>
      <c r="G619" s="258"/>
      <c r="H619" s="258"/>
      <c r="I619" s="258"/>
      <c r="J619" s="258"/>
      <c r="K619" s="258"/>
      <c r="L619" s="258"/>
      <c r="M619" s="258"/>
      <c r="N619" s="258"/>
      <c r="O619" s="258"/>
      <c r="P619" s="258"/>
      <c r="Q619" s="258"/>
    </row>
    <row r="620" ht="15.75" customHeight="1">
      <c r="B620" s="258"/>
      <c r="C620" s="258"/>
      <c r="D620" s="258"/>
      <c r="E620" s="258"/>
      <c r="F620" s="258"/>
      <c r="G620" s="258"/>
      <c r="H620" s="258"/>
      <c r="I620" s="258"/>
      <c r="J620" s="258"/>
      <c r="K620" s="258"/>
      <c r="L620" s="258"/>
      <c r="M620" s="258"/>
      <c r="N620" s="258"/>
      <c r="O620" s="258"/>
      <c r="P620" s="258"/>
      <c r="Q620" s="258"/>
    </row>
    <row r="621" ht="15.75" customHeight="1">
      <c r="B621" s="258"/>
      <c r="C621" s="258"/>
      <c r="D621" s="258"/>
      <c r="E621" s="258"/>
      <c r="F621" s="258"/>
      <c r="G621" s="258"/>
      <c r="H621" s="258"/>
      <c r="I621" s="258"/>
      <c r="J621" s="258"/>
      <c r="K621" s="258"/>
      <c r="L621" s="258"/>
      <c r="M621" s="258"/>
      <c r="N621" s="258"/>
      <c r="O621" s="258"/>
      <c r="P621" s="258"/>
      <c r="Q621" s="258"/>
    </row>
    <row r="622" ht="15.75" customHeight="1">
      <c r="B622" s="258"/>
      <c r="C622" s="258"/>
      <c r="D622" s="258"/>
      <c r="E622" s="258"/>
      <c r="F622" s="258"/>
      <c r="G622" s="258"/>
      <c r="H622" s="258"/>
      <c r="I622" s="258"/>
      <c r="J622" s="258"/>
      <c r="K622" s="258"/>
      <c r="L622" s="258"/>
      <c r="M622" s="258"/>
      <c r="N622" s="258"/>
      <c r="O622" s="258"/>
      <c r="P622" s="258"/>
      <c r="Q622" s="258"/>
    </row>
    <row r="623" ht="15.75" customHeight="1">
      <c r="B623" s="258"/>
      <c r="C623" s="258"/>
      <c r="D623" s="258"/>
      <c r="E623" s="258"/>
      <c r="F623" s="258"/>
      <c r="G623" s="258"/>
      <c r="H623" s="258"/>
      <c r="I623" s="258"/>
      <c r="J623" s="258"/>
      <c r="K623" s="258"/>
      <c r="L623" s="258"/>
      <c r="M623" s="258"/>
      <c r="N623" s="258"/>
      <c r="O623" s="258"/>
      <c r="P623" s="258"/>
      <c r="Q623" s="258"/>
    </row>
    <row r="624" ht="15.75" customHeight="1">
      <c r="B624" s="258"/>
      <c r="C624" s="258"/>
      <c r="D624" s="258"/>
      <c r="E624" s="258"/>
      <c r="F624" s="258"/>
      <c r="G624" s="258"/>
      <c r="H624" s="258"/>
      <c r="I624" s="258"/>
      <c r="J624" s="258"/>
      <c r="K624" s="258"/>
      <c r="L624" s="258"/>
      <c r="M624" s="258"/>
      <c r="N624" s="258"/>
      <c r="O624" s="258"/>
      <c r="P624" s="258"/>
      <c r="Q624" s="258"/>
    </row>
    <row r="625" ht="15.75" customHeight="1">
      <c r="B625" s="258"/>
      <c r="C625" s="258"/>
      <c r="D625" s="258"/>
      <c r="E625" s="258"/>
      <c r="F625" s="258"/>
      <c r="G625" s="258"/>
      <c r="H625" s="258"/>
      <c r="I625" s="258"/>
      <c r="J625" s="258"/>
      <c r="K625" s="258"/>
      <c r="L625" s="258"/>
      <c r="M625" s="258"/>
      <c r="N625" s="258"/>
      <c r="O625" s="258"/>
      <c r="P625" s="258"/>
      <c r="Q625" s="258"/>
    </row>
    <row r="626" ht="15.75" customHeight="1">
      <c r="B626" s="258"/>
      <c r="C626" s="258"/>
      <c r="D626" s="258"/>
      <c r="E626" s="258"/>
      <c r="F626" s="258"/>
      <c r="G626" s="258"/>
      <c r="H626" s="258"/>
      <c r="I626" s="258"/>
      <c r="J626" s="258"/>
      <c r="K626" s="258"/>
      <c r="L626" s="258"/>
      <c r="M626" s="258"/>
      <c r="N626" s="258"/>
      <c r="O626" s="258"/>
      <c r="P626" s="258"/>
      <c r="Q626" s="258"/>
    </row>
    <row r="627" ht="15.75" customHeight="1">
      <c r="B627" s="258"/>
      <c r="C627" s="258"/>
      <c r="D627" s="258"/>
      <c r="E627" s="258"/>
      <c r="F627" s="258"/>
      <c r="G627" s="258"/>
      <c r="H627" s="258"/>
      <c r="I627" s="258"/>
      <c r="J627" s="258"/>
      <c r="K627" s="258"/>
      <c r="L627" s="258"/>
      <c r="M627" s="258"/>
      <c r="N627" s="258"/>
      <c r="O627" s="258"/>
      <c r="P627" s="258"/>
      <c r="Q627" s="258"/>
    </row>
    <row r="628" ht="15.75" customHeight="1">
      <c r="B628" s="258"/>
      <c r="C628" s="258"/>
      <c r="D628" s="258"/>
      <c r="E628" s="258"/>
      <c r="F628" s="258"/>
      <c r="G628" s="258"/>
      <c r="H628" s="258"/>
      <c r="I628" s="258"/>
      <c r="J628" s="258"/>
      <c r="K628" s="258"/>
      <c r="L628" s="258"/>
      <c r="M628" s="258"/>
      <c r="N628" s="258"/>
      <c r="O628" s="258"/>
      <c r="P628" s="258"/>
      <c r="Q628" s="258"/>
    </row>
    <row r="629" ht="15.75" customHeight="1">
      <c r="B629" s="258"/>
      <c r="C629" s="258"/>
      <c r="D629" s="258"/>
      <c r="E629" s="258"/>
      <c r="F629" s="258"/>
      <c r="G629" s="258"/>
      <c r="H629" s="258"/>
      <c r="I629" s="258"/>
      <c r="J629" s="258"/>
      <c r="K629" s="258"/>
      <c r="L629" s="258"/>
      <c r="M629" s="258"/>
      <c r="N629" s="258"/>
      <c r="O629" s="258"/>
      <c r="P629" s="258"/>
      <c r="Q629" s="258"/>
    </row>
    <row r="630" ht="15.75" customHeight="1">
      <c r="B630" s="258"/>
      <c r="C630" s="258"/>
      <c r="D630" s="258"/>
      <c r="E630" s="258"/>
      <c r="F630" s="258"/>
      <c r="G630" s="258"/>
      <c r="H630" s="258"/>
      <c r="I630" s="258"/>
      <c r="J630" s="258"/>
      <c r="K630" s="258"/>
      <c r="L630" s="258"/>
      <c r="M630" s="258"/>
      <c r="N630" s="258"/>
      <c r="O630" s="258"/>
      <c r="P630" s="258"/>
      <c r="Q630" s="258"/>
    </row>
    <row r="631" ht="15.75" customHeight="1">
      <c r="B631" s="258"/>
      <c r="C631" s="258"/>
      <c r="D631" s="258"/>
      <c r="E631" s="258"/>
      <c r="F631" s="258"/>
      <c r="G631" s="258"/>
      <c r="H631" s="258"/>
      <c r="I631" s="258"/>
      <c r="J631" s="258"/>
      <c r="K631" s="258"/>
      <c r="L631" s="258"/>
      <c r="M631" s="258"/>
      <c r="N631" s="258"/>
      <c r="O631" s="258"/>
      <c r="P631" s="258"/>
      <c r="Q631" s="258"/>
    </row>
    <row r="632" ht="15.75" customHeight="1">
      <c r="B632" s="258"/>
      <c r="C632" s="258"/>
      <c r="D632" s="258"/>
      <c r="E632" s="258"/>
      <c r="F632" s="258"/>
      <c r="G632" s="258"/>
      <c r="H632" s="258"/>
      <c r="I632" s="258"/>
      <c r="J632" s="258"/>
      <c r="K632" s="258"/>
      <c r="L632" s="258"/>
      <c r="M632" s="258"/>
      <c r="N632" s="258"/>
      <c r="O632" s="258"/>
      <c r="P632" s="258"/>
      <c r="Q632" s="258"/>
    </row>
    <row r="633" ht="15.75" customHeight="1">
      <c r="B633" s="258"/>
      <c r="C633" s="258"/>
      <c r="D633" s="258"/>
      <c r="E633" s="258"/>
      <c r="F633" s="258"/>
      <c r="G633" s="258"/>
      <c r="H633" s="258"/>
      <c r="I633" s="258"/>
      <c r="J633" s="258"/>
      <c r="K633" s="258"/>
      <c r="L633" s="258"/>
      <c r="M633" s="258"/>
      <c r="N633" s="258"/>
      <c r="O633" s="258"/>
      <c r="P633" s="258"/>
      <c r="Q633" s="258"/>
    </row>
    <row r="634" ht="15.75" customHeight="1">
      <c r="B634" s="258"/>
      <c r="C634" s="258"/>
      <c r="D634" s="258"/>
      <c r="E634" s="258"/>
      <c r="F634" s="258"/>
      <c r="G634" s="258"/>
      <c r="H634" s="258"/>
      <c r="I634" s="258"/>
      <c r="J634" s="258"/>
      <c r="K634" s="258"/>
      <c r="L634" s="258"/>
      <c r="M634" s="258"/>
      <c r="N634" s="258"/>
      <c r="O634" s="258"/>
      <c r="P634" s="258"/>
      <c r="Q634" s="258"/>
    </row>
    <row r="635" ht="15.75" customHeight="1">
      <c r="B635" s="258"/>
      <c r="C635" s="258"/>
      <c r="D635" s="258"/>
      <c r="E635" s="258"/>
      <c r="F635" s="258"/>
      <c r="G635" s="258"/>
      <c r="H635" s="258"/>
      <c r="I635" s="258"/>
      <c r="J635" s="258"/>
      <c r="K635" s="258"/>
      <c r="L635" s="258"/>
      <c r="M635" s="258"/>
      <c r="N635" s="258"/>
      <c r="O635" s="258"/>
      <c r="P635" s="258"/>
      <c r="Q635" s="258"/>
    </row>
    <row r="636" ht="15.75" customHeight="1">
      <c r="B636" s="258"/>
      <c r="C636" s="258"/>
      <c r="D636" s="258"/>
      <c r="E636" s="258"/>
      <c r="F636" s="258"/>
      <c r="G636" s="258"/>
      <c r="H636" s="258"/>
      <c r="I636" s="258"/>
      <c r="J636" s="258"/>
      <c r="K636" s="258"/>
      <c r="L636" s="258"/>
      <c r="M636" s="258"/>
      <c r="N636" s="258"/>
      <c r="O636" s="258"/>
      <c r="P636" s="258"/>
      <c r="Q636" s="258"/>
    </row>
    <row r="637" ht="15.75" customHeight="1">
      <c r="B637" s="258"/>
      <c r="C637" s="258"/>
      <c r="D637" s="258"/>
      <c r="E637" s="258"/>
      <c r="F637" s="258"/>
      <c r="G637" s="258"/>
      <c r="H637" s="258"/>
      <c r="I637" s="258"/>
      <c r="J637" s="258"/>
      <c r="K637" s="258"/>
      <c r="L637" s="258"/>
      <c r="M637" s="258"/>
      <c r="N637" s="258"/>
      <c r="O637" s="258"/>
      <c r="P637" s="258"/>
      <c r="Q637" s="258"/>
    </row>
    <row r="638" ht="15.75" customHeight="1">
      <c r="B638" s="258"/>
      <c r="C638" s="258"/>
      <c r="D638" s="258"/>
      <c r="E638" s="258"/>
      <c r="F638" s="258"/>
      <c r="G638" s="258"/>
      <c r="H638" s="258"/>
      <c r="I638" s="258"/>
      <c r="J638" s="258"/>
      <c r="K638" s="258"/>
      <c r="L638" s="258"/>
      <c r="M638" s="258"/>
      <c r="N638" s="258"/>
      <c r="O638" s="258"/>
      <c r="P638" s="258"/>
      <c r="Q638" s="258"/>
    </row>
    <row r="639" ht="15.75" customHeight="1">
      <c r="B639" s="258"/>
      <c r="C639" s="258"/>
      <c r="D639" s="258"/>
      <c r="E639" s="258"/>
      <c r="F639" s="258"/>
      <c r="G639" s="258"/>
      <c r="H639" s="258"/>
      <c r="I639" s="258"/>
      <c r="J639" s="258"/>
      <c r="K639" s="258"/>
      <c r="L639" s="258"/>
      <c r="M639" s="258"/>
      <c r="N639" s="258"/>
      <c r="O639" s="258"/>
      <c r="P639" s="258"/>
      <c r="Q639" s="258"/>
    </row>
    <row r="640" ht="15.75" customHeight="1">
      <c r="B640" s="258"/>
      <c r="C640" s="258"/>
      <c r="D640" s="258"/>
      <c r="E640" s="258"/>
      <c r="F640" s="258"/>
      <c r="G640" s="258"/>
      <c r="H640" s="258"/>
      <c r="I640" s="258"/>
      <c r="J640" s="258"/>
      <c r="K640" s="258"/>
      <c r="L640" s="258"/>
      <c r="M640" s="258"/>
      <c r="N640" s="258"/>
      <c r="O640" s="258"/>
      <c r="P640" s="258"/>
      <c r="Q640" s="258"/>
    </row>
    <row r="641" ht="15.75" customHeight="1">
      <c r="B641" s="258"/>
      <c r="C641" s="258"/>
      <c r="D641" s="258"/>
      <c r="E641" s="258"/>
      <c r="F641" s="258"/>
      <c r="G641" s="258"/>
      <c r="H641" s="258"/>
      <c r="I641" s="258"/>
      <c r="J641" s="258"/>
      <c r="K641" s="258"/>
      <c r="L641" s="258"/>
      <c r="M641" s="258"/>
      <c r="N641" s="258"/>
      <c r="O641" s="258"/>
      <c r="P641" s="258"/>
      <c r="Q641" s="258"/>
    </row>
    <row r="642" ht="15.75" customHeight="1">
      <c r="B642" s="258"/>
      <c r="C642" s="258"/>
      <c r="D642" s="258"/>
      <c r="E642" s="258"/>
      <c r="F642" s="258"/>
      <c r="G642" s="258"/>
      <c r="H642" s="258"/>
      <c r="I642" s="258"/>
      <c r="J642" s="258"/>
      <c r="K642" s="258"/>
      <c r="L642" s="258"/>
      <c r="M642" s="258"/>
      <c r="N642" s="258"/>
      <c r="O642" s="258"/>
      <c r="P642" s="258"/>
      <c r="Q642" s="258"/>
    </row>
    <row r="643" ht="15.75" customHeight="1">
      <c r="B643" s="258"/>
      <c r="C643" s="258"/>
      <c r="D643" s="258"/>
      <c r="E643" s="258"/>
      <c r="F643" s="258"/>
      <c r="G643" s="258"/>
      <c r="H643" s="258"/>
      <c r="I643" s="258"/>
      <c r="J643" s="258"/>
      <c r="K643" s="258"/>
      <c r="L643" s="258"/>
      <c r="M643" s="258"/>
      <c r="N643" s="258"/>
      <c r="O643" s="258"/>
      <c r="P643" s="258"/>
      <c r="Q643" s="258"/>
    </row>
    <row r="644" ht="15.75" customHeight="1">
      <c r="B644" s="258"/>
      <c r="C644" s="258"/>
      <c r="D644" s="258"/>
      <c r="E644" s="258"/>
      <c r="F644" s="258"/>
      <c r="G644" s="258"/>
      <c r="H644" s="258"/>
      <c r="I644" s="258"/>
      <c r="J644" s="258"/>
      <c r="K644" s="258"/>
      <c r="L644" s="258"/>
      <c r="M644" s="258"/>
      <c r="N644" s="258"/>
      <c r="O644" s="258"/>
      <c r="P644" s="258"/>
      <c r="Q644" s="258"/>
    </row>
    <row r="645" ht="15.75" customHeight="1">
      <c r="B645" s="258"/>
      <c r="C645" s="258"/>
      <c r="D645" s="258"/>
      <c r="E645" s="258"/>
      <c r="F645" s="258"/>
      <c r="G645" s="258"/>
      <c r="H645" s="258"/>
      <c r="I645" s="258"/>
      <c r="J645" s="258"/>
      <c r="K645" s="258"/>
      <c r="L645" s="258"/>
      <c r="M645" s="258"/>
      <c r="N645" s="258"/>
      <c r="O645" s="258"/>
      <c r="P645" s="258"/>
      <c r="Q645" s="258"/>
    </row>
    <row r="646" ht="15.75" customHeight="1">
      <c r="B646" s="258"/>
      <c r="C646" s="258"/>
      <c r="D646" s="258"/>
      <c r="E646" s="258"/>
      <c r="F646" s="258"/>
      <c r="G646" s="258"/>
      <c r="H646" s="258"/>
      <c r="I646" s="258"/>
      <c r="J646" s="258"/>
      <c r="K646" s="258"/>
      <c r="L646" s="258"/>
      <c r="M646" s="258"/>
      <c r="N646" s="258"/>
      <c r="O646" s="258"/>
      <c r="P646" s="258"/>
      <c r="Q646" s="258"/>
    </row>
    <row r="647" ht="15.75" customHeight="1">
      <c r="B647" s="258"/>
      <c r="C647" s="258"/>
      <c r="D647" s="258"/>
      <c r="E647" s="258"/>
      <c r="F647" s="258"/>
      <c r="G647" s="258"/>
      <c r="H647" s="258"/>
      <c r="I647" s="258"/>
      <c r="J647" s="258"/>
      <c r="K647" s="258"/>
      <c r="L647" s="258"/>
      <c r="M647" s="258"/>
      <c r="N647" s="258"/>
      <c r="O647" s="258"/>
      <c r="P647" s="258"/>
      <c r="Q647" s="258"/>
    </row>
    <row r="648" ht="15.75" customHeight="1">
      <c r="B648" s="258"/>
      <c r="C648" s="258"/>
      <c r="D648" s="258"/>
      <c r="E648" s="258"/>
      <c r="F648" s="258"/>
      <c r="G648" s="258"/>
      <c r="H648" s="258"/>
      <c r="I648" s="258"/>
      <c r="J648" s="258"/>
      <c r="K648" s="258"/>
      <c r="L648" s="258"/>
      <c r="M648" s="258"/>
      <c r="N648" s="258"/>
      <c r="O648" s="258"/>
      <c r="P648" s="258"/>
      <c r="Q648" s="258"/>
    </row>
    <row r="649" ht="15.75" customHeight="1">
      <c r="B649" s="258"/>
      <c r="C649" s="258"/>
      <c r="D649" s="258"/>
      <c r="E649" s="258"/>
      <c r="F649" s="258"/>
      <c r="G649" s="258"/>
      <c r="H649" s="258"/>
      <c r="I649" s="258"/>
      <c r="J649" s="258"/>
      <c r="K649" s="258"/>
      <c r="L649" s="258"/>
      <c r="M649" s="258"/>
      <c r="N649" s="258"/>
      <c r="O649" s="258"/>
      <c r="P649" s="258"/>
      <c r="Q649" s="258"/>
    </row>
    <row r="650" ht="15.75" customHeight="1">
      <c r="B650" s="258"/>
      <c r="C650" s="258"/>
      <c r="D650" s="258"/>
      <c r="E650" s="258"/>
      <c r="F650" s="258"/>
      <c r="G650" s="258"/>
      <c r="H650" s="258"/>
      <c r="I650" s="258"/>
      <c r="J650" s="258"/>
      <c r="K650" s="258"/>
      <c r="L650" s="258"/>
      <c r="M650" s="258"/>
      <c r="N650" s="258"/>
      <c r="O650" s="258"/>
      <c r="P650" s="258"/>
      <c r="Q650" s="258"/>
    </row>
    <row r="651" ht="15.75" customHeight="1">
      <c r="B651" s="258"/>
      <c r="C651" s="258"/>
      <c r="D651" s="258"/>
      <c r="E651" s="258"/>
      <c r="F651" s="258"/>
      <c r="G651" s="258"/>
      <c r="H651" s="258"/>
      <c r="I651" s="258"/>
      <c r="J651" s="258"/>
      <c r="K651" s="258"/>
      <c r="L651" s="258"/>
      <c r="M651" s="258"/>
      <c r="N651" s="258"/>
      <c r="O651" s="258"/>
      <c r="P651" s="258"/>
      <c r="Q651" s="258"/>
    </row>
    <row r="652" ht="15.75" customHeight="1">
      <c r="B652" s="258"/>
      <c r="C652" s="258"/>
      <c r="D652" s="258"/>
      <c r="E652" s="258"/>
      <c r="F652" s="258"/>
      <c r="G652" s="258"/>
      <c r="H652" s="258"/>
      <c r="I652" s="258"/>
      <c r="J652" s="258"/>
      <c r="K652" s="258"/>
      <c r="L652" s="258"/>
      <c r="M652" s="258"/>
      <c r="N652" s="258"/>
      <c r="O652" s="258"/>
      <c r="P652" s="258"/>
      <c r="Q652" s="258"/>
    </row>
    <row r="653" ht="15.75" customHeight="1">
      <c r="B653" s="258"/>
      <c r="C653" s="258"/>
      <c r="D653" s="258"/>
      <c r="E653" s="258"/>
      <c r="F653" s="258"/>
      <c r="G653" s="258"/>
      <c r="H653" s="258"/>
      <c r="I653" s="258"/>
      <c r="J653" s="258"/>
      <c r="K653" s="258"/>
      <c r="L653" s="258"/>
      <c r="M653" s="258"/>
      <c r="N653" s="258"/>
      <c r="O653" s="258"/>
      <c r="P653" s="258"/>
      <c r="Q653" s="258"/>
    </row>
    <row r="654" ht="15.75" customHeight="1">
      <c r="B654" s="258"/>
      <c r="C654" s="258"/>
      <c r="D654" s="258"/>
      <c r="E654" s="258"/>
      <c r="F654" s="258"/>
      <c r="G654" s="258"/>
      <c r="H654" s="258"/>
      <c r="I654" s="258"/>
      <c r="J654" s="258"/>
      <c r="K654" s="258"/>
      <c r="L654" s="258"/>
      <c r="M654" s="258"/>
      <c r="N654" s="258"/>
      <c r="O654" s="258"/>
      <c r="P654" s="258"/>
      <c r="Q654" s="258"/>
    </row>
    <row r="655" ht="15.75" customHeight="1">
      <c r="B655" s="258"/>
      <c r="C655" s="258"/>
      <c r="D655" s="258"/>
      <c r="E655" s="258"/>
      <c r="F655" s="258"/>
      <c r="G655" s="258"/>
      <c r="H655" s="258"/>
      <c r="I655" s="258"/>
      <c r="J655" s="258"/>
      <c r="K655" s="258"/>
      <c r="L655" s="258"/>
      <c r="M655" s="258"/>
      <c r="N655" s="258"/>
      <c r="O655" s="258"/>
      <c r="P655" s="258"/>
      <c r="Q655" s="258"/>
    </row>
    <row r="656" ht="15.75" customHeight="1">
      <c r="B656" s="258"/>
      <c r="C656" s="258"/>
      <c r="D656" s="258"/>
      <c r="E656" s="258"/>
      <c r="F656" s="258"/>
      <c r="G656" s="258"/>
      <c r="H656" s="258"/>
      <c r="I656" s="258"/>
      <c r="J656" s="258"/>
      <c r="K656" s="258"/>
      <c r="L656" s="258"/>
      <c r="M656" s="258"/>
      <c r="N656" s="258"/>
      <c r="O656" s="258"/>
      <c r="P656" s="258"/>
      <c r="Q656" s="258"/>
    </row>
    <row r="657" ht="15.75" customHeight="1">
      <c r="B657" s="258"/>
      <c r="C657" s="258"/>
      <c r="D657" s="258"/>
      <c r="E657" s="258"/>
      <c r="F657" s="258"/>
      <c r="G657" s="258"/>
      <c r="H657" s="258"/>
      <c r="I657" s="258"/>
      <c r="J657" s="258"/>
      <c r="K657" s="258"/>
      <c r="L657" s="258"/>
      <c r="M657" s="258"/>
      <c r="N657" s="258"/>
      <c r="O657" s="258"/>
      <c r="P657" s="258"/>
      <c r="Q657" s="258"/>
    </row>
    <row r="658" ht="15.75" customHeight="1">
      <c r="B658" s="258"/>
      <c r="C658" s="258"/>
      <c r="D658" s="258"/>
      <c r="E658" s="258"/>
      <c r="F658" s="258"/>
      <c r="G658" s="258"/>
      <c r="H658" s="258"/>
      <c r="I658" s="258"/>
      <c r="J658" s="258"/>
      <c r="K658" s="258"/>
      <c r="L658" s="258"/>
      <c r="M658" s="258"/>
      <c r="N658" s="258"/>
      <c r="O658" s="258"/>
      <c r="P658" s="258"/>
      <c r="Q658" s="258"/>
    </row>
    <row r="659" ht="15.75" customHeight="1">
      <c r="B659" s="258"/>
      <c r="C659" s="258"/>
      <c r="D659" s="258"/>
      <c r="E659" s="258"/>
      <c r="F659" s="258"/>
      <c r="G659" s="258"/>
      <c r="H659" s="258"/>
      <c r="I659" s="258"/>
      <c r="J659" s="258"/>
      <c r="K659" s="258"/>
      <c r="L659" s="258"/>
      <c r="M659" s="258"/>
      <c r="N659" s="258"/>
      <c r="O659" s="258"/>
      <c r="P659" s="258"/>
      <c r="Q659" s="258"/>
    </row>
    <row r="660" ht="15.75" customHeight="1">
      <c r="B660" s="258"/>
      <c r="C660" s="258"/>
      <c r="D660" s="258"/>
      <c r="E660" s="258"/>
      <c r="F660" s="258"/>
      <c r="G660" s="258"/>
      <c r="H660" s="258"/>
      <c r="I660" s="258"/>
      <c r="J660" s="258"/>
      <c r="K660" s="258"/>
      <c r="L660" s="258"/>
      <c r="M660" s="258"/>
      <c r="N660" s="258"/>
      <c r="O660" s="258"/>
      <c r="P660" s="258"/>
      <c r="Q660" s="258"/>
    </row>
    <row r="661" ht="15.75" customHeight="1">
      <c r="B661" s="258"/>
      <c r="C661" s="258"/>
      <c r="D661" s="258"/>
      <c r="E661" s="258"/>
      <c r="F661" s="258"/>
      <c r="G661" s="258"/>
      <c r="H661" s="258"/>
      <c r="I661" s="258"/>
      <c r="J661" s="258"/>
      <c r="K661" s="258"/>
      <c r="L661" s="258"/>
      <c r="M661" s="258"/>
      <c r="N661" s="258"/>
      <c r="O661" s="258"/>
      <c r="P661" s="258"/>
      <c r="Q661" s="258"/>
    </row>
    <row r="662" ht="15.75" customHeight="1">
      <c r="B662" s="258"/>
      <c r="C662" s="258"/>
      <c r="D662" s="258"/>
      <c r="E662" s="258"/>
      <c r="F662" s="258"/>
      <c r="G662" s="258"/>
      <c r="H662" s="258"/>
      <c r="I662" s="258"/>
      <c r="J662" s="258"/>
      <c r="K662" s="258"/>
      <c r="L662" s="258"/>
      <c r="M662" s="258"/>
      <c r="N662" s="258"/>
      <c r="O662" s="258"/>
      <c r="P662" s="258"/>
      <c r="Q662" s="258"/>
    </row>
    <row r="663" ht="15.75" customHeight="1">
      <c r="B663" s="258"/>
      <c r="C663" s="258"/>
      <c r="D663" s="258"/>
      <c r="E663" s="258"/>
      <c r="F663" s="258"/>
      <c r="G663" s="258"/>
      <c r="H663" s="258"/>
      <c r="I663" s="258"/>
      <c r="J663" s="258"/>
      <c r="K663" s="258"/>
      <c r="L663" s="258"/>
      <c r="M663" s="258"/>
      <c r="N663" s="258"/>
      <c r="O663" s="258"/>
      <c r="P663" s="258"/>
      <c r="Q663" s="258"/>
    </row>
    <row r="664" ht="15.75" customHeight="1">
      <c r="B664" s="258"/>
      <c r="C664" s="258"/>
      <c r="D664" s="258"/>
      <c r="E664" s="258"/>
      <c r="F664" s="258"/>
      <c r="G664" s="258"/>
      <c r="H664" s="258"/>
      <c r="I664" s="258"/>
      <c r="J664" s="258"/>
      <c r="K664" s="258"/>
      <c r="L664" s="258"/>
      <c r="M664" s="258"/>
      <c r="N664" s="258"/>
      <c r="O664" s="258"/>
      <c r="P664" s="258"/>
      <c r="Q664" s="258"/>
    </row>
    <row r="665" ht="15.75" customHeight="1">
      <c r="B665" s="258"/>
      <c r="C665" s="258"/>
      <c r="D665" s="258"/>
      <c r="E665" s="258"/>
      <c r="F665" s="258"/>
      <c r="G665" s="258"/>
      <c r="H665" s="258"/>
      <c r="I665" s="258"/>
      <c r="J665" s="258"/>
      <c r="K665" s="258"/>
      <c r="L665" s="258"/>
      <c r="M665" s="258"/>
      <c r="N665" s="258"/>
      <c r="O665" s="258"/>
      <c r="P665" s="258"/>
      <c r="Q665" s="258"/>
    </row>
    <row r="666" ht="15.75" customHeight="1">
      <c r="B666" s="258"/>
      <c r="C666" s="258"/>
      <c r="D666" s="258"/>
      <c r="E666" s="258"/>
      <c r="F666" s="258"/>
      <c r="G666" s="258"/>
      <c r="H666" s="258"/>
      <c r="I666" s="258"/>
      <c r="J666" s="258"/>
      <c r="K666" s="258"/>
      <c r="L666" s="258"/>
      <c r="M666" s="258"/>
      <c r="N666" s="258"/>
      <c r="O666" s="258"/>
      <c r="P666" s="258"/>
      <c r="Q666" s="258"/>
    </row>
    <row r="667" ht="15.75" customHeight="1">
      <c r="B667" s="258"/>
      <c r="C667" s="258"/>
      <c r="D667" s="258"/>
      <c r="E667" s="258"/>
      <c r="F667" s="258"/>
      <c r="G667" s="258"/>
      <c r="H667" s="258"/>
      <c r="I667" s="258"/>
      <c r="J667" s="258"/>
      <c r="K667" s="258"/>
      <c r="L667" s="258"/>
      <c r="M667" s="258"/>
      <c r="N667" s="258"/>
      <c r="O667" s="258"/>
      <c r="P667" s="258"/>
      <c r="Q667" s="258"/>
    </row>
    <row r="668" ht="15.75" customHeight="1">
      <c r="B668" s="258"/>
      <c r="C668" s="258"/>
      <c r="D668" s="258"/>
      <c r="E668" s="258"/>
      <c r="F668" s="258"/>
      <c r="G668" s="258"/>
      <c r="H668" s="258"/>
      <c r="I668" s="258"/>
      <c r="J668" s="258"/>
      <c r="K668" s="258"/>
      <c r="L668" s="258"/>
      <c r="M668" s="258"/>
      <c r="N668" s="258"/>
      <c r="O668" s="258"/>
      <c r="P668" s="258"/>
      <c r="Q668" s="258"/>
    </row>
    <row r="669" ht="15.75" customHeight="1">
      <c r="B669" s="258"/>
      <c r="C669" s="258"/>
      <c r="D669" s="258"/>
      <c r="E669" s="258"/>
      <c r="F669" s="258"/>
      <c r="G669" s="258"/>
      <c r="H669" s="258"/>
      <c r="I669" s="258"/>
      <c r="J669" s="258"/>
      <c r="K669" s="258"/>
      <c r="L669" s="258"/>
      <c r="M669" s="258"/>
      <c r="N669" s="258"/>
      <c r="O669" s="258"/>
      <c r="P669" s="258"/>
      <c r="Q669" s="258"/>
    </row>
    <row r="670" ht="15.75" customHeight="1">
      <c r="B670" s="258"/>
      <c r="C670" s="258"/>
      <c r="D670" s="258"/>
      <c r="E670" s="258"/>
      <c r="F670" s="258"/>
      <c r="G670" s="258"/>
      <c r="H670" s="258"/>
      <c r="I670" s="258"/>
      <c r="J670" s="258"/>
      <c r="K670" s="258"/>
      <c r="L670" s="258"/>
      <c r="M670" s="258"/>
      <c r="N670" s="258"/>
      <c r="O670" s="258"/>
      <c r="P670" s="258"/>
      <c r="Q670" s="258"/>
    </row>
    <row r="671" ht="15.75" customHeight="1">
      <c r="B671" s="258"/>
      <c r="C671" s="258"/>
      <c r="D671" s="258"/>
      <c r="E671" s="258"/>
      <c r="F671" s="258"/>
      <c r="G671" s="258"/>
      <c r="H671" s="258"/>
      <c r="I671" s="258"/>
      <c r="J671" s="258"/>
      <c r="K671" s="258"/>
      <c r="L671" s="258"/>
      <c r="M671" s="258"/>
      <c r="N671" s="258"/>
      <c r="O671" s="258"/>
      <c r="P671" s="258"/>
      <c r="Q671" s="258"/>
    </row>
    <row r="672" ht="15.75" customHeight="1">
      <c r="B672" s="258"/>
      <c r="C672" s="258"/>
      <c r="D672" s="258"/>
      <c r="E672" s="258"/>
      <c r="F672" s="258"/>
      <c r="G672" s="258"/>
      <c r="H672" s="258"/>
      <c r="I672" s="258"/>
      <c r="J672" s="258"/>
      <c r="K672" s="258"/>
      <c r="L672" s="258"/>
      <c r="M672" s="258"/>
      <c r="N672" s="258"/>
      <c r="O672" s="258"/>
      <c r="P672" s="258"/>
      <c r="Q672" s="258"/>
    </row>
    <row r="673" ht="15.75" customHeight="1">
      <c r="B673" s="258"/>
      <c r="C673" s="258"/>
      <c r="D673" s="258"/>
      <c r="E673" s="258"/>
      <c r="F673" s="258"/>
      <c r="G673" s="258"/>
      <c r="H673" s="258"/>
      <c r="I673" s="258"/>
      <c r="J673" s="258"/>
      <c r="K673" s="258"/>
      <c r="L673" s="258"/>
      <c r="M673" s="258"/>
      <c r="N673" s="258"/>
      <c r="O673" s="258"/>
      <c r="P673" s="258"/>
      <c r="Q673" s="258"/>
    </row>
    <row r="674" ht="15.75" customHeight="1">
      <c r="B674" s="258"/>
      <c r="C674" s="258"/>
      <c r="D674" s="258"/>
      <c r="E674" s="258"/>
      <c r="F674" s="258"/>
      <c r="G674" s="258"/>
      <c r="H674" s="258"/>
      <c r="I674" s="258"/>
      <c r="J674" s="258"/>
      <c r="K674" s="258"/>
      <c r="L674" s="258"/>
      <c r="M674" s="258"/>
      <c r="N674" s="258"/>
      <c r="O674" s="258"/>
      <c r="P674" s="258"/>
      <c r="Q674" s="258"/>
    </row>
    <row r="675" ht="15.75" customHeight="1">
      <c r="B675" s="258"/>
      <c r="C675" s="258"/>
      <c r="D675" s="258"/>
      <c r="E675" s="258"/>
      <c r="F675" s="258"/>
      <c r="G675" s="258"/>
      <c r="H675" s="258"/>
      <c r="I675" s="258"/>
      <c r="J675" s="258"/>
      <c r="K675" s="258"/>
      <c r="L675" s="258"/>
      <c r="M675" s="258"/>
      <c r="N675" s="258"/>
      <c r="O675" s="258"/>
      <c r="P675" s="258"/>
      <c r="Q675" s="258"/>
    </row>
    <row r="676" ht="15.75" customHeight="1">
      <c r="B676" s="258"/>
      <c r="C676" s="258"/>
      <c r="D676" s="258"/>
      <c r="E676" s="258"/>
      <c r="F676" s="258"/>
      <c r="G676" s="258"/>
      <c r="H676" s="258"/>
      <c r="I676" s="258"/>
      <c r="J676" s="258"/>
      <c r="K676" s="258"/>
      <c r="L676" s="258"/>
      <c r="M676" s="258"/>
      <c r="N676" s="258"/>
      <c r="O676" s="258"/>
      <c r="P676" s="258"/>
      <c r="Q676" s="258"/>
    </row>
    <row r="677" ht="15.75" customHeight="1">
      <c r="B677" s="258"/>
      <c r="C677" s="258"/>
      <c r="D677" s="258"/>
      <c r="E677" s="258"/>
      <c r="F677" s="258"/>
      <c r="G677" s="258"/>
      <c r="H677" s="258"/>
      <c r="I677" s="258"/>
      <c r="J677" s="258"/>
      <c r="K677" s="258"/>
      <c r="L677" s="258"/>
      <c r="M677" s="258"/>
      <c r="N677" s="258"/>
      <c r="O677" s="258"/>
      <c r="P677" s="258"/>
      <c r="Q677" s="258"/>
    </row>
    <row r="678" ht="15.75" customHeight="1">
      <c r="B678" s="258"/>
      <c r="C678" s="258"/>
      <c r="D678" s="258"/>
      <c r="E678" s="258"/>
      <c r="F678" s="258"/>
      <c r="G678" s="258"/>
      <c r="H678" s="258"/>
      <c r="I678" s="258"/>
      <c r="J678" s="258"/>
      <c r="K678" s="258"/>
      <c r="L678" s="258"/>
      <c r="M678" s="258"/>
      <c r="N678" s="258"/>
      <c r="O678" s="258"/>
      <c r="P678" s="258"/>
      <c r="Q678" s="258"/>
    </row>
    <row r="679" ht="15.75" customHeight="1">
      <c r="B679" s="258"/>
      <c r="C679" s="258"/>
      <c r="D679" s="258"/>
      <c r="E679" s="258"/>
      <c r="F679" s="258"/>
      <c r="G679" s="258"/>
      <c r="H679" s="258"/>
      <c r="I679" s="258"/>
      <c r="J679" s="258"/>
      <c r="K679" s="258"/>
      <c r="L679" s="258"/>
      <c r="M679" s="258"/>
      <c r="N679" s="258"/>
      <c r="O679" s="258"/>
      <c r="P679" s="258"/>
      <c r="Q679" s="258"/>
    </row>
    <row r="680" ht="15.75" customHeight="1">
      <c r="B680" s="258"/>
      <c r="C680" s="258"/>
      <c r="D680" s="258"/>
      <c r="E680" s="258"/>
      <c r="F680" s="258"/>
      <c r="G680" s="258"/>
      <c r="H680" s="258"/>
      <c r="I680" s="258"/>
      <c r="J680" s="258"/>
      <c r="K680" s="258"/>
      <c r="L680" s="258"/>
      <c r="M680" s="258"/>
      <c r="N680" s="258"/>
      <c r="O680" s="258"/>
      <c r="P680" s="258"/>
      <c r="Q680" s="258"/>
    </row>
    <row r="681" ht="15.75" customHeight="1">
      <c r="B681" s="258"/>
      <c r="C681" s="258"/>
      <c r="D681" s="258"/>
      <c r="E681" s="258"/>
      <c r="F681" s="258"/>
      <c r="G681" s="258"/>
      <c r="H681" s="258"/>
      <c r="I681" s="258"/>
      <c r="J681" s="258"/>
      <c r="K681" s="258"/>
      <c r="L681" s="258"/>
      <c r="M681" s="258"/>
      <c r="N681" s="258"/>
      <c r="O681" s="258"/>
      <c r="P681" s="258"/>
      <c r="Q681" s="258"/>
    </row>
    <row r="682" ht="15.75" customHeight="1">
      <c r="B682" s="258"/>
      <c r="C682" s="258"/>
      <c r="D682" s="258"/>
      <c r="E682" s="258"/>
      <c r="F682" s="258"/>
      <c r="G682" s="258"/>
      <c r="H682" s="258"/>
      <c r="I682" s="258"/>
      <c r="J682" s="258"/>
      <c r="K682" s="258"/>
      <c r="L682" s="258"/>
      <c r="M682" s="258"/>
      <c r="N682" s="258"/>
      <c r="O682" s="258"/>
      <c r="P682" s="258"/>
      <c r="Q682" s="258"/>
    </row>
    <row r="683" ht="15.75" customHeight="1">
      <c r="B683" s="258"/>
      <c r="C683" s="258"/>
      <c r="D683" s="258"/>
      <c r="E683" s="258"/>
      <c r="F683" s="258"/>
      <c r="G683" s="258"/>
      <c r="H683" s="258"/>
      <c r="I683" s="258"/>
      <c r="J683" s="258"/>
      <c r="K683" s="258"/>
      <c r="L683" s="258"/>
      <c r="M683" s="258"/>
      <c r="N683" s="258"/>
      <c r="O683" s="258"/>
      <c r="P683" s="258"/>
      <c r="Q683" s="258"/>
    </row>
    <row r="684" ht="15.75" customHeight="1">
      <c r="B684" s="258"/>
      <c r="C684" s="258"/>
      <c r="D684" s="258"/>
      <c r="E684" s="258"/>
      <c r="F684" s="258"/>
      <c r="G684" s="258"/>
      <c r="H684" s="258"/>
      <c r="I684" s="258"/>
      <c r="J684" s="258"/>
      <c r="K684" s="258"/>
      <c r="L684" s="258"/>
      <c r="M684" s="258"/>
      <c r="N684" s="258"/>
      <c r="O684" s="258"/>
      <c r="P684" s="258"/>
      <c r="Q684" s="258"/>
    </row>
    <row r="685" ht="15.75" customHeight="1">
      <c r="B685" s="258"/>
      <c r="C685" s="258"/>
      <c r="D685" s="258"/>
      <c r="E685" s="258"/>
      <c r="F685" s="258"/>
      <c r="G685" s="258"/>
      <c r="H685" s="258"/>
      <c r="I685" s="258"/>
      <c r="J685" s="258"/>
      <c r="K685" s="258"/>
      <c r="L685" s="258"/>
      <c r="M685" s="258"/>
      <c r="N685" s="258"/>
      <c r="O685" s="258"/>
      <c r="P685" s="258"/>
      <c r="Q685" s="258"/>
    </row>
    <row r="686" ht="15.75" customHeight="1">
      <c r="B686" s="258"/>
      <c r="C686" s="258"/>
      <c r="D686" s="258"/>
      <c r="E686" s="258"/>
      <c r="F686" s="258"/>
      <c r="G686" s="258"/>
      <c r="H686" s="258"/>
      <c r="I686" s="258"/>
      <c r="J686" s="258"/>
      <c r="K686" s="258"/>
      <c r="L686" s="258"/>
      <c r="M686" s="258"/>
      <c r="N686" s="258"/>
      <c r="O686" s="258"/>
      <c r="P686" s="258"/>
      <c r="Q686" s="258"/>
    </row>
    <row r="687" ht="15.75" customHeight="1">
      <c r="B687" s="258"/>
      <c r="C687" s="258"/>
      <c r="D687" s="258"/>
      <c r="E687" s="258"/>
      <c r="F687" s="258"/>
      <c r="G687" s="258"/>
      <c r="H687" s="258"/>
      <c r="I687" s="258"/>
      <c r="J687" s="258"/>
      <c r="K687" s="258"/>
      <c r="L687" s="258"/>
      <c r="M687" s="258"/>
      <c r="N687" s="258"/>
      <c r="O687" s="258"/>
      <c r="P687" s="258"/>
      <c r="Q687" s="258"/>
    </row>
    <row r="688" ht="15.75" customHeight="1">
      <c r="B688" s="258"/>
      <c r="C688" s="258"/>
      <c r="D688" s="258"/>
      <c r="E688" s="258"/>
      <c r="F688" s="258"/>
      <c r="G688" s="258"/>
      <c r="H688" s="258"/>
      <c r="I688" s="258"/>
      <c r="J688" s="258"/>
      <c r="K688" s="258"/>
      <c r="L688" s="258"/>
      <c r="M688" s="258"/>
      <c r="N688" s="258"/>
      <c r="O688" s="258"/>
      <c r="P688" s="258"/>
      <c r="Q688" s="258"/>
    </row>
    <row r="689" ht="15.75" customHeight="1">
      <c r="B689" s="258"/>
      <c r="C689" s="258"/>
      <c r="D689" s="258"/>
      <c r="E689" s="258"/>
      <c r="F689" s="258"/>
      <c r="G689" s="258"/>
      <c r="H689" s="258"/>
      <c r="I689" s="258"/>
      <c r="J689" s="258"/>
      <c r="K689" s="258"/>
      <c r="L689" s="258"/>
      <c r="M689" s="258"/>
      <c r="N689" s="258"/>
      <c r="O689" s="258"/>
      <c r="P689" s="258"/>
      <c r="Q689" s="258"/>
    </row>
    <row r="690" ht="15.75" customHeight="1">
      <c r="B690" s="258"/>
      <c r="C690" s="258"/>
      <c r="D690" s="258"/>
      <c r="E690" s="258"/>
      <c r="F690" s="258"/>
      <c r="G690" s="258"/>
      <c r="H690" s="258"/>
      <c r="I690" s="258"/>
      <c r="J690" s="258"/>
      <c r="K690" s="258"/>
      <c r="L690" s="258"/>
      <c r="M690" s="258"/>
      <c r="N690" s="258"/>
      <c r="O690" s="258"/>
      <c r="P690" s="258"/>
      <c r="Q690" s="258"/>
    </row>
    <row r="691" ht="15.75" customHeight="1">
      <c r="B691" s="258"/>
      <c r="C691" s="258"/>
      <c r="D691" s="258"/>
      <c r="E691" s="258"/>
      <c r="F691" s="258"/>
      <c r="G691" s="258"/>
      <c r="H691" s="258"/>
      <c r="I691" s="258"/>
      <c r="J691" s="258"/>
      <c r="K691" s="258"/>
      <c r="L691" s="258"/>
      <c r="M691" s="258"/>
      <c r="N691" s="258"/>
      <c r="O691" s="258"/>
      <c r="P691" s="258"/>
      <c r="Q691" s="258"/>
    </row>
    <row r="692" ht="15.75" customHeight="1">
      <c r="B692" s="258"/>
      <c r="C692" s="258"/>
      <c r="D692" s="258"/>
      <c r="E692" s="258"/>
      <c r="F692" s="258"/>
      <c r="G692" s="258"/>
      <c r="H692" s="258"/>
      <c r="I692" s="258"/>
      <c r="J692" s="258"/>
      <c r="K692" s="258"/>
      <c r="L692" s="258"/>
      <c r="M692" s="258"/>
      <c r="N692" s="258"/>
      <c r="O692" s="258"/>
      <c r="P692" s="258"/>
      <c r="Q692" s="258"/>
    </row>
    <row r="693" ht="15.75" customHeight="1">
      <c r="B693" s="258"/>
      <c r="C693" s="258"/>
      <c r="D693" s="258"/>
      <c r="E693" s="258"/>
      <c r="F693" s="258"/>
      <c r="G693" s="258"/>
      <c r="H693" s="258"/>
      <c r="I693" s="258"/>
      <c r="J693" s="258"/>
      <c r="K693" s="258"/>
      <c r="L693" s="258"/>
      <c r="M693" s="258"/>
      <c r="N693" s="258"/>
      <c r="O693" s="258"/>
      <c r="P693" s="258"/>
      <c r="Q693" s="258"/>
    </row>
    <row r="694" ht="15.75" customHeight="1">
      <c r="B694" s="258"/>
      <c r="C694" s="258"/>
      <c r="D694" s="258"/>
      <c r="E694" s="258"/>
      <c r="F694" s="258"/>
      <c r="G694" s="258"/>
      <c r="H694" s="258"/>
      <c r="I694" s="258"/>
      <c r="J694" s="258"/>
      <c r="K694" s="258"/>
      <c r="L694" s="258"/>
      <c r="M694" s="258"/>
      <c r="N694" s="258"/>
      <c r="O694" s="258"/>
      <c r="P694" s="258"/>
      <c r="Q694" s="258"/>
    </row>
    <row r="695" ht="15.75" customHeight="1">
      <c r="B695" s="258"/>
      <c r="C695" s="258"/>
      <c r="D695" s="258"/>
      <c r="E695" s="258"/>
      <c r="F695" s="258"/>
      <c r="G695" s="258"/>
      <c r="H695" s="258"/>
      <c r="I695" s="258"/>
      <c r="J695" s="258"/>
      <c r="K695" s="258"/>
      <c r="L695" s="258"/>
      <c r="M695" s="258"/>
      <c r="N695" s="258"/>
      <c r="O695" s="258"/>
      <c r="P695" s="258"/>
      <c r="Q695" s="258"/>
    </row>
    <row r="696" ht="15.75" customHeight="1">
      <c r="B696" s="258"/>
      <c r="C696" s="258"/>
      <c r="D696" s="258"/>
      <c r="E696" s="258"/>
      <c r="F696" s="258"/>
      <c r="G696" s="258"/>
      <c r="H696" s="258"/>
      <c r="I696" s="258"/>
      <c r="J696" s="258"/>
      <c r="K696" s="258"/>
      <c r="L696" s="258"/>
      <c r="M696" s="258"/>
      <c r="N696" s="258"/>
      <c r="O696" s="258"/>
      <c r="P696" s="258"/>
      <c r="Q696" s="258"/>
    </row>
    <row r="697" ht="15.75" customHeight="1">
      <c r="B697" s="258"/>
      <c r="C697" s="258"/>
      <c r="D697" s="258"/>
      <c r="E697" s="258"/>
      <c r="F697" s="258"/>
      <c r="G697" s="258"/>
      <c r="H697" s="258"/>
      <c r="I697" s="258"/>
      <c r="J697" s="258"/>
      <c r="K697" s="258"/>
      <c r="L697" s="258"/>
      <c r="M697" s="258"/>
      <c r="N697" s="258"/>
      <c r="O697" s="258"/>
      <c r="P697" s="258"/>
      <c r="Q697" s="258"/>
    </row>
    <row r="698" ht="15.75" customHeight="1">
      <c r="B698" s="258"/>
      <c r="C698" s="258"/>
      <c r="D698" s="258"/>
      <c r="E698" s="258"/>
      <c r="F698" s="258"/>
      <c r="G698" s="258"/>
      <c r="H698" s="258"/>
      <c r="I698" s="258"/>
      <c r="J698" s="258"/>
      <c r="K698" s="258"/>
      <c r="L698" s="258"/>
      <c r="M698" s="258"/>
      <c r="N698" s="258"/>
      <c r="O698" s="258"/>
      <c r="P698" s="258"/>
      <c r="Q698" s="258"/>
    </row>
    <row r="699" ht="15.75" customHeight="1">
      <c r="B699" s="258"/>
      <c r="C699" s="258"/>
      <c r="D699" s="258"/>
      <c r="E699" s="258"/>
      <c r="F699" s="258"/>
      <c r="G699" s="258"/>
      <c r="H699" s="258"/>
      <c r="I699" s="258"/>
      <c r="J699" s="258"/>
      <c r="K699" s="258"/>
      <c r="L699" s="258"/>
      <c r="M699" s="258"/>
      <c r="N699" s="258"/>
      <c r="O699" s="258"/>
      <c r="P699" s="258"/>
      <c r="Q699" s="258"/>
    </row>
    <row r="700" ht="15.75" customHeight="1">
      <c r="B700" s="258"/>
      <c r="C700" s="258"/>
      <c r="D700" s="258"/>
      <c r="E700" s="258"/>
      <c r="F700" s="258"/>
      <c r="G700" s="258"/>
      <c r="H700" s="258"/>
      <c r="I700" s="258"/>
      <c r="J700" s="258"/>
      <c r="K700" s="258"/>
      <c r="L700" s="258"/>
      <c r="M700" s="258"/>
      <c r="N700" s="258"/>
      <c r="O700" s="258"/>
      <c r="P700" s="258"/>
      <c r="Q700" s="258"/>
    </row>
    <row r="701" ht="15.75" customHeight="1">
      <c r="B701" s="258"/>
      <c r="C701" s="258"/>
      <c r="D701" s="258"/>
      <c r="E701" s="258"/>
      <c r="F701" s="258"/>
      <c r="G701" s="258"/>
      <c r="H701" s="258"/>
      <c r="I701" s="258"/>
      <c r="J701" s="258"/>
      <c r="K701" s="258"/>
      <c r="L701" s="258"/>
      <c r="M701" s="258"/>
      <c r="N701" s="258"/>
      <c r="O701" s="258"/>
      <c r="P701" s="258"/>
      <c r="Q701" s="258"/>
    </row>
    <row r="702" ht="15.75" customHeight="1">
      <c r="B702" s="258"/>
      <c r="C702" s="258"/>
      <c r="D702" s="258"/>
      <c r="E702" s="258"/>
      <c r="F702" s="258"/>
      <c r="G702" s="258"/>
      <c r="H702" s="258"/>
      <c r="I702" s="258"/>
      <c r="J702" s="258"/>
      <c r="K702" s="258"/>
      <c r="L702" s="258"/>
      <c r="M702" s="258"/>
      <c r="N702" s="258"/>
      <c r="O702" s="258"/>
      <c r="P702" s="258"/>
      <c r="Q702" s="258"/>
    </row>
    <row r="703" ht="15.75" customHeight="1">
      <c r="B703" s="258"/>
      <c r="C703" s="258"/>
      <c r="D703" s="258"/>
      <c r="E703" s="258"/>
      <c r="F703" s="258"/>
      <c r="G703" s="258"/>
      <c r="H703" s="258"/>
      <c r="I703" s="258"/>
      <c r="J703" s="258"/>
      <c r="K703" s="258"/>
      <c r="L703" s="258"/>
      <c r="M703" s="258"/>
      <c r="N703" s="258"/>
      <c r="O703" s="258"/>
      <c r="P703" s="258"/>
      <c r="Q703" s="258"/>
    </row>
    <row r="704" ht="15.75" customHeight="1">
      <c r="B704" s="258"/>
      <c r="C704" s="258"/>
      <c r="D704" s="258"/>
      <c r="E704" s="258"/>
      <c r="F704" s="258"/>
      <c r="G704" s="258"/>
      <c r="H704" s="258"/>
      <c r="I704" s="258"/>
      <c r="J704" s="258"/>
      <c r="K704" s="258"/>
      <c r="L704" s="258"/>
      <c r="M704" s="258"/>
      <c r="N704" s="258"/>
      <c r="O704" s="258"/>
      <c r="P704" s="258"/>
      <c r="Q704" s="258"/>
    </row>
    <row r="705" ht="15.75" customHeight="1">
      <c r="B705" s="258"/>
      <c r="C705" s="258"/>
      <c r="D705" s="258"/>
      <c r="E705" s="258"/>
      <c r="F705" s="258"/>
      <c r="G705" s="258"/>
      <c r="H705" s="258"/>
      <c r="I705" s="258"/>
      <c r="J705" s="258"/>
      <c r="K705" s="258"/>
      <c r="L705" s="258"/>
      <c r="M705" s="258"/>
      <c r="N705" s="258"/>
      <c r="O705" s="258"/>
      <c r="P705" s="258"/>
      <c r="Q705" s="258"/>
    </row>
    <row r="706" ht="15.75" customHeight="1">
      <c r="B706" s="258"/>
      <c r="C706" s="258"/>
      <c r="D706" s="258"/>
      <c r="E706" s="258"/>
      <c r="F706" s="258"/>
      <c r="G706" s="258"/>
      <c r="H706" s="258"/>
      <c r="I706" s="258"/>
      <c r="J706" s="258"/>
      <c r="K706" s="258"/>
      <c r="L706" s="258"/>
      <c r="M706" s="258"/>
      <c r="N706" s="258"/>
      <c r="O706" s="258"/>
      <c r="P706" s="258"/>
      <c r="Q706" s="258"/>
    </row>
    <row r="707" ht="15.75" customHeight="1">
      <c r="B707" s="258"/>
      <c r="C707" s="258"/>
      <c r="D707" s="258"/>
      <c r="E707" s="258"/>
      <c r="F707" s="258"/>
      <c r="G707" s="258"/>
      <c r="H707" s="258"/>
      <c r="I707" s="258"/>
      <c r="J707" s="258"/>
      <c r="K707" s="258"/>
      <c r="L707" s="258"/>
      <c r="M707" s="258"/>
      <c r="N707" s="258"/>
      <c r="O707" s="258"/>
      <c r="P707" s="258"/>
      <c r="Q707" s="258"/>
    </row>
    <row r="708" ht="15.75" customHeight="1">
      <c r="B708" s="258"/>
      <c r="C708" s="258"/>
      <c r="D708" s="258"/>
      <c r="E708" s="258"/>
      <c r="F708" s="258"/>
      <c r="G708" s="258"/>
      <c r="H708" s="258"/>
      <c r="I708" s="258"/>
      <c r="J708" s="258"/>
      <c r="K708" s="258"/>
      <c r="L708" s="258"/>
      <c r="M708" s="258"/>
      <c r="N708" s="258"/>
      <c r="O708" s="258"/>
      <c r="P708" s="258"/>
      <c r="Q708" s="258"/>
    </row>
    <row r="709" ht="15.75" customHeight="1">
      <c r="B709" s="258"/>
      <c r="C709" s="258"/>
      <c r="D709" s="258"/>
      <c r="E709" s="258"/>
      <c r="F709" s="258"/>
      <c r="G709" s="258"/>
      <c r="H709" s="258"/>
      <c r="I709" s="258"/>
      <c r="J709" s="258"/>
      <c r="K709" s="258"/>
      <c r="L709" s="258"/>
      <c r="M709" s="258"/>
      <c r="N709" s="258"/>
      <c r="O709" s="258"/>
      <c r="P709" s="258"/>
      <c r="Q709" s="258"/>
    </row>
    <row r="710" ht="15.75" customHeight="1">
      <c r="B710" s="258"/>
      <c r="C710" s="258"/>
      <c r="D710" s="258"/>
      <c r="E710" s="258"/>
      <c r="F710" s="258"/>
      <c r="G710" s="258"/>
      <c r="H710" s="258"/>
      <c r="I710" s="258"/>
      <c r="J710" s="258"/>
      <c r="K710" s="258"/>
      <c r="L710" s="258"/>
      <c r="M710" s="258"/>
      <c r="N710" s="258"/>
      <c r="O710" s="258"/>
      <c r="P710" s="258"/>
      <c r="Q710" s="258"/>
    </row>
    <row r="711" ht="15.75" customHeight="1">
      <c r="B711" s="258"/>
      <c r="C711" s="258"/>
      <c r="D711" s="258"/>
      <c r="E711" s="258"/>
      <c r="F711" s="258"/>
      <c r="G711" s="258"/>
      <c r="H711" s="258"/>
      <c r="I711" s="258"/>
      <c r="J711" s="258"/>
      <c r="K711" s="258"/>
      <c r="L711" s="258"/>
      <c r="M711" s="258"/>
      <c r="N711" s="258"/>
      <c r="O711" s="258"/>
      <c r="P711" s="258"/>
      <c r="Q711" s="258"/>
    </row>
    <row r="712" ht="15.75" customHeight="1">
      <c r="B712" s="258"/>
      <c r="C712" s="258"/>
      <c r="D712" s="258"/>
      <c r="E712" s="258"/>
      <c r="F712" s="258"/>
      <c r="G712" s="258"/>
      <c r="H712" s="258"/>
      <c r="I712" s="258"/>
      <c r="J712" s="258"/>
      <c r="K712" s="258"/>
      <c r="L712" s="258"/>
      <c r="M712" s="258"/>
      <c r="N712" s="258"/>
      <c r="O712" s="258"/>
      <c r="P712" s="258"/>
      <c r="Q712" s="258"/>
    </row>
    <row r="713" ht="15.75" customHeight="1">
      <c r="B713" s="258"/>
      <c r="C713" s="258"/>
      <c r="D713" s="258"/>
      <c r="E713" s="258"/>
      <c r="F713" s="258"/>
      <c r="G713" s="258"/>
      <c r="H713" s="258"/>
      <c r="I713" s="258"/>
      <c r="J713" s="258"/>
      <c r="K713" s="258"/>
      <c r="L713" s="258"/>
      <c r="M713" s="258"/>
      <c r="N713" s="258"/>
      <c r="O713" s="258"/>
      <c r="P713" s="258"/>
      <c r="Q713" s="258"/>
    </row>
    <row r="714" ht="15.75" customHeight="1">
      <c r="B714" s="258"/>
      <c r="C714" s="258"/>
      <c r="D714" s="258"/>
      <c r="E714" s="258"/>
      <c r="F714" s="258"/>
      <c r="G714" s="258"/>
      <c r="H714" s="258"/>
      <c r="I714" s="258"/>
      <c r="J714" s="258"/>
      <c r="K714" s="258"/>
      <c r="L714" s="258"/>
      <c r="M714" s="258"/>
      <c r="N714" s="258"/>
      <c r="O714" s="258"/>
      <c r="P714" s="258"/>
      <c r="Q714" s="258"/>
    </row>
    <row r="715" ht="15.75" customHeight="1">
      <c r="B715" s="258"/>
      <c r="C715" s="258"/>
      <c r="D715" s="258"/>
      <c r="E715" s="258"/>
      <c r="F715" s="258"/>
      <c r="G715" s="258"/>
      <c r="H715" s="258"/>
      <c r="I715" s="258"/>
      <c r="J715" s="258"/>
      <c r="K715" s="258"/>
      <c r="L715" s="258"/>
      <c r="M715" s="258"/>
      <c r="N715" s="258"/>
      <c r="O715" s="258"/>
      <c r="P715" s="258"/>
      <c r="Q715" s="258"/>
    </row>
    <row r="716" ht="15.75" customHeight="1">
      <c r="B716" s="258"/>
      <c r="C716" s="258"/>
      <c r="D716" s="258"/>
      <c r="E716" s="258"/>
      <c r="F716" s="258"/>
      <c r="G716" s="258"/>
      <c r="H716" s="258"/>
      <c r="I716" s="258"/>
      <c r="J716" s="258"/>
      <c r="K716" s="258"/>
      <c r="L716" s="258"/>
      <c r="M716" s="258"/>
      <c r="N716" s="258"/>
      <c r="O716" s="258"/>
      <c r="P716" s="258"/>
      <c r="Q716" s="258"/>
    </row>
    <row r="717" ht="15.75" customHeight="1">
      <c r="B717" s="258"/>
      <c r="C717" s="258"/>
      <c r="D717" s="258"/>
      <c r="E717" s="258"/>
      <c r="F717" s="258"/>
      <c r="G717" s="258"/>
      <c r="H717" s="258"/>
      <c r="I717" s="258"/>
      <c r="J717" s="258"/>
      <c r="K717" s="258"/>
      <c r="L717" s="258"/>
      <c r="M717" s="258"/>
      <c r="N717" s="258"/>
      <c r="O717" s="258"/>
      <c r="P717" s="258"/>
      <c r="Q717" s="258"/>
    </row>
    <row r="718" ht="15.75" customHeight="1">
      <c r="B718" s="258"/>
      <c r="C718" s="258"/>
      <c r="D718" s="258"/>
      <c r="E718" s="258"/>
      <c r="F718" s="258"/>
      <c r="G718" s="258"/>
      <c r="H718" s="258"/>
      <c r="I718" s="258"/>
      <c r="J718" s="258"/>
      <c r="K718" s="258"/>
      <c r="L718" s="258"/>
      <c r="M718" s="258"/>
      <c r="N718" s="258"/>
      <c r="O718" s="258"/>
      <c r="P718" s="258"/>
      <c r="Q718" s="258"/>
    </row>
    <row r="719" ht="15.75" customHeight="1">
      <c r="B719" s="258"/>
      <c r="C719" s="258"/>
      <c r="D719" s="258"/>
      <c r="E719" s="258"/>
      <c r="F719" s="258"/>
      <c r="G719" s="258"/>
      <c r="H719" s="258"/>
      <c r="I719" s="258"/>
      <c r="J719" s="258"/>
      <c r="K719" s="258"/>
      <c r="L719" s="258"/>
      <c r="M719" s="258"/>
      <c r="N719" s="258"/>
      <c r="O719" s="258"/>
      <c r="P719" s="258"/>
      <c r="Q719" s="258"/>
    </row>
    <row r="720" ht="15.75" customHeight="1">
      <c r="B720" s="258"/>
      <c r="C720" s="258"/>
      <c r="D720" s="258"/>
      <c r="E720" s="258"/>
      <c r="F720" s="258"/>
      <c r="G720" s="258"/>
      <c r="H720" s="258"/>
      <c r="I720" s="258"/>
      <c r="J720" s="258"/>
      <c r="K720" s="258"/>
      <c r="L720" s="258"/>
      <c r="M720" s="258"/>
      <c r="N720" s="258"/>
      <c r="O720" s="258"/>
      <c r="P720" s="258"/>
      <c r="Q720" s="258"/>
    </row>
    <row r="721" ht="15.75" customHeight="1">
      <c r="B721" s="258"/>
      <c r="C721" s="258"/>
      <c r="D721" s="258"/>
      <c r="E721" s="258"/>
      <c r="F721" s="258"/>
      <c r="G721" s="258"/>
      <c r="H721" s="258"/>
      <c r="I721" s="258"/>
      <c r="J721" s="258"/>
      <c r="K721" s="258"/>
      <c r="L721" s="258"/>
      <c r="M721" s="258"/>
      <c r="N721" s="258"/>
      <c r="O721" s="258"/>
      <c r="P721" s="258"/>
      <c r="Q721" s="258"/>
    </row>
    <row r="722" ht="15.75" customHeight="1">
      <c r="B722" s="258"/>
      <c r="C722" s="258"/>
      <c r="D722" s="258"/>
      <c r="E722" s="258"/>
      <c r="F722" s="258"/>
      <c r="G722" s="258"/>
      <c r="H722" s="258"/>
      <c r="I722" s="258"/>
      <c r="J722" s="258"/>
      <c r="K722" s="258"/>
      <c r="L722" s="258"/>
      <c r="M722" s="258"/>
      <c r="N722" s="258"/>
      <c r="O722" s="258"/>
      <c r="P722" s="258"/>
      <c r="Q722" s="258"/>
    </row>
    <row r="723" ht="15.75" customHeight="1">
      <c r="B723" s="258"/>
      <c r="C723" s="258"/>
      <c r="D723" s="258"/>
      <c r="E723" s="258"/>
      <c r="F723" s="258"/>
      <c r="G723" s="258"/>
      <c r="H723" s="258"/>
      <c r="I723" s="258"/>
      <c r="J723" s="258"/>
      <c r="K723" s="258"/>
      <c r="L723" s="258"/>
      <c r="M723" s="258"/>
      <c r="N723" s="258"/>
      <c r="O723" s="258"/>
      <c r="P723" s="258"/>
      <c r="Q723" s="258"/>
    </row>
    <row r="724" ht="15.75" customHeight="1">
      <c r="B724" s="258"/>
      <c r="C724" s="258"/>
      <c r="D724" s="258"/>
      <c r="E724" s="258"/>
      <c r="F724" s="258"/>
      <c r="G724" s="258"/>
      <c r="H724" s="258"/>
      <c r="I724" s="258"/>
      <c r="J724" s="258"/>
      <c r="K724" s="258"/>
      <c r="L724" s="258"/>
      <c r="M724" s="258"/>
      <c r="N724" s="258"/>
      <c r="O724" s="258"/>
      <c r="P724" s="258"/>
      <c r="Q724" s="258"/>
    </row>
    <row r="725" ht="15.75" customHeight="1">
      <c r="B725" s="258"/>
      <c r="C725" s="258"/>
      <c r="D725" s="258"/>
      <c r="E725" s="258"/>
      <c r="F725" s="258"/>
      <c r="G725" s="258"/>
      <c r="H725" s="258"/>
      <c r="I725" s="258"/>
      <c r="J725" s="258"/>
      <c r="K725" s="258"/>
      <c r="L725" s="258"/>
      <c r="M725" s="258"/>
      <c r="N725" s="258"/>
      <c r="O725" s="258"/>
      <c r="P725" s="258"/>
      <c r="Q725" s="258"/>
    </row>
    <row r="726" ht="15.75" customHeight="1">
      <c r="B726" s="258"/>
      <c r="C726" s="258"/>
      <c r="D726" s="258"/>
      <c r="E726" s="258"/>
      <c r="F726" s="258"/>
      <c r="G726" s="258"/>
      <c r="H726" s="258"/>
      <c r="I726" s="258"/>
      <c r="J726" s="258"/>
      <c r="K726" s="258"/>
      <c r="L726" s="258"/>
      <c r="M726" s="258"/>
      <c r="N726" s="258"/>
      <c r="O726" s="258"/>
      <c r="P726" s="258"/>
      <c r="Q726" s="258"/>
    </row>
    <row r="727" ht="15.75" customHeight="1">
      <c r="B727" s="258"/>
      <c r="C727" s="258"/>
      <c r="D727" s="258"/>
      <c r="E727" s="258"/>
      <c r="F727" s="258"/>
      <c r="G727" s="258"/>
      <c r="H727" s="258"/>
      <c r="I727" s="258"/>
      <c r="J727" s="258"/>
      <c r="K727" s="258"/>
      <c r="L727" s="258"/>
      <c r="M727" s="258"/>
      <c r="N727" s="258"/>
      <c r="O727" s="258"/>
      <c r="P727" s="258"/>
      <c r="Q727" s="258"/>
    </row>
    <row r="728" ht="15.75" customHeight="1">
      <c r="B728" s="258"/>
      <c r="C728" s="258"/>
      <c r="D728" s="258"/>
      <c r="E728" s="258"/>
      <c r="F728" s="258"/>
      <c r="G728" s="258"/>
      <c r="H728" s="258"/>
      <c r="I728" s="258"/>
      <c r="J728" s="258"/>
      <c r="K728" s="258"/>
      <c r="L728" s="258"/>
      <c r="M728" s="258"/>
      <c r="N728" s="258"/>
      <c r="O728" s="258"/>
      <c r="P728" s="258"/>
      <c r="Q728" s="258"/>
    </row>
    <row r="729" ht="15.75" customHeight="1">
      <c r="B729" s="258"/>
      <c r="C729" s="258"/>
      <c r="D729" s="258"/>
      <c r="E729" s="258"/>
      <c r="F729" s="258"/>
      <c r="G729" s="258"/>
      <c r="H729" s="258"/>
      <c r="I729" s="258"/>
      <c r="J729" s="258"/>
      <c r="K729" s="258"/>
      <c r="L729" s="258"/>
      <c r="M729" s="258"/>
      <c r="N729" s="258"/>
      <c r="O729" s="258"/>
      <c r="P729" s="258"/>
      <c r="Q729" s="258"/>
    </row>
    <row r="730" ht="15.75" customHeight="1">
      <c r="B730" s="258"/>
      <c r="C730" s="258"/>
      <c r="D730" s="258"/>
      <c r="E730" s="258"/>
      <c r="F730" s="258"/>
      <c r="G730" s="258"/>
      <c r="H730" s="258"/>
      <c r="I730" s="258"/>
      <c r="J730" s="258"/>
      <c r="K730" s="258"/>
      <c r="L730" s="258"/>
      <c r="M730" s="258"/>
      <c r="N730" s="258"/>
      <c r="O730" s="258"/>
      <c r="P730" s="258"/>
      <c r="Q730" s="258"/>
    </row>
    <row r="731" ht="15.75" customHeight="1">
      <c r="B731" s="258"/>
      <c r="C731" s="258"/>
      <c r="D731" s="258"/>
      <c r="E731" s="258"/>
      <c r="F731" s="258"/>
      <c r="G731" s="258"/>
      <c r="H731" s="258"/>
      <c r="I731" s="258"/>
      <c r="J731" s="258"/>
      <c r="K731" s="258"/>
      <c r="L731" s="258"/>
      <c r="M731" s="258"/>
      <c r="N731" s="258"/>
      <c r="O731" s="258"/>
      <c r="P731" s="258"/>
      <c r="Q731" s="258"/>
    </row>
    <row r="732" ht="15.75" customHeight="1">
      <c r="B732" s="258"/>
      <c r="C732" s="258"/>
      <c r="D732" s="258"/>
      <c r="E732" s="258"/>
      <c r="F732" s="258"/>
      <c r="G732" s="258"/>
      <c r="H732" s="258"/>
      <c r="I732" s="258"/>
      <c r="J732" s="258"/>
      <c r="K732" s="258"/>
      <c r="L732" s="258"/>
      <c r="M732" s="258"/>
      <c r="N732" s="258"/>
      <c r="O732" s="258"/>
      <c r="P732" s="258"/>
      <c r="Q732" s="258"/>
    </row>
    <row r="733" ht="15.75" customHeight="1">
      <c r="B733" s="258"/>
      <c r="C733" s="258"/>
      <c r="D733" s="258"/>
      <c r="E733" s="258"/>
      <c r="F733" s="258"/>
      <c r="G733" s="258"/>
      <c r="H733" s="258"/>
      <c r="I733" s="258"/>
      <c r="J733" s="258"/>
      <c r="K733" s="258"/>
      <c r="L733" s="258"/>
      <c r="M733" s="258"/>
      <c r="N733" s="258"/>
      <c r="O733" s="258"/>
      <c r="P733" s="258"/>
      <c r="Q733" s="258"/>
    </row>
    <row r="734" ht="15.75" customHeight="1">
      <c r="B734" s="258"/>
      <c r="C734" s="258"/>
      <c r="D734" s="258"/>
      <c r="E734" s="258"/>
      <c r="F734" s="258"/>
      <c r="G734" s="258"/>
      <c r="H734" s="258"/>
      <c r="I734" s="258"/>
      <c r="J734" s="258"/>
      <c r="K734" s="258"/>
      <c r="L734" s="258"/>
      <c r="M734" s="258"/>
      <c r="N734" s="258"/>
      <c r="O734" s="258"/>
      <c r="P734" s="258"/>
      <c r="Q734" s="258"/>
    </row>
    <row r="735" ht="15.75" customHeight="1">
      <c r="B735" s="258"/>
      <c r="C735" s="258"/>
      <c r="D735" s="258"/>
      <c r="E735" s="258"/>
      <c r="F735" s="258"/>
      <c r="G735" s="258"/>
      <c r="H735" s="258"/>
      <c r="I735" s="258"/>
      <c r="J735" s="258"/>
      <c r="K735" s="258"/>
      <c r="L735" s="258"/>
      <c r="M735" s="258"/>
      <c r="N735" s="258"/>
      <c r="O735" s="258"/>
      <c r="P735" s="258"/>
      <c r="Q735" s="258"/>
    </row>
    <row r="736" ht="15.75" customHeight="1">
      <c r="B736" s="258"/>
      <c r="C736" s="258"/>
      <c r="D736" s="258"/>
      <c r="E736" s="258"/>
      <c r="F736" s="258"/>
      <c r="G736" s="258"/>
      <c r="H736" s="258"/>
      <c r="I736" s="258"/>
      <c r="J736" s="258"/>
      <c r="K736" s="258"/>
      <c r="L736" s="258"/>
      <c r="M736" s="258"/>
      <c r="N736" s="258"/>
      <c r="O736" s="258"/>
      <c r="P736" s="258"/>
      <c r="Q736" s="258"/>
    </row>
    <row r="737" ht="15.75" customHeight="1">
      <c r="B737" s="258"/>
      <c r="C737" s="258"/>
      <c r="D737" s="258"/>
      <c r="E737" s="258"/>
      <c r="F737" s="258"/>
      <c r="G737" s="258"/>
      <c r="H737" s="258"/>
      <c r="I737" s="258"/>
      <c r="J737" s="258"/>
      <c r="K737" s="258"/>
      <c r="L737" s="258"/>
      <c r="M737" s="258"/>
      <c r="N737" s="258"/>
      <c r="O737" s="258"/>
      <c r="P737" s="258"/>
      <c r="Q737" s="258"/>
    </row>
    <row r="738" ht="15.75" customHeight="1">
      <c r="B738" s="258"/>
      <c r="C738" s="258"/>
      <c r="D738" s="258"/>
      <c r="E738" s="258"/>
      <c r="F738" s="258"/>
      <c r="G738" s="258"/>
      <c r="H738" s="258"/>
      <c r="I738" s="258"/>
      <c r="J738" s="258"/>
      <c r="K738" s="258"/>
      <c r="L738" s="258"/>
      <c r="M738" s="258"/>
      <c r="N738" s="258"/>
      <c r="O738" s="258"/>
      <c r="P738" s="258"/>
      <c r="Q738" s="258"/>
    </row>
    <row r="739" ht="15.75" customHeight="1">
      <c r="B739" s="258"/>
      <c r="C739" s="258"/>
      <c r="D739" s="258"/>
      <c r="E739" s="258"/>
      <c r="F739" s="258"/>
      <c r="G739" s="258"/>
      <c r="H739" s="258"/>
      <c r="I739" s="258"/>
      <c r="J739" s="258"/>
      <c r="K739" s="258"/>
      <c r="L739" s="258"/>
      <c r="M739" s="258"/>
      <c r="N739" s="258"/>
      <c r="O739" s="258"/>
      <c r="P739" s="258"/>
      <c r="Q739" s="258"/>
    </row>
    <row r="740" ht="15.75" customHeight="1">
      <c r="B740" s="258"/>
      <c r="C740" s="258"/>
      <c r="D740" s="258"/>
      <c r="E740" s="258"/>
      <c r="F740" s="258"/>
      <c r="G740" s="258"/>
      <c r="H740" s="258"/>
      <c r="I740" s="258"/>
      <c r="J740" s="258"/>
      <c r="K740" s="258"/>
      <c r="L740" s="258"/>
      <c r="M740" s="258"/>
      <c r="N740" s="258"/>
      <c r="O740" s="258"/>
      <c r="P740" s="258"/>
      <c r="Q740" s="258"/>
    </row>
    <row r="741" ht="15.75" customHeight="1">
      <c r="B741" s="258"/>
      <c r="C741" s="258"/>
      <c r="D741" s="258"/>
      <c r="E741" s="258"/>
      <c r="F741" s="258"/>
      <c r="G741" s="258"/>
      <c r="H741" s="258"/>
      <c r="I741" s="258"/>
      <c r="J741" s="258"/>
      <c r="K741" s="258"/>
      <c r="L741" s="258"/>
      <c r="M741" s="258"/>
      <c r="N741" s="258"/>
      <c r="O741" s="258"/>
      <c r="P741" s="258"/>
      <c r="Q741" s="258"/>
    </row>
    <row r="742" ht="15.75" customHeight="1">
      <c r="B742" s="258"/>
      <c r="C742" s="258"/>
      <c r="D742" s="258"/>
      <c r="E742" s="258"/>
      <c r="F742" s="258"/>
      <c r="G742" s="258"/>
      <c r="H742" s="258"/>
      <c r="I742" s="258"/>
      <c r="J742" s="258"/>
      <c r="K742" s="258"/>
      <c r="L742" s="258"/>
      <c r="M742" s="258"/>
      <c r="N742" s="258"/>
      <c r="O742" s="258"/>
      <c r="P742" s="258"/>
      <c r="Q742" s="258"/>
    </row>
    <row r="743" ht="15.75" customHeight="1">
      <c r="B743" s="258"/>
      <c r="C743" s="258"/>
      <c r="D743" s="258"/>
      <c r="E743" s="258"/>
      <c r="F743" s="258"/>
      <c r="G743" s="258"/>
      <c r="H743" s="258"/>
      <c r="I743" s="258"/>
      <c r="J743" s="258"/>
      <c r="K743" s="258"/>
      <c r="L743" s="258"/>
      <c r="M743" s="258"/>
      <c r="N743" s="258"/>
      <c r="O743" s="258"/>
      <c r="P743" s="258"/>
      <c r="Q743" s="258"/>
    </row>
    <row r="744" ht="15.75" customHeight="1">
      <c r="B744" s="258"/>
      <c r="C744" s="258"/>
      <c r="D744" s="258"/>
      <c r="E744" s="258"/>
      <c r="F744" s="258"/>
      <c r="G744" s="258"/>
      <c r="H744" s="258"/>
      <c r="I744" s="258"/>
      <c r="J744" s="258"/>
      <c r="K744" s="258"/>
      <c r="L744" s="258"/>
      <c r="M744" s="258"/>
      <c r="N744" s="258"/>
      <c r="O744" s="258"/>
      <c r="P744" s="258"/>
      <c r="Q744" s="258"/>
    </row>
    <row r="745" ht="15.75" customHeight="1">
      <c r="B745" s="258"/>
      <c r="C745" s="258"/>
      <c r="D745" s="258"/>
      <c r="E745" s="258"/>
      <c r="F745" s="258"/>
      <c r="G745" s="258"/>
      <c r="H745" s="258"/>
      <c r="I745" s="258"/>
      <c r="J745" s="258"/>
      <c r="K745" s="258"/>
      <c r="L745" s="258"/>
      <c r="M745" s="258"/>
      <c r="N745" s="258"/>
      <c r="O745" s="258"/>
      <c r="P745" s="258"/>
      <c r="Q745" s="258"/>
    </row>
    <row r="746" ht="15.75" customHeight="1">
      <c r="B746" s="258"/>
      <c r="C746" s="258"/>
      <c r="D746" s="258"/>
      <c r="E746" s="258"/>
      <c r="F746" s="258"/>
      <c r="G746" s="258"/>
      <c r="H746" s="258"/>
      <c r="I746" s="258"/>
      <c r="J746" s="258"/>
      <c r="K746" s="258"/>
      <c r="L746" s="258"/>
      <c r="M746" s="258"/>
      <c r="N746" s="258"/>
      <c r="O746" s="258"/>
      <c r="P746" s="258"/>
      <c r="Q746" s="258"/>
    </row>
    <row r="747" ht="15.75" customHeight="1">
      <c r="B747" s="258"/>
      <c r="C747" s="258"/>
      <c r="D747" s="258"/>
      <c r="E747" s="258"/>
      <c r="F747" s="258"/>
      <c r="G747" s="258"/>
      <c r="H747" s="258"/>
      <c r="I747" s="258"/>
      <c r="J747" s="258"/>
      <c r="K747" s="258"/>
      <c r="L747" s="258"/>
      <c r="M747" s="258"/>
      <c r="N747" s="258"/>
      <c r="O747" s="258"/>
      <c r="P747" s="258"/>
      <c r="Q747" s="258"/>
    </row>
    <row r="748" ht="15.75" customHeight="1">
      <c r="B748" s="258"/>
      <c r="C748" s="258"/>
      <c r="D748" s="258"/>
      <c r="E748" s="258"/>
      <c r="F748" s="258"/>
      <c r="G748" s="258"/>
      <c r="H748" s="258"/>
      <c r="I748" s="258"/>
      <c r="J748" s="258"/>
      <c r="K748" s="258"/>
      <c r="L748" s="258"/>
      <c r="M748" s="258"/>
      <c r="N748" s="258"/>
      <c r="O748" s="258"/>
      <c r="P748" s="258"/>
      <c r="Q748" s="258"/>
    </row>
    <row r="749" ht="15.75" customHeight="1">
      <c r="B749" s="258"/>
      <c r="C749" s="258"/>
      <c r="D749" s="258"/>
      <c r="E749" s="258"/>
      <c r="F749" s="258"/>
      <c r="G749" s="258"/>
      <c r="H749" s="258"/>
      <c r="I749" s="258"/>
      <c r="J749" s="258"/>
      <c r="K749" s="258"/>
      <c r="L749" s="258"/>
      <c r="M749" s="258"/>
      <c r="N749" s="258"/>
      <c r="O749" s="258"/>
      <c r="P749" s="258"/>
      <c r="Q749" s="258"/>
    </row>
    <row r="750" ht="15.75" customHeight="1">
      <c r="B750" s="258"/>
      <c r="C750" s="258"/>
      <c r="D750" s="258"/>
      <c r="E750" s="258"/>
      <c r="F750" s="258"/>
      <c r="G750" s="258"/>
      <c r="H750" s="258"/>
      <c r="I750" s="258"/>
      <c r="J750" s="258"/>
      <c r="K750" s="258"/>
      <c r="L750" s="258"/>
      <c r="M750" s="258"/>
      <c r="N750" s="258"/>
      <c r="O750" s="258"/>
      <c r="P750" s="258"/>
      <c r="Q750" s="258"/>
    </row>
    <row r="751" ht="15.75" customHeight="1">
      <c r="B751" s="258"/>
      <c r="C751" s="258"/>
      <c r="D751" s="258"/>
      <c r="E751" s="258"/>
      <c r="F751" s="258"/>
      <c r="G751" s="258"/>
      <c r="H751" s="258"/>
      <c r="I751" s="258"/>
      <c r="J751" s="258"/>
      <c r="K751" s="258"/>
      <c r="L751" s="258"/>
      <c r="M751" s="258"/>
      <c r="N751" s="258"/>
      <c r="O751" s="258"/>
      <c r="P751" s="258"/>
      <c r="Q751" s="258"/>
    </row>
    <row r="752" ht="15.75" customHeight="1">
      <c r="B752" s="258"/>
      <c r="C752" s="258"/>
      <c r="D752" s="258"/>
      <c r="E752" s="258"/>
      <c r="F752" s="258"/>
      <c r="G752" s="258"/>
      <c r="H752" s="258"/>
      <c r="I752" s="258"/>
      <c r="J752" s="258"/>
      <c r="K752" s="258"/>
      <c r="L752" s="258"/>
      <c r="M752" s="258"/>
      <c r="N752" s="258"/>
      <c r="O752" s="258"/>
      <c r="P752" s="258"/>
      <c r="Q752" s="258"/>
    </row>
    <row r="753" ht="15.75" customHeight="1">
      <c r="B753" s="258"/>
      <c r="C753" s="258"/>
      <c r="D753" s="258"/>
      <c r="E753" s="258"/>
      <c r="F753" s="258"/>
      <c r="G753" s="258"/>
      <c r="H753" s="258"/>
      <c r="I753" s="258"/>
      <c r="J753" s="258"/>
      <c r="K753" s="258"/>
      <c r="L753" s="258"/>
      <c r="M753" s="258"/>
      <c r="N753" s="258"/>
      <c r="O753" s="258"/>
      <c r="P753" s="258"/>
      <c r="Q753" s="258"/>
    </row>
    <row r="754" ht="15.75" customHeight="1">
      <c r="B754" s="258"/>
      <c r="C754" s="258"/>
      <c r="D754" s="258"/>
      <c r="E754" s="258"/>
      <c r="F754" s="258"/>
      <c r="G754" s="258"/>
      <c r="H754" s="258"/>
      <c r="I754" s="258"/>
      <c r="J754" s="258"/>
      <c r="K754" s="258"/>
      <c r="L754" s="258"/>
      <c r="M754" s="258"/>
      <c r="N754" s="258"/>
      <c r="O754" s="258"/>
      <c r="P754" s="258"/>
      <c r="Q754" s="258"/>
    </row>
    <row r="755" ht="15.75" customHeight="1">
      <c r="B755" s="258"/>
      <c r="C755" s="258"/>
      <c r="D755" s="258"/>
      <c r="E755" s="258"/>
      <c r="F755" s="258"/>
      <c r="G755" s="258"/>
      <c r="H755" s="258"/>
      <c r="I755" s="258"/>
      <c r="J755" s="258"/>
      <c r="K755" s="258"/>
      <c r="L755" s="258"/>
      <c r="M755" s="258"/>
      <c r="N755" s="258"/>
      <c r="O755" s="258"/>
      <c r="P755" s="258"/>
      <c r="Q755" s="258"/>
    </row>
    <row r="756" ht="15.75" customHeight="1">
      <c r="B756" s="258"/>
      <c r="C756" s="258"/>
      <c r="D756" s="258"/>
      <c r="E756" s="258"/>
      <c r="F756" s="258"/>
      <c r="G756" s="258"/>
      <c r="H756" s="258"/>
      <c r="I756" s="258"/>
      <c r="J756" s="258"/>
      <c r="K756" s="258"/>
      <c r="L756" s="258"/>
      <c r="M756" s="258"/>
      <c r="N756" s="258"/>
      <c r="O756" s="258"/>
      <c r="P756" s="258"/>
      <c r="Q756" s="258"/>
    </row>
    <row r="757" ht="15.75" customHeight="1">
      <c r="B757" s="258"/>
      <c r="C757" s="258"/>
      <c r="D757" s="258"/>
      <c r="E757" s="258"/>
      <c r="F757" s="258"/>
      <c r="G757" s="258"/>
      <c r="H757" s="258"/>
      <c r="I757" s="258"/>
      <c r="J757" s="258"/>
      <c r="K757" s="258"/>
      <c r="L757" s="258"/>
      <c r="M757" s="258"/>
      <c r="N757" s="258"/>
      <c r="O757" s="258"/>
      <c r="P757" s="258"/>
      <c r="Q757" s="258"/>
    </row>
    <row r="758" ht="15.75" customHeight="1">
      <c r="B758" s="258"/>
      <c r="C758" s="258"/>
      <c r="D758" s="258"/>
      <c r="E758" s="258"/>
      <c r="F758" s="258"/>
      <c r="G758" s="258"/>
      <c r="H758" s="258"/>
      <c r="I758" s="258"/>
      <c r="J758" s="258"/>
      <c r="K758" s="258"/>
      <c r="L758" s="258"/>
      <c r="M758" s="258"/>
      <c r="N758" s="258"/>
      <c r="O758" s="258"/>
      <c r="P758" s="258"/>
      <c r="Q758" s="258"/>
    </row>
    <row r="759" ht="15.75" customHeight="1">
      <c r="B759" s="258"/>
      <c r="C759" s="258"/>
      <c r="D759" s="258"/>
      <c r="E759" s="258"/>
      <c r="F759" s="258"/>
      <c r="G759" s="258"/>
      <c r="H759" s="258"/>
      <c r="I759" s="258"/>
      <c r="J759" s="258"/>
      <c r="K759" s="258"/>
      <c r="L759" s="258"/>
      <c r="M759" s="258"/>
      <c r="N759" s="258"/>
      <c r="O759" s="258"/>
      <c r="P759" s="258"/>
      <c r="Q759" s="258"/>
    </row>
    <row r="760" ht="15.75" customHeight="1">
      <c r="B760" s="258"/>
      <c r="C760" s="258"/>
      <c r="D760" s="258"/>
      <c r="E760" s="258"/>
      <c r="F760" s="258"/>
      <c r="G760" s="258"/>
      <c r="H760" s="258"/>
      <c r="I760" s="258"/>
      <c r="J760" s="258"/>
      <c r="K760" s="258"/>
      <c r="L760" s="258"/>
      <c r="M760" s="258"/>
      <c r="N760" s="258"/>
      <c r="O760" s="258"/>
      <c r="P760" s="258"/>
      <c r="Q760" s="258"/>
    </row>
    <row r="761" ht="15.75" customHeight="1">
      <c r="B761" s="258"/>
      <c r="C761" s="258"/>
      <c r="D761" s="258"/>
      <c r="E761" s="258"/>
      <c r="F761" s="258"/>
      <c r="G761" s="258"/>
      <c r="H761" s="258"/>
      <c r="I761" s="258"/>
      <c r="J761" s="258"/>
      <c r="K761" s="258"/>
      <c r="L761" s="258"/>
      <c r="M761" s="258"/>
      <c r="N761" s="258"/>
      <c r="O761" s="258"/>
      <c r="P761" s="258"/>
      <c r="Q761" s="258"/>
    </row>
    <row r="762" ht="15.75" customHeight="1">
      <c r="B762" s="258"/>
      <c r="C762" s="258"/>
      <c r="D762" s="258"/>
      <c r="E762" s="258"/>
      <c r="F762" s="258"/>
      <c r="G762" s="258"/>
      <c r="H762" s="258"/>
      <c r="I762" s="258"/>
      <c r="J762" s="258"/>
      <c r="K762" s="258"/>
      <c r="L762" s="258"/>
      <c r="M762" s="258"/>
      <c r="N762" s="258"/>
      <c r="O762" s="258"/>
      <c r="P762" s="258"/>
      <c r="Q762" s="258"/>
    </row>
    <row r="763" ht="15.75" customHeight="1">
      <c r="B763" s="258"/>
      <c r="C763" s="258"/>
      <c r="D763" s="258"/>
      <c r="E763" s="258"/>
      <c r="F763" s="258"/>
      <c r="G763" s="258"/>
      <c r="H763" s="258"/>
      <c r="I763" s="258"/>
      <c r="J763" s="258"/>
      <c r="K763" s="258"/>
      <c r="L763" s="258"/>
      <c r="M763" s="258"/>
      <c r="N763" s="258"/>
      <c r="O763" s="258"/>
      <c r="P763" s="258"/>
      <c r="Q763" s="258"/>
    </row>
    <row r="764" ht="15.75" customHeight="1">
      <c r="B764" s="258"/>
      <c r="C764" s="258"/>
      <c r="D764" s="258"/>
      <c r="E764" s="258"/>
      <c r="F764" s="258"/>
      <c r="G764" s="258"/>
      <c r="H764" s="258"/>
      <c r="I764" s="258"/>
      <c r="J764" s="258"/>
      <c r="K764" s="258"/>
      <c r="L764" s="258"/>
      <c r="M764" s="258"/>
      <c r="N764" s="258"/>
      <c r="O764" s="258"/>
      <c r="P764" s="258"/>
      <c r="Q764" s="258"/>
    </row>
    <row r="765" ht="15.75" customHeight="1">
      <c r="B765" s="258"/>
      <c r="C765" s="258"/>
      <c r="D765" s="258"/>
      <c r="E765" s="258"/>
      <c r="F765" s="258"/>
      <c r="G765" s="258"/>
      <c r="H765" s="258"/>
      <c r="I765" s="258"/>
      <c r="J765" s="258"/>
      <c r="K765" s="258"/>
      <c r="L765" s="258"/>
      <c r="M765" s="258"/>
      <c r="N765" s="258"/>
      <c r="O765" s="258"/>
      <c r="P765" s="258"/>
      <c r="Q765" s="258"/>
    </row>
    <row r="766" ht="15.75" customHeight="1">
      <c r="B766" s="258"/>
      <c r="C766" s="258"/>
      <c r="D766" s="258"/>
      <c r="E766" s="258"/>
      <c r="F766" s="258"/>
      <c r="G766" s="258"/>
      <c r="H766" s="258"/>
      <c r="I766" s="258"/>
      <c r="J766" s="258"/>
      <c r="K766" s="258"/>
      <c r="L766" s="258"/>
      <c r="M766" s="258"/>
      <c r="N766" s="258"/>
      <c r="O766" s="258"/>
      <c r="P766" s="258"/>
      <c r="Q766" s="258"/>
    </row>
    <row r="767" ht="15.75" customHeight="1">
      <c r="B767" s="258"/>
      <c r="C767" s="258"/>
      <c r="D767" s="258"/>
      <c r="E767" s="258"/>
      <c r="F767" s="258"/>
      <c r="G767" s="258"/>
      <c r="H767" s="258"/>
      <c r="I767" s="258"/>
      <c r="J767" s="258"/>
      <c r="K767" s="258"/>
      <c r="L767" s="258"/>
      <c r="M767" s="258"/>
      <c r="N767" s="258"/>
      <c r="O767" s="258"/>
      <c r="P767" s="258"/>
      <c r="Q767" s="258"/>
    </row>
    <row r="768" ht="15.75" customHeight="1">
      <c r="B768" s="258"/>
      <c r="C768" s="258"/>
      <c r="D768" s="258"/>
      <c r="E768" s="258"/>
      <c r="F768" s="258"/>
      <c r="G768" s="258"/>
      <c r="H768" s="258"/>
      <c r="I768" s="258"/>
      <c r="J768" s="258"/>
      <c r="K768" s="258"/>
      <c r="L768" s="258"/>
      <c r="M768" s="258"/>
      <c r="N768" s="258"/>
      <c r="O768" s="258"/>
      <c r="P768" s="258"/>
      <c r="Q768" s="258"/>
    </row>
    <row r="769" ht="15.75" customHeight="1">
      <c r="B769" s="258"/>
      <c r="C769" s="258"/>
      <c r="D769" s="258"/>
      <c r="E769" s="258"/>
      <c r="F769" s="258"/>
      <c r="G769" s="258"/>
      <c r="H769" s="258"/>
      <c r="I769" s="258"/>
      <c r="J769" s="258"/>
      <c r="K769" s="258"/>
      <c r="L769" s="258"/>
      <c r="M769" s="258"/>
      <c r="N769" s="258"/>
      <c r="O769" s="258"/>
      <c r="P769" s="258"/>
      <c r="Q769" s="258"/>
    </row>
    <row r="770" ht="15.75" customHeight="1">
      <c r="B770" s="258"/>
      <c r="C770" s="258"/>
      <c r="D770" s="258"/>
      <c r="E770" s="258"/>
      <c r="F770" s="258"/>
      <c r="G770" s="258"/>
      <c r="H770" s="258"/>
      <c r="I770" s="258"/>
      <c r="J770" s="258"/>
      <c r="K770" s="258"/>
      <c r="L770" s="258"/>
      <c r="M770" s="258"/>
      <c r="N770" s="258"/>
      <c r="O770" s="258"/>
      <c r="P770" s="258"/>
      <c r="Q770" s="258"/>
    </row>
    <row r="771" ht="15.75" customHeight="1">
      <c r="B771" s="258"/>
      <c r="C771" s="258"/>
      <c r="D771" s="258"/>
      <c r="E771" s="258"/>
      <c r="F771" s="258"/>
      <c r="G771" s="258"/>
      <c r="H771" s="258"/>
      <c r="I771" s="258"/>
      <c r="J771" s="258"/>
      <c r="K771" s="258"/>
      <c r="L771" s="258"/>
      <c r="M771" s="258"/>
      <c r="N771" s="258"/>
      <c r="O771" s="258"/>
      <c r="P771" s="258"/>
      <c r="Q771" s="258"/>
    </row>
    <row r="772" ht="15.75" customHeight="1">
      <c r="B772" s="258"/>
      <c r="C772" s="258"/>
      <c r="D772" s="258"/>
      <c r="E772" s="258"/>
      <c r="F772" s="258"/>
      <c r="G772" s="258"/>
      <c r="H772" s="258"/>
      <c r="I772" s="258"/>
      <c r="J772" s="258"/>
      <c r="K772" s="258"/>
      <c r="L772" s="258"/>
      <c r="M772" s="258"/>
      <c r="N772" s="258"/>
      <c r="O772" s="258"/>
      <c r="P772" s="258"/>
      <c r="Q772" s="258"/>
    </row>
    <row r="773" ht="15.75" customHeight="1">
      <c r="B773" s="258"/>
      <c r="C773" s="258"/>
      <c r="D773" s="258"/>
      <c r="E773" s="258"/>
      <c r="F773" s="258"/>
      <c r="G773" s="258"/>
      <c r="H773" s="258"/>
      <c r="I773" s="258"/>
      <c r="J773" s="258"/>
      <c r="K773" s="258"/>
      <c r="L773" s="258"/>
      <c r="M773" s="258"/>
      <c r="N773" s="258"/>
      <c r="O773" s="258"/>
      <c r="P773" s="258"/>
      <c r="Q773" s="258"/>
    </row>
    <row r="774" ht="15.75" customHeight="1">
      <c r="B774" s="258"/>
      <c r="C774" s="258"/>
      <c r="D774" s="258"/>
      <c r="E774" s="258"/>
      <c r="F774" s="258"/>
      <c r="G774" s="258"/>
      <c r="H774" s="258"/>
      <c r="I774" s="258"/>
      <c r="J774" s="258"/>
      <c r="K774" s="258"/>
      <c r="L774" s="258"/>
      <c r="M774" s="258"/>
      <c r="N774" s="258"/>
      <c r="O774" s="258"/>
      <c r="P774" s="258"/>
      <c r="Q774" s="258"/>
    </row>
    <row r="775" ht="15.75" customHeight="1">
      <c r="B775" s="258"/>
      <c r="C775" s="258"/>
      <c r="D775" s="258"/>
      <c r="E775" s="258"/>
      <c r="F775" s="258"/>
      <c r="G775" s="258"/>
      <c r="H775" s="258"/>
      <c r="I775" s="258"/>
      <c r="J775" s="258"/>
      <c r="K775" s="258"/>
      <c r="L775" s="258"/>
      <c r="M775" s="258"/>
      <c r="N775" s="258"/>
      <c r="O775" s="258"/>
      <c r="P775" s="258"/>
      <c r="Q775" s="258"/>
    </row>
    <row r="776" ht="15.75" customHeight="1">
      <c r="B776" s="258"/>
      <c r="C776" s="258"/>
      <c r="D776" s="258"/>
      <c r="E776" s="258"/>
      <c r="F776" s="258"/>
      <c r="G776" s="258"/>
      <c r="H776" s="258"/>
      <c r="I776" s="258"/>
      <c r="J776" s="258"/>
      <c r="K776" s="258"/>
      <c r="L776" s="258"/>
      <c r="M776" s="258"/>
      <c r="N776" s="258"/>
      <c r="O776" s="258"/>
      <c r="P776" s="258"/>
      <c r="Q776" s="258"/>
    </row>
    <row r="777" ht="15.75" customHeight="1">
      <c r="B777" s="258"/>
      <c r="C777" s="258"/>
      <c r="D777" s="258"/>
      <c r="E777" s="258"/>
      <c r="F777" s="258"/>
      <c r="G777" s="258"/>
      <c r="H777" s="258"/>
      <c r="I777" s="258"/>
      <c r="J777" s="258"/>
      <c r="K777" s="258"/>
      <c r="L777" s="258"/>
      <c r="M777" s="258"/>
      <c r="N777" s="258"/>
      <c r="O777" s="258"/>
      <c r="P777" s="258"/>
      <c r="Q777" s="258"/>
    </row>
    <row r="778" ht="15.75" customHeight="1">
      <c r="B778" s="258"/>
      <c r="C778" s="258"/>
      <c r="D778" s="258"/>
      <c r="E778" s="258"/>
      <c r="F778" s="258"/>
      <c r="G778" s="258"/>
      <c r="H778" s="258"/>
      <c r="I778" s="258"/>
      <c r="J778" s="258"/>
      <c r="K778" s="258"/>
      <c r="L778" s="258"/>
      <c r="M778" s="258"/>
      <c r="N778" s="258"/>
      <c r="O778" s="258"/>
      <c r="P778" s="258"/>
      <c r="Q778" s="258"/>
    </row>
    <row r="779" ht="15.75" customHeight="1">
      <c r="B779" s="258"/>
      <c r="C779" s="258"/>
      <c r="D779" s="258"/>
      <c r="E779" s="258"/>
      <c r="F779" s="258"/>
      <c r="G779" s="258"/>
      <c r="H779" s="258"/>
      <c r="I779" s="258"/>
      <c r="J779" s="258"/>
      <c r="K779" s="258"/>
      <c r="L779" s="258"/>
      <c r="M779" s="258"/>
      <c r="N779" s="258"/>
      <c r="O779" s="258"/>
      <c r="P779" s="258"/>
      <c r="Q779" s="258"/>
    </row>
    <row r="780" ht="15.75" customHeight="1">
      <c r="B780" s="258"/>
      <c r="C780" s="258"/>
      <c r="D780" s="258"/>
      <c r="E780" s="258"/>
      <c r="F780" s="258"/>
      <c r="G780" s="258"/>
      <c r="H780" s="258"/>
      <c r="I780" s="258"/>
      <c r="J780" s="258"/>
      <c r="K780" s="258"/>
      <c r="L780" s="258"/>
      <c r="M780" s="258"/>
      <c r="N780" s="258"/>
      <c r="O780" s="258"/>
      <c r="P780" s="258"/>
      <c r="Q780" s="258"/>
    </row>
    <row r="781" ht="15.75" customHeight="1">
      <c r="B781" s="258"/>
      <c r="C781" s="258"/>
      <c r="D781" s="258"/>
      <c r="E781" s="258"/>
      <c r="F781" s="258"/>
      <c r="G781" s="258"/>
      <c r="H781" s="258"/>
      <c r="I781" s="258"/>
      <c r="J781" s="258"/>
      <c r="K781" s="258"/>
      <c r="L781" s="258"/>
      <c r="M781" s="258"/>
      <c r="N781" s="258"/>
      <c r="O781" s="258"/>
      <c r="P781" s="258"/>
      <c r="Q781" s="258"/>
    </row>
    <row r="782" ht="15.75" customHeight="1">
      <c r="B782" s="258"/>
      <c r="C782" s="258"/>
      <c r="D782" s="258"/>
      <c r="E782" s="258"/>
      <c r="F782" s="258"/>
      <c r="G782" s="258"/>
      <c r="H782" s="258"/>
      <c r="I782" s="258"/>
      <c r="J782" s="258"/>
      <c r="K782" s="258"/>
      <c r="L782" s="258"/>
      <c r="M782" s="258"/>
      <c r="N782" s="258"/>
      <c r="O782" s="258"/>
      <c r="P782" s="258"/>
      <c r="Q782" s="258"/>
    </row>
    <row r="783" ht="15.75" customHeight="1">
      <c r="B783" s="258"/>
      <c r="C783" s="258"/>
      <c r="D783" s="258"/>
      <c r="E783" s="258"/>
      <c r="F783" s="258"/>
      <c r="G783" s="258"/>
      <c r="H783" s="258"/>
      <c r="I783" s="258"/>
      <c r="J783" s="258"/>
      <c r="K783" s="258"/>
      <c r="L783" s="258"/>
      <c r="M783" s="258"/>
      <c r="N783" s="258"/>
      <c r="O783" s="258"/>
      <c r="P783" s="258"/>
      <c r="Q783" s="258"/>
    </row>
    <row r="784" ht="15.75" customHeight="1">
      <c r="B784" s="258"/>
      <c r="C784" s="258"/>
      <c r="D784" s="258"/>
      <c r="E784" s="258"/>
      <c r="F784" s="258"/>
      <c r="G784" s="258"/>
      <c r="H784" s="258"/>
      <c r="I784" s="258"/>
      <c r="J784" s="258"/>
      <c r="K784" s="258"/>
      <c r="L784" s="258"/>
      <c r="M784" s="258"/>
      <c r="N784" s="258"/>
      <c r="O784" s="258"/>
      <c r="P784" s="258"/>
      <c r="Q784" s="258"/>
    </row>
    <row r="785" ht="15.75" customHeight="1">
      <c r="B785" s="258"/>
      <c r="C785" s="258"/>
      <c r="D785" s="258"/>
      <c r="E785" s="258"/>
      <c r="F785" s="258"/>
      <c r="G785" s="258"/>
      <c r="H785" s="258"/>
      <c r="I785" s="258"/>
      <c r="J785" s="258"/>
      <c r="K785" s="258"/>
      <c r="L785" s="258"/>
      <c r="M785" s="258"/>
      <c r="N785" s="258"/>
      <c r="O785" s="258"/>
      <c r="P785" s="258"/>
      <c r="Q785" s="258"/>
    </row>
    <row r="786" ht="15.75" customHeight="1">
      <c r="B786" s="258"/>
      <c r="C786" s="258"/>
      <c r="D786" s="258"/>
      <c r="E786" s="258"/>
      <c r="F786" s="258"/>
      <c r="G786" s="258"/>
      <c r="H786" s="258"/>
      <c r="I786" s="258"/>
      <c r="J786" s="258"/>
      <c r="K786" s="258"/>
      <c r="L786" s="258"/>
      <c r="M786" s="258"/>
      <c r="N786" s="258"/>
      <c r="O786" s="258"/>
      <c r="P786" s="258"/>
      <c r="Q786" s="258"/>
    </row>
    <row r="787" ht="15.75" customHeight="1">
      <c r="B787" s="258"/>
      <c r="C787" s="258"/>
      <c r="D787" s="258"/>
      <c r="E787" s="258"/>
      <c r="F787" s="258"/>
      <c r="G787" s="258"/>
      <c r="H787" s="258"/>
      <c r="I787" s="258"/>
      <c r="J787" s="258"/>
      <c r="K787" s="258"/>
      <c r="L787" s="258"/>
      <c r="M787" s="258"/>
      <c r="N787" s="258"/>
      <c r="O787" s="258"/>
      <c r="P787" s="258"/>
      <c r="Q787" s="258"/>
    </row>
    <row r="788" ht="15.75" customHeight="1">
      <c r="B788" s="258"/>
      <c r="C788" s="258"/>
      <c r="D788" s="258"/>
      <c r="E788" s="258"/>
      <c r="F788" s="258"/>
      <c r="G788" s="258"/>
      <c r="H788" s="258"/>
      <c r="I788" s="258"/>
      <c r="J788" s="258"/>
      <c r="K788" s="258"/>
      <c r="L788" s="258"/>
      <c r="M788" s="258"/>
      <c r="N788" s="258"/>
      <c r="O788" s="258"/>
      <c r="P788" s="258"/>
      <c r="Q788" s="258"/>
    </row>
    <row r="789" ht="15.75" customHeight="1">
      <c r="B789" s="258"/>
      <c r="C789" s="258"/>
      <c r="D789" s="258"/>
      <c r="E789" s="258"/>
      <c r="F789" s="258"/>
      <c r="G789" s="258"/>
      <c r="H789" s="258"/>
      <c r="I789" s="258"/>
      <c r="J789" s="258"/>
      <c r="K789" s="258"/>
      <c r="L789" s="258"/>
      <c r="M789" s="258"/>
      <c r="N789" s="258"/>
      <c r="O789" s="258"/>
      <c r="P789" s="258"/>
      <c r="Q789" s="258"/>
    </row>
    <row r="790" ht="15.75" customHeight="1">
      <c r="B790" s="258"/>
      <c r="C790" s="258"/>
      <c r="D790" s="258"/>
      <c r="E790" s="258"/>
      <c r="F790" s="258"/>
      <c r="G790" s="258"/>
      <c r="H790" s="258"/>
      <c r="I790" s="258"/>
      <c r="J790" s="258"/>
      <c r="K790" s="258"/>
      <c r="L790" s="258"/>
      <c r="M790" s="258"/>
      <c r="N790" s="258"/>
      <c r="O790" s="258"/>
      <c r="P790" s="258"/>
      <c r="Q790" s="258"/>
    </row>
    <row r="791" ht="15.75" customHeight="1">
      <c r="B791" s="258"/>
      <c r="C791" s="258"/>
      <c r="D791" s="258"/>
      <c r="E791" s="258"/>
      <c r="F791" s="258"/>
      <c r="G791" s="258"/>
      <c r="H791" s="258"/>
      <c r="I791" s="258"/>
      <c r="J791" s="258"/>
      <c r="K791" s="258"/>
      <c r="L791" s="258"/>
      <c r="M791" s="258"/>
      <c r="N791" s="258"/>
      <c r="O791" s="258"/>
      <c r="P791" s="258"/>
      <c r="Q791" s="258"/>
    </row>
    <row r="792" ht="15.75" customHeight="1">
      <c r="B792" s="258"/>
      <c r="C792" s="258"/>
      <c r="D792" s="258"/>
      <c r="E792" s="258"/>
      <c r="F792" s="258"/>
      <c r="G792" s="258"/>
      <c r="H792" s="258"/>
      <c r="I792" s="258"/>
      <c r="J792" s="258"/>
      <c r="K792" s="258"/>
      <c r="L792" s="258"/>
      <c r="M792" s="258"/>
      <c r="N792" s="258"/>
      <c r="O792" s="258"/>
      <c r="P792" s="258"/>
      <c r="Q792" s="258"/>
    </row>
    <row r="793" ht="15.75" customHeight="1">
      <c r="B793" s="258"/>
      <c r="C793" s="258"/>
      <c r="D793" s="258"/>
      <c r="E793" s="258"/>
      <c r="F793" s="258"/>
      <c r="G793" s="258"/>
      <c r="H793" s="258"/>
      <c r="I793" s="258"/>
      <c r="J793" s="258"/>
      <c r="K793" s="258"/>
      <c r="L793" s="258"/>
      <c r="M793" s="258"/>
      <c r="N793" s="258"/>
      <c r="O793" s="258"/>
      <c r="P793" s="258"/>
      <c r="Q793" s="258"/>
    </row>
    <row r="794" ht="15.75" customHeight="1">
      <c r="B794" s="258"/>
      <c r="C794" s="258"/>
      <c r="D794" s="258"/>
      <c r="E794" s="258"/>
      <c r="F794" s="258"/>
      <c r="G794" s="258"/>
      <c r="H794" s="258"/>
      <c r="I794" s="258"/>
      <c r="J794" s="258"/>
      <c r="K794" s="258"/>
      <c r="L794" s="258"/>
      <c r="M794" s="258"/>
      <c r="N794" s="258"/>
      <c r="O794" s="258"/>
      <c r="P794" s="258"/>
      <c r="Q794" s="258"/>
    </row>
    <row r="795" ht="15.75" customHeight="1">
      <c r="B795" s="258"/>
      <c r="C795" s="258"/>
      <c r="D795" s="258"/>
      <c r="E795" s="258"/>
      <c r="F795" s="258"/>
      <c r="G795" s="258"/>
      <c r="H795" s="258"/>
      <c r="I795" s="258"/>
      <c r="J795" s="258"/>
      <c r="K795" s="258"/>
      <c r="L795" s="258"/>
      <c r="M795" s="258"/>
      <c r="N795" s="258"/>
      <c r="O795" s="258"/>
      <c r="P795" s="258"/>
      <c r="Q795" s="258"/>
    </row>
    <row r="796" ht="15.75" customHeight="1">
      <c r="B796" s="258"/>
      <c r="C796" s="258"/>
      <c r="D796" s="258"/>
      <c r="E796" s="258"/>
      <c r="F796" s="258"/>
      <c r="G796" s="258"/>
      <c r="H796" s="258"/>
      <c r="I796" s="258"/>
      <c r="J796" s="258"/>
      <c r="K796" s="258"/>
      <c r="L796" s="258"/>
      <c r="M796" s="258"/>
      <c r="N796" s="258"/>
      <c r="O796" s="258"/>
      <c r="P796" s="258"/>
      <c r="Q796" s="258"/>
    </row>
    <row r="797" ht="15.75" customHeight="1">
      <c r="B797" s="258"/>
      <c r="C797" s="258"/>
      <c r="D797" s="258"/>
      <c r="E797" s="258"/>
      <c r="F797" s="258"/>
      <c r="G797" s="258"/>
      <c r="H797" s="258"/>
      <c r="I797" s="258"/>
      <c r="J797" s="258"/>
      <c r="K797" s="258"/>
      <c r="L797" s="258"/>
      <c r="M797" s="258"/>
      <c r="N797" s="258"/>
      <c r="O797" s="258"/>
      <c r="P797" s="258"/>
      <c r="Q797" s="258"/>
    </row>
    <row r="798" ht="15.75" customHeight="1">
      <c r="B798" s="258"/>
      <c r="C798" s="258"/>
      <c r="D798" s="258"/>
      <c r="E798" s="258"/>
      <c r="F798" s="258"/>
      <c r="G798" s="258"/>
      <c r="H798" s="258"/>
      <c r="I798" s="258"/>
      <c r="J798" s="258"/>
      <c r="K798" s="258"/>
      <c r="L798" s="258"/>
      <c r="M798" s="258"/>
      <c r="N798" s="258"/>
      <c r="O798" s="258"/>
      <c r="P798" s="258"/>
      <c r="Q798" s="258"/>
    </row>
    <row r="799" ht="15.75" customHeight="1">
      <c r="B799" s="258"/>
      <c r="C799" s="258"/>
      <c r="D799" s="258"/>
      <c r="E799" s="258"/>
      <c r="F799" s="258"/>
      <c r="G799" s="258"/>
      <c r="H799" s="258"/>
      <c r="I799" s="258"/>
      <c r="J799" s="258"/>
      <c r="K799" s="258"/>
      <c r="L799" s="258"/>
      <c r="M799" s="258"/>
      <c r="N799" s="258"/>
      <c r="O799" s="258"/>
      <c r="P799" s="258"/>
      <c r="Q799" s="258"/>
    </row>
    <row r="800" ht="15.75" customHeight="1">
      <c r="B800" s="258"/>
      <c r="C800" s="258"/>
      <c r="D800" s="258"/>
      <c r="E800" s="258"/>
      <c r="F800" s="258"/>
      <c r="G800" s="258"/>
      <c r="H800" s="258"/>
      <c r="I800" s="258"/>
      <c r="J800" s="258"/>
      <c r="K800" s="258"/>
      <c r="L800" s="258"/>
      <c r="M800" s="258"/>
      <c r="N800" s="258"/>
      <c r="O800" s="258"/>
      <c r="P800" s="258"/>
      <c r="Q800" s="258"/>
    </row>
    <row r="801" ht="15.75" customHeight="1">
      <c r="B801" s="258"/>
      <c r="C801" s="258"/>
      <c r="D801" s="258"/>
      <c r="E801" s="258"/>
      <c r="F801" s="258"/>
      <c r="G801" s="258"/>
      <c r="H801" s="258"/>
      <c r="I801" s="258"/>
      <c r="J801" s="258"/>
      <c r="K801" s="258"/>
      <c r="L801" s="258"/>
      <c r="M801" s="258"/>
      <c r="N801" s="258"/>
      <c r="O801" s="258"/>
      <c r="P801" s="258"/>
      <c r="Q801" s="258"/>
    </row>
    <row r="802" ht="15.75" customHeight="1">
      <c r="B802" s="258"/>
      <c r="C802" s="258"/>
      <c r="D802" s="258"/>
      <c r="E802" s="258"/>
      <c r="F802" s="258"/>
      <c r="G802" s="258"/>
      <c r="H802" s="258"/>
      <c r="I802" s="258"/>
      <c r="J802" s="258"/>
      <c r="K802" s="258"/>
      <c r="L802" s="258"/>
      <c r="M802" s="258"/>
      <c r="N802" s="258"/>
      <c r="O802" s="258"/>
      <c r="P802" s="258"/>
      <c r="Q802" s="258"/>
    </row>
    <row r="803" ht="15.75" customHeight="1">
      <c r="B803" s="258"/>
      <c r="C803" s="258"/>
      <c r="D803" s="258"/>
      <c r="E803" s="258"/>
      <c r="F803" s="258"/>
      <c r="G803" s="258"/>
      <c r="H803" s="258"/>
      <c r="I803" s="258"/>
      <c r="J803" s="258"/>
      <c r="K803" s="258"/>
      <c r="L803" s="258"/>
      <c r="M803" s="258"/>
      <c r="N803" s="258"/>
      <c r="O803" s="258"/>
      <c r="P803" s="258"/>
      <c r="Q803" s="258"/>
    </row>
    <row r="804" ht="15.75" customHeight="1">
      <c r="B804" s="258"/>
      <c r="C804" s="258"/>
      <c r="D804" s="258"/>
      <c r="E804" s="258"/>
      <c r="F804" s="258"/>
      <c r="G804" s="258"/>
      <c r="H804" s="258"/>
      <c r="I804" s="258"/>
      <c r="J804" s="258"/>
      <c r="K804" s="258"/>
      <c r="L804" s="258"/>
      <c r="M804" s="258"/>
      <c r="N804" s="258"/>
      <c r="O804" s="258"/>
      <c r="P804" s="258"/>
      <c r="Q804" s="258"/>
    </row>
    <row r="805" ht="15.75" customHeight="1">
      <c r="B805" s="258"/>
      <c r="C805" s="258"/>
      <c r="D805" s="258"/>
      <c r="E805" s="258"/>
      <c r="F805" s="258"/>
      <c r="G805" s="258"/>
      <c r="H805" s="258"/>
      <c r="I805" s="258"/>
      <c r="J805" s="258"/>
      <c r="K805" s="258"/>
      <c r="L805" s="258"/>
      <c r="M805" s="258"/>
      <c r="N805" s="258"/>
      <c r="O805" s="258"/>
      <c r="P805" s="258"/>
      <c r="Q805" s="258"/>
    </row>
    <row r="806" ht="15.75" customHeight="1">
      <c r="B806" s="258"/>
      <c r="C806" s="258"/>
      <c r="D806" s="258"/>
      <c r="E806" s="258"/>
      <c r="F806" s="258"/>
      <c r="G806" s="258"/>
      <c r="H806" s="258"/>
      <c r="I806" s="258"/>
      <c r="J806" s="258"/>
      <c r="K806" s="258"/>
      <c r="L806" s="258"/>
      <c r="M806" s="258"/>
      <c r="N806" s="258"/>
      <c r="O806" s="258"/>
      <c r="P806" s="258"/>
      <c r="Q806" s="258"/>
    </row>
    <row r="807" ht="15.75" customHeight="1">
      <c r="B807" s="258"/>
      <c r="C807" s="258"/>
      <c r="D807" s="258"/>
      <c r="E807" s="258"/>
      <c r="F807" s="258"/>
      <c r="G807" s="258"/>
      <c r="H807" s="258"/>
      <c r="I807" s="258"/>
      <c r="J807" s="258"/>
      <c r="K807" s="258"/>
      <c r="L807" s="258"/>
      <c r="M807" s="258"/>
      <c r="N807" s="258"/>
      <c r="O807" s="258"/>
      <c r="P807" s="258"/>
      <c r="Q807" s="258"/>
    </row>
    <row r="808" ht="15.75" customHeight="1">
      <c r="B808" s="258"/>
      <c r="C808" s="258"/>
      <c r="D808" s="258"/>
      <c r="E808" s="258"/>
      <c r="F808" s="258"/>
      <c r="G808" s="258"/>
      <c r="H808" s="258"/>
      <c r="I808" s="258"/>
      <c r="J808" s="258"/>
      <c r="K808" s="258"/>
      <c r="L808" s="258"/>
      <c r="M808" s="258"/>
      <c r="N808" s="258"/>
      <c r="O808" s="258"/>
      <c r="P808" s="258"/>
      <c r="Q808" s="258"/>
    </row>
    <row r="809" ht="15.75" customHeight="1">
      <c r="B809" s="258"/>
      <c r="C809" s="258"/>
      <c r="D809" s="258"/>
      <c r="E809" s="258"/>
      <c r="F809" s="258"/>
      <c r="G809" s="258"/>
      <c r="H809" s="258"/>
      <c r="I809" s="258"/>
      <c r="J809" s="258"/>
      <c r="K809" s="258"/>
      <c r="L809" s="258"/>
      <c r="M809" s="258"/>
      <c r="N809" s="258"/>
      <c r="O809" s="258"/>
      <c r="P809" s="258"/>
      <c r="Q809" s="258"/>
    </row>
    <row r="810" ht="15.75" customHeight="1">
      <c r="B810" s="258"/>
      <c r="C810" s="258"/>
      <c r="D810" s="258"/>
      <c r="E810" s="258"/>
      <c r="F810" s="258"/>
      <c r="G810" s="258"/>
      <c r="H810" s="258"/>
      <c r="I810" s="258"/>
      <c r="J810" s="258"/>
      <c r="K810" s="258"/>
      <c r="L810" s="258"/>
      <c r="M810" s="258"/>
      <c r="N810" s="258"/>
      <c r="O810" s="258"/>
      <c r="P810" s="258"/>
      <c r="Q810" s="258"/>
    </row>
    <row r="811" ht="15.75" customHeight="1">
      <c r="B811" s="258"/>
      <c r="C811" s="258"/>
      <c r="D811" s="258"/>
      <c r="E811" s="258"/>
      <c r="F811" s="258"/>
      <c r="G811" s="258"/>
      <c r="H811" s="258"/>
      <c r="I811" s="258"/>
      <c r="J811" s="258"/>
      <c r="K811" s="258"/>
      <c r="L811" s="258"/>
      <c r="M811" s="258"/>
      <c r="N811" s="258"/>
      <c r="O811" s="258"/>
      <c r="P811" s="258"/>
      <c r="Q811" s="258"/>
    </row>
    <row r="812" ht="15.75" customHeight="1">
      <c r="B812" s="258"/>
      <c r="C812" s="258"/>
      <c r="D812" s="258"/>
      <c r="E812" s="258"/>
      <c r="F812" s="258"/>
      <c r="G812" s="258"/>
      <c r="H812" s="258"/>
      <c r="I812" s="258"/>
      <c r="J812" s="258"/>
      <c r="K812" s="258"/>
      <c r="L812" s="258"/>
      <c r="M812" s="258"/>
      <c r="N812" s="258"/>
      <c r="O812" s="258"/>
      <c r="P812" s="258"/>
      <c r="Q812" s="258"/>
    </row>
    <row r="813" ht="15.75" customHeight="1">
      <c r="B813" s="258"/>
      <c r="C813" s="258"/>
      <c r="D813" s="258"/>
      <c r="E813" s="258"/>
      <c r="F813" s="258"/>
      <c r="G813" s="258"/>
      <c r="H813" s="258"/>
      <c r="I813" s="258"/>
      <c r="J813" s="258"/>
      <c r="K813" s="258"/>
      <c r="L813" s="258"/>
      <c r="M813" s="258"/>
      <c r="N813" s="258"/>
      <c r="O813" s="258"/>
      <c r="P813" s="258"/>
      <c r="Q813" s="258"/>
    </row>
    <row r="814" ht="15.75" customHeight="1">
      <c r="B814" s="258"/>
      <c r="C814" s="258"/>
      <c r="D814" s="258"/>
      <c r="E814" s="258"/>
      <c r="F814" s="258"/>
      <c r="G814" s="258"/>
      <c r="H814" s="258"/>
      <c r="I814" s="258"/>
      <c r="J814" s="258"/>
      <c r="K814" s="258"/>
      <c r="L814" s="258"/>
      <c r="M814" s="258"/>
      <c r="N814" s="258"/>
      <c r="O814" s="258"/>
      <c r="P814" s="258"/>
      <c r="Q814" s="258"/>
    </row>
    <row r="815" ht="15.75" customHeight="1">
      <c r="B815" s="258"/>
      <c r="C815" s="258"/>
      <c r="D815" s="258"/>
      <c r="E815" s="258"/>
      <c r="F815" s="258"/>
      <c r="G815" s="258"/>
      <c r="H815" s="258"/>
      <c r="I815" s="258"/>
      <c r="J815" s="258"/>
      <c r="K815" s="258"/>
      <c r="L815" s="258"/>
      <c r="M815" s="258"/>
      <c r="N815" s="258"/>
      <c r="O815" s="258"/>
      <c r="P815" s="258"/>
      <c r="Q815" s="258"/>
    </row>
    <row r="816" ht="15.75" customHeight="1">
      <c r="B816" s="258"/>
      <c r="C816" s="258"/>
      <c r="D816" s="258"/>
      <c r="E816" s="258"/>
      <c r="F816" s="258"/>
      <c r="G816" s="258"/>
      <c r="H816" s="258"/>
      <c r="I816" s="258"/>
      <c r="J816" s="258"/>
      <c r="K816" s="258"/>
      <c r="L816" s="258"/>
      <c r="M816" s="258"/>
      <c r="N816" s="258"/>
      <c r="O816" s="258"/>
      <c r="P816" s="258"/>
      <c r="Q816" s="258"/>
    </row>
    <row r="817" ht="15.75" customHeight="1">
      <c r="B817" s="258"/>
      <c r="C817" s="258"/>
      <c r="D817" s="258"/>
      <c r="E817" s="258"/>
      <c r="F817" s="258"/>
      <c r="G817" s="258"/>
      <c r="H817" s="258"/>
      <c r="I817" s="258"/>
      <c r="J817" s="258"/>
      <c r="K817" s="258"/>
      <c r="L817" s="258"/>
      <c r="M817" s="258"/>
      <c r="N817" s="258"/>
      <c r="O817" s="258"/>
      <c r="P817" s="258"/>
      <c r="Q817" s="258"/>
    </row>
    <row r="818" ht="15.75" customHeight="1">
      <c r="B818" s="258"/>
      <c r="C818" s="258"/>
      <c r="D818" s="258"/>
      <c r="E818" s="258"/>
      <c r="F818" s="258"/>
      <c r="G818" s="258"/>
      <c r="H818" s="258"/>
      <c r="I818" s="258"/>
      <c r="J818" s="258"/>
      <c r="K818" s="258"/>
      <c r="L818" s="258"/>
      <c r="M818" s="258"/>
      <c r="N818" s="258"/>
      <c r="O818" s="258"/>
      <c r="P818" s="258"/>
      <c r="Q818" s="258"/>
    </row>
    <row r="819" ht="15.75" customHeight="1">
      <c r="B819" s="258"/>
      <c r="C819" s="258"/>
      <c r="D819" s="258"/>
      <c r="E819" s="258"/>
      <c r="F819" s="258"/>
      <c r="G819" s="258"/>
      <c r="H819" s="258"/>
      <c r="I819" s="258"/>
      <c r="J819" s="258"/>
      <c r="K819" s="258"/>
      <c r="L819" s="258"/>
      <c r="M819" s="258"/>
      <c r="N819" s="258"/>
      <c r="O819" s="258"/>
      <c r="P819" s="258"/>
      <c r="Q819" s="258"/>
    </row>
    <row r="820" ht="15.75" customHeight="1">
      <c r="B820" s="258"/>
      <c r="C820" s="258"/>
      <c r="D820" s="258"/>
      <c r="E820" s="258"/>
      <c r="F820" s="258"/>
      <c r="G820" s="258"/>
      <c r="H820" s="258"/>
      <c r="I820" s="258"/>
      <c r="J820" s="258"/>
      <c r="K820" s="258"/>
      <c r="L820" s="258"/>
      <c r="M820" s="258"/>
      <c r="N820" s="258"/>
      <c r="O820" s="258"/>
      <c r="P820" s="258"/>
      <c r="Q820" s="258"/>
    </row>
    <row r="821" ht="15.75" customHeight="1">
      <c r="B821" s="258"/>
      <c r="C821" s="258"/>
      <c r="D821" s="258"/>
      <c r="E821" s="258"/>
      <c r="F821" s="258"/>
      <c r="G821" s="258"/>
      <c r="H821" s="258"/>
      <c r="I821" s="258"/>
      <c r="J821" s="258"/>
      <c r="K821" s="258"/>
      <c r="L821" s="258"/>
      <c r="M821" s="258"/>
      <c r="N821" s="258"/>
      <c r="O821" s="258"/>
      <c r="P821" s="258"/>
      <c r="Q821" s="258"/>
    </row>
    <row r="822" ht="15.75" customHeight="1">
      <c r="B822" s="258"/>
      <c r="C822" s="258"/>
      <c r="D822" s="258"/>
      <c r="E822" s="258"/>
      <c r="F822" s="258"/>
      <c r="G822" s="258"/>
      <c r="H822" s="258"/>
      <c r="I822" s="258"/>
      <c r="J822" s="258"/>
      <c r="K822" s="258"/>
      <c r="L822" s="258"/>
      <c r="M822" s="258"/>
      <c r="N822" s="258"/>
      <c r="O822" s="258"/>
      <c r="P822" s="258"/>
      <c r="Q822" s="258"/>
    </row>
    <row r="823" ht="15.75" customHeight="1">
      <c r="B823" s="258"/>
      <c r="C823" s="258"/>
      <c r="D823" s="258"/>
      <c r="E823" s="258"/>
      <c r="F823" s="258"/>
      <c r="G823" s="258"/>
      <c r="H823" s="258"/>
      <c r="I823" s="258"/>
      <c r="J823" s="258"/>
      <c r="K823" s="258"/>
      <c r="L823" s="258"/>
      <c r="M823" s="258"/>
      <c r="N823" s="258"/>
      <c r="O823" s="258"/>
      <c r="P823" s="258"/>
      <c r="Q823" s="258"/>
    </row>
    <row r="824" ht="15.75" customHeight="1">
      <c r="B824" s="258"/>
      <c r="C824" s="258"/>
      <c r="D824" s="258"/>
      <c r="E824" s="258"/>
      <c r="F824" s="258"/>
      <c r="G824" s="258"/>
      <c r="H824" s="258"/>
      <c r="I824" s="258"/>
      <c r="J824" s="258"/>
      <c r="K824" s="258"/>
      <c r="L824" s="258"/>
      <c r="M824" s="258"/>
      <c r="N824" s="258"/>
      <c r="O824" s="258"/>
      <c r="P824" s="258"/>
      <c r="Q824" s="258"/>
    </row>
    <row r="825" ht="15.75" customHeight="1">
      <c r="B825" s="258"/>
      <c r="C825" s="258"/>
      <c r="D825" s="258"/>
      <c r="E825" s="258"/>
      <c r="F825" s="258"/>
      <c r="G825" s="258"/>
      <c r="H825" s="258"/>
      <c r="I825" s="258"/>
      <c r="J825" s="258"/>
      <c r="K825" s="258"/>
      <c r="L825" s="258"/>
      <c r="M825" s="258"/>
      <c r="N825" s="258"/>
      <c r="O825" s="258"/>
      <c r="P825" s="258"/>
      <c r="Q825" s="258"/>
    </row>
    <row r="826" ht="15.75" customHeight="1">
      <c r="B826" s="258"/>
      <c r="C826" s="258"/>
      <c r="D826" s="258"/>
      <c r="E826" s="258"/>
      <c r="F826" s="258"/>
      <c r="G826" s="258"/>
      <c r="H826" s="258"/>
      <c r="I826" s="258"/>
      <c r="J826" s="258"/>
      <c r="K826" s="258"/>
      <c r="L826" s="258"/>
      <c r="M826" s="258"/>
      <c r="N826" s="258"/>
      <c r="O826" s="258"/>
      <c r="P826" s="258"/>
      <c r="Q826" s="258"/>
    </row>
    <row r="827" ht="15.75" customHeight="1">
      <c r="B827" s="258"/>
      <c r="C827" s="258"/>
      <c r="D827" s="258"/>
      <c r="E827" s="258"/>
      <c r="F827" s="258"/>
      <c r="G827" s="258"/>
      <c r="H827" s="258"/>
      <c r="I827" s="258"/>
      <c r="J827" s="258"/>
      <c r="K827" s="258"/>
      <c r="L827" s="258"/>
      <c r="M827" s="258"/>
      <c r="N827" s="258"/>
      <c r="O827" s="258"/>
      <c r="P827" s="258"/>
      <c r="Q827" s="258"/>
    </row>
    <row r="828" ht="15.75" customHeight="1">
      <c r="B828" s="258"/>
      <c r="C828" s="258"/>
      <c r="D828" s="258"/>
      <c r="E828" s="258"/>
      <c r="F828" s="258"/>
      <c r="G828" s="258"/>
      <c r="H828" s="258"/>
      <c r="I828" s="258"/>
      <c r="J828" s="258"/>
      <c r="K828" s="258"/>
      <c r="L828" s="258"/>
      <c r="M828" s="258"/>
      <c r="N828" s="258"/>
      <c r="O828" s="258"/>
      <c r="P828" s="258"/>
      <c r="Q828" s="258"/>
    </row>
    <row r="829" ht="15.75" customHeight="1">
      <c r="B829" s="258"/>
      <c r="C829" s="258"/>
      <c r="D829" s="258"/>
      <c r="E829" s="258"/>
      <c r="F829" s="258"/>
      <c r="G829" s="258"/>
      <c r="H829" s="258"/>
      <c r="I829" s="258"/>
      <c r="J829" s="258"/>
      <c r="K829" s="258"/>
      <c r="L829" s="258"/>
      <c r="M829" s="258"/>
      <c r="N829" s="258"/>
      <c r="O829" s="258"/>
      <c r="P829" s="258"/>
      <c r="Q829" s="258"/>
    </row>
    <row r="830" ht="15.75" customHeight="1">
      <c r="B830" s="258"/>
      <c r="C830" s="258"/>
      <c r="D830" s="258"/>
      <c r="E830" s="258"/>
      <c r="F830" s="258"/>
      <c r="G830" s="258"/>
      <c r="H830" s="258"/>
      <c r="I830" s="258"/>
      <c r="J830" s="258"/>
      <c r="K830" s="258"/>
      <c r="L830" s="258"/>
      <c r="M830" s="258"/>
      <c r="N830" s="258"/>
      <c r="O830" s="258"/>
      <c r="P830" s="258"/>
      <c r="Q830" s="258"/>
    </row>
    <row r="831" ht="15.75" customHeight="1">
      <c r="B831" s="258"/>
      <c r="C831" s="258"/>
      <c r="D831" s="258"/>
      <c r="E831" s="258"/>
      <c r="F831" s="258"/>
      <c r="G831" s="258"/>
      <c r="H831" s="258"/>
      <c r="I831" s="258"/>
      <c r="J831" s="258"/>
      <c r="K831" s="258"/>
      <c r="L831" s="258"/>
      <c r="M831" s="258"/>
      <c r="N831" s="258"/>
      <c r="O831" s="258"/>
      <c r="P831" s="258"/>
      <c r="Q831" s="258"/>
    </row>
    <row r="832" ht="15.75" customHeight="1">
      <c r="B832" s="258"/>
      <c r="C832" s="258"/>
      <c r="D832" s="258"/>
      <c r="E832" s="258"/>
      <c r="F832" s="258"/>
      <c r="G832" s="258"/>
      <c r="H832" s="258"/>
      <c r="I832" s="258"/>
      <c r="J832" s="258"/>
      <c r="K832" s="258"/>
      <c r="L832" s="258"/>
      <c r="M832" s="258"/>
      <c r="N832" s="258"/>
      <c r="O832" s="258"/>
      <c r="P832" s="258"/>
      <c r="Q832" s="258"/>
    </row>
    <row r="833" ht="15.75" customHeight="1">
      <c r="B833" s="258"/>
      <c r="C833" s="258"/>
      <c r="D833" s="258"/>
      <c r="E833" s="258"/>
      <c r="F833" s="258"/>
      <c r="G833" s="258"/>
      <c r="H833" s="258"/>
      <c r="I833" s="258"/>
      <c r="J833" s="258"/>
      <c r="K833" s="258"/>
      <c r="L833" s="258"/>
      <c r="M833" s="258"/>
      <c r="N833" s="258"/>
      <c r="O833" s="258"/>
      <c r="P833" s="258"/>
      <c r="Q833" s="258"/>
    </row>
    <row r="834" ht="15.75" customHeight="1">
      <c r="B834" s="258"/>
      <c r="C834" s="258"/>
      <c r="D834" s="258"/>
      <c r="E834" s="258"/>
      <c r="F834" s="258"/>
      <c r="G834" s="258"/>
      <c r="H834" s="258"/>
      <c r="I834" s="258"/>
      <c r="J834" s="258"/>
      <c r="K834" s="258"/>
      <c r="L834" s="258"/>
      <c r="M834" s="258"/>
      <c r="N834" s="258"/>
      <c r="O834" s="258"/>
      <c r="P834" s="258"/>
      <c r="Q834" s="258"/>
    </row>
    <row r="835" ht="15.75" customHeight="1">
      <c r="B835" s="258"/>
      <c r="C835" s="258"/>
      <c r="D835" s="258"/>
      <c r="E835" s="258"/>
      <c r="F835" s="258"/>
      <c r="G835" s="258"/>
      <c r="H835" s="258"/>
      <c r="I835" s="258"/>
      <c r="J835" s="258"/>
      <c r="K835" s="258"/>
      <c r="L835" s="258"/>
      <c r="M835" s="258"/>
      <c r="N835" s="258"/>
      <c r="O835" s="258"/>
      <c r="P835" s="258"/>
      <c r="Q835" s="258"/>
    </row>
    <row r="836" ht="15.75" customHeight="1">
      <c r="B836" s="258"/>
      <c r="C836" s="258"/>
      <c r="D836" s="258"/>
      <c r="E836" s="258"/>
      <c r="F836" s="258"/>
      <c r="G836" s="258"/>
      <c r="H836" s="258"/>
      <c r="I836" s="258"/>
      <c r="J836" s="258"/>
      <c r="K836" s="258"/>
      <c r="L836" s="258"/>
      <c r="M836" s="258"/>
      <c r="N836" s="258"/>
      <c r="O836" s="258"/>
      <c r="P836" s="258"/>
      <c r="Q836" s="258"/>
    </row>
    <row r="837" ht="15.75" customHeight="1">
      <c r="B837" s="258"/>
      <c r="C837" s="258"/>
      <c r="D837" s="258"/>
      <c r="E837" s="258"/>
      <c r="F837" s="258"/>
      <c r="G837" s="258"/>
      <c r="H837" s="258"/>
      <c r="I837" s="258"/>
      <c r="J837" s="258"/>
      <c r="K837" s="258"/>
      <c r="L837" s="258"/>
      <c r="M837" s="258"/>
      <c r="N837" s="258"/>
      <c r="O837" s="258"/>
      <c r="P837" s="258"/>
      <c r="Q837" s="258"/>
    </row>
    <row r="838" ht="15.75" customHeight="1">
      <c r="B838" s="258"/>
      <c r="C838" s="258"/>
      <c r="D838" s="258"/>
      <c r="E838" s="258"/>
      <c r="F838" s="258"/>
      <c r="G838" s="258"/>
      <c r="H838" s="258"/>
      <c r="I838" s="258"/>
      <c r="J838" s="258"/>
      <c r="K838" s="258"/>
      <c r="L838" s="258"/>
      <c r="M838" s="258"/>
      <c r="N838" s="258"/>
      <c r="O838" s="258"/>
      <c r="P838" s="258"/>
      <c r="Q838" s="258"/>
    </row>
    <row r="839" ht="15.75" customHeight="1">
      <c r="B839" s="258"/>
      <c r="C839" s="258"/>
      <c r="D839" s="258"/>
      <c r="E839" s="258"/>
      <c r="F839" s="258"/>
      <c r="G839" s="258"/>
      <c r="H839" s="258"/>
      <c r="I839" s="258"/>
      <c r="J839" s="258"/>
      <c r="K839" s="258"/>
      <c r="L839" s="258"/>
      <c r="M839" s="258"/>
      <c r="N839" s="258"/>
      <c r="O839" s="258"/>
      <c r="P839" s="258"/>
      <c r="Q839" s="258"/>
    </row>
    <row r="840" ht="15.75" customHeight="1">
      <c r="B840" s="258"/>
      <c r="C840" s="258"/>
      <c r="D840" s="258"/>
      <c r="E840" s="258"/>
      <c r="F840" s="258"/>
      <c r="G840" s="258"/>
      <c r="H840" s="258"/>
      <c r="I840" s="258"/>
      <c r="J840" s="258"/>
      <c r="K840" s="258"/>
      <c r="L840" s="258"/>
      <c r="M840" s="258"/>
      <c r="N840" s="258"/>
      <c r="O840" s="258"/>
      <c r="P840" s="258"/>
      <c r="Q840" s="258"/>
    </row>
    <row r="841" ht="15.75" customHeight="1">
      <c r="B841" s="258"/>
      <c r="C841" s="258"/>
      <c r="D841" s="258"/>
      <c r="E841" s="258"/>
      <c r="F841" s="258"/>
      <c r="G841" s="258"/>
      <c r="H841" s="258"/>
      <c r="I841" s="258"/>
      <c r="J841" s="258"/>
      <c r="K841" s="258"/>
      <c r="L841" s="258"/>
      <c r="M841" s="258"/>
      <c r="N841" s="258"/>
      <c r="O841" s="258"/>
      <c r="P841" s="258"/>
      <c r="Q841" s="258"/>
    </row>
    <row r="842" ht="15.75" customHeight="1">
      <c r="B842" s="258"/>
      <c r="C842" s="258"/>
      <c r="D842" s="258"/>
      <c r="E842" s="258"/>
      <c r="F842" s="258"/>
      <c r="G842" s="258"/>
      <c r="H842" s="258"/>
      <c r="I842" s="258"/>
      <c r="J842" s="258"/>
      <c r="K842" s="258"/>
      <c r="L842" s="258"/>
      <c r="M842" s="258"/>
      <c r="N842" s="258"/>
      <c r="O842" s="258"/>
      <c r="P842" s="258"/>
      <c r="Q842" s="258"/>
    </row>
    <row r="843" ht="15.75" customHeight="1">
      <c r="B843" s="258"/>
      <c r="C843" s="258"/>
      <c r="D843" s="258"/>
      <c r="E843" s="258"/>
      <c r="F843" s="258"/>
      <c r="G843" s="258"/>
      <c r="H843" s="258"/>
      <c r="I843" s="258"/>
      <c r="J843" s="258"/>
      <c r="K843" s="258"/>
      <c r="L843" s="258"/>
      <c r="M843" s="258"/>
      <c r="N843" s="258"/>
      <c r="O843" s="258"/>
      <c r="P843" s="258"/>
      <c r="Q843" s="258"/>
    </row>
    <row r="844" ht="15.75" customHeight="1">
      <c r="B844" s="258"/>
      <c r="C844" s="258"/>
      <c r="D844" s="258"/>
      <c r="E844" s="258"/>
      <c r="F844" s="258"/>
      <c r="G844" s="258"/>
      <c r="H844" s="258"/>
      <c r="I844" s="258"/>
      <c r="J844" s="258"/>
      <c r="K844" s="258"/>
      <c r="L844" s="258"/>
      <c r="M844" s="258"/>
      <c r="N844" s="258"/>
      <c r="O844" s="258"/>
      <c r="P844" s="258"/>
      <c r="Q844" s="258"/>
    </row>
    <row r="845" ht="15.75" customHeight="1">
      <c r="B845" s="258"/>
      <c r="C845" s="258"/>
      <c r="D845" s="258"/>
      <c r="E845" s="258"/>
      <c r="F845" s="258"/>
      <c r="G845" s="258"/>
      <c r="H845" s="258"/>
      <c r="I845" s="258"/>
      <c r="J845" s="258"/>
      <c r="K845" s="258"/>
      <c r="L845" s="258"/>
      <c r="M845" s="258"/>
      <c r="N845" s="258"/>
      <c r="O845" s="258"/>
      <c r="P845" s="258"/>
      <c r="Q845" s="258"/>
    </row>
    <row r="846" ht="15.75" customHeight="1">
      <c r="B846" s="258"/>
      <c r="C846" s="258"/>
      <c r="D846" s="258"/>
      <c r="E846" s="258"/>
      <c r="F846" s="258"/>
      <c r="G846" s="258"/>
      <c r="H846" s="258"/>
      <c r="I846" s="258"/>
      <c r="J846" s="258"/>
      <c r="K846" s="258"/>
      <c r="L846" s="258"/>
      <c r="M846" s="258"/>
      <c r="N846" s="258"/>
      <c r="O846" s="258"/>
      <c r="P846" s="258"/>
      <c r="Q846" s="258"/>
    </row>
    <row r="847" ht="15.75" customHeight="1">
      <c r="B847" s="258"/>
      <c r="C847" s="258"/>
      <c r="D847" s="258"/>
      <c r="E847" s="258"/>
      <c r="F847" s="258"/>
      <c r="G847" s="258"/>
      <c r="H847" s="258"/>
      <c r="I847" s="258"/>
      <c r="J847" s="258"/>
      <c r="K847" s="258"/>
      <c r="L847" s="258"/>
      <c r="M847" s="258"/>
      <c r="N847" s="258"/>
      <c r="O847" s="258"/>
      <c r="P847" s="258"/>
      <c r="Q847" s="258"/>
    </row>
    <row r="848" ht="15.75" customHeight="1">
      <c r="B848" s="258"/>
      <c r="C848" s="258"/>
      <c r="D848" s="258"/>
      <c r="E848" s="258"/>
      <c r="F848" s="258"/>
      <c r="G848" s="258"/>
      <c r="H848" s="258"/>
      <c r="I848" s="258"/>
      <c r="J848" s="258"/>
      <c r="K848" s="258"/>
      <c r="L848" s="258"/>
      <c r="M848" s="258"/>
      <c r="N848" s="258"/>
      <c r="O848" s="258"/>
      <c r="P848" s="258"/>
      <c r="Q848" s="258"/>
    </row>
    <row r="849" ht="15.75" customHeight="1">
      <c r="B849" s="258"/>
      <c r="C849" s="258"/>
      <c r="D849" s="258"/>
      <c r="E849" s="258"/>
      <c r="F849" s="258"/>
      <c r="G849" s="258"/>
      <c r="H849" s="258"/>
      <c r="I849" s="258"/>
      <c r="J849" s="258"/>
      <c r="K849" s="258"/>
      <c r="L849" s="258"/>
      <c r="M849" s="258"/>
      <c r="N849" s="258"/>
      <c r="O849" s="258"/>
      <c r="P849" s="258"/>
      <c r="Q849" s="258"/>
    </row>
    <row r="850" ht="15.75" customHeight="1">
      <c r="B850" s="258"/>
      <c r="C850" s="258"/>
      <c r="D850" s="258"/>
      <c r="E850" s="258"/>
      <c r="F850" s="258"/>
      <c r="G850" s="258"/>
      <c r="H850" s="258"/>
      <c r="I850" s="258"/>
      <c r="J850" s="258"/>
      <c r="K850" s="258"/>
      <c r="L850" s="258"/>
      <c r="M850" s="258"/>
      <c r="N850" s="258"/>
      <c r="O850" s="258"/>
      <c r="P850" s="258"/>
      <c r="Q850" s="258"/>
    </row>
    <row r="851" ht="15.75" customHeight="1">
      <c r="B851" s="258"/>
      <c r="C851" s="258"/>
      <c r="D851" s="258"/>
      <c r="E851" s="258"/>
      <c r="F851" s="258"/>
      <c r="G851" s="258"/>
      <c r="H851" s="258"/>
      <c r="I851" s="258"/>
      <c r="J851" s="258"/>
      <c r="K851" s="258"/>
      <c r="L851" s="258"/>
      <c r="M851" s="258"/>
      <c r="N851" s="258"/>
      <c r="O851" s="258"/>
      <c r="P851" s="258"/>
      <c r="Q851" s="258"/>
    </row>
    <row r="852" ht="15.75" customHeight="1">
      <c r="B852" s="258"/>
      <c r="C852" s="258"/>
      <c r="D852" s="258"/>
      <c r="E852" s="258"/>
      <c r="F852" s="258"/>
      <c r="G852" s="258"/>
      <c r="H852" s="258"/>
      <c r="I852" s="258"/>
      <c r="J852" s="258"/>
      <c r="K852" s="258"/>
      <c r="L852" s="258"/>
      <c r="M852" s="258"/>
      <c r="N852" s="258"/>
      <c r="O852" s="258"/>
      <c r="P852" s="258"/>
      <c r="Q852" s="258"/>
    </row>
    <row r="853" ht="15.75" customHeight="1">
      <c r="B853" s="258"/>
      <c r="C853" s="258"/>
      <c r="D853" s="258"/>
      <c r="E853" s="258"/>
      <c r="F853" s="258"/>
      <c r="G853" s="258"/>
      <c r="H853" s="258"/>
      <c r="I853" s="258"/>
      <c r="J853" s="258"/>
      <c r="K853" s="258"/>
      <c r="L853" s="258"/>
      <c r="M853" s="258"/>
      <c r="N853" s="258"/>
      <c r="O853" s="258"/>
      <c r="P853" s="258"/>
      <c r="Q853" s="258"/>
    </row>
    <row r="854" ht="15.75" customHeight="1">
      <c r="B854" s="258"/>
      <c r="C854" s="258"/>
      <c r="D854" s="258"/>
      <c r="E854" s="258"/>
      <c r="F854" s="258"/>
      <c r="G854" s="258"/>
      <c r="H854" s="258"/>
      <c r="I854" s="258"/>
      <c r="J854" s="258"/>
      <c r="K854" s="258"/>
      <c r="L854" s="258"/>
      <c r="M854" s="258"/>
      <c r="N854" s="258"/>
      <c r="O854" s="258"/>
      <c r="P854" s="258"/>
      <c r="Q854" s="258"/>
    </row>
    <row r="855" ht="15.75" customHeight="1">
      <c r="B855" s="258"/>
      <c r="C855" s="258"/>
      <c r="D855" s="258"/>
      <c r="E855" s="258"/>
      <c r="F855" s="258"/>
      <c r="G855" s="258"/>
      <c r="H855" s="258"/>
      <c r="I855" s="258"/>
      <c r="J855" s="258"/>
      <c r="K855" s="258"/>
      <c r="L855" s="258"/>
      <c r="M855" s="258"/>
      <c r="N855" s="258"/>
      <c r="O855" s="258"/>
      <c r="P855" s="258"/>
      <c r="Q855" s="258"/>
    </row>
    <row r="856" ht="15.75" customHeight="1">
      <c r="B856" s="258"/>
      <c r="C856" s="258"/>
      <c r="D856" s="258"/>
      <c r="E856" s="258"/>
      <c r="F856" s="258"/>
      <c r="G856" s="258"/>
      <c r="H856" s="258"/>
      <c r="I856" s="258"/>
      <c r="J856" s="258"/>
      <c r="K856" s="258"/>
      <c r="L856" s="258"/>
      <c r="M856" s="258"/>
      <c r="N856" s="258"/>
      <c r="O856" s="258"/>
      <c r="P856" s="258"/>
      <c r="Q856" s="258"/>
    </row>
    <row r="857" ht="15.75" customHeight="1">
      <c r="B857" s="258"/>
      <c r="C857" s="258"/>
      <c r="D857" s="258"/>
      <c r="E857" s="258"/>
      <c r="F857" s="258"/>
      <c r="G857" s="258"/>
      <c r="H857" s="258"/>
      <c r="I857" s="258"/>
      <c r="J857" s="258"/>
      <c r="K857" s="258"/>
      <c r="L857" s="258"/>
      <c r="M857" s="258"/>
      <c r="N857" s="258"/>
      <c r="O857" s="258"/>
      <c r="P857" s="258"/>
      <c r="Q857" s="258"/>
    </row>
    <row r="858" ht="15.75" customHeight="1">
      <c r="B858" s="258"/>
      <c r="C858" s="258"/>
      <c r="D858" s="258"/>
      <c r="E858" s="258"/>
      <c r="F858" s="258"/>
      <c r="G858" s="258"/>
      <c r="H858" s="258"/>
      <c r="I858" s="258"/>
      <c r="J858" s="258"/>
      <c r="K858" s="258"/>
      <c r="L858" s="258"/>
      <c r="M858" s="258"/>
      <c r="N858" s="258"/>
      <c r="O858" s="258"/>
      <c r="P858" s="258"/>
      <c r="Q858" s="258"/>
    </row>
    <row r="859" ht="15.75" customHeight="1">
      <c r="B859" s="258"/>
      <c r="C859" s="258"/>
      <c r="D859" s="258"/>
      <c r="E859" s="258"/>
      <c r="F859" s="258"/>
      <c r="G859" s="258"/>
      <c r="H859" s="258"/>
      <c r="I859" s="258"/>
      <c r="J859" s="258"/>
      <c r="K859" s="258"/>
      <c r="L859" s="258"/>
      <c r="M859" s="258"/>
      <c r="N859" s="258"/>
      <c r="O859" s="258"/>
      <c r="P859" s="258"/>
      <c r="Q859" s="258"/>
    </row>
    <row r="860" ht="15.75" customHeight="1">
      <c r="B860" s="258"/>
      <c r="C860" s="258"/>
      <c r="D860" s="258"/>
      <c r="E860" s="258"/>
      <c r="F860" s="258"/>
      <c r="G860" s="258"/>
      <c r="H860" s="258"/>
      <c r="I860" s="258"/>
      <c r="J860" s="258"/>
      <c r="K860" s="258"/>
      <c r="L860" s="258"/>
      <c r="M860" s="258"/>
      <c r="N860" s="258"/>
      <c r="O860" s="258"/>
      <c r="P860" s="258"/>
      <c r="Q860" s="258"/>
    </row>
    <row r="861" ht="15.75" customHeight="1">
      <c r="B861" s="258"/>
      <c r="C861" s="258"/>
      <c r="D861" s="258"/>
      <c r="E861" s="258"/>
      <c r="F861" s="258"/>
      <c r="G861" s="258"/>
      <c r="H861" s="258"/>
      <c r="I861" s="258"/>
      <c r="J861" s="258"/>
      <c r="K861" s="258"/>
      <c r="L861" s="258"/>
      <c r="M861" s="258"/>
      <c r="N861" s="258"/>
      <c r="O861" s="258"/>
      <c r="P861" s="258"/>
      <c r="Q861" s="258"/>
    </row>
    <row r="862" ht="15.75" customHeight="1">
      <c r="B862" s="258"/>
      <c r="C862" s="258"/>
      <c r="D862" s="258"/>
      <c r="E862" s="258"/>
      <c r="F862" s="258"/>
      <c r="G862" s="258"/>
      <c r="H862" s="258"/>
      <c r="I862" s="258"/>
      <c r="J862" s="258"/>
      <c r="K862" s="258"/>
      <c r="L862" s="258"/>
      <c r="M862" s="258"/>
      <c r="N862" s="258"/>
      <c r="O862" s="258"/>
      <c r="P862" s="258"/>
      <c r="Q862" s="258"/>
    </row>
    <row r="863" ht="15.75" customHeight="1">
      <c r="B863" s="258"/>
      <c r="C863" s="258"/>
      <c r="D863" s="258"/>
      <c r="E863" s="258"/>
      <c r="F863" s="258"/>
      <c r="G863" s="258"/>
      <c r="H863" s="258"/>
      <c r="I863" s="258"/>
      <c r="J863" s="258"/>
      <c r="K863" s="258"/>
      <c r="L863" s="258"/>
      <c r="M863" s="258"/>
      <c r="N863" s="258"/>
      <c r="O863" s="258"/>
      <c r="P863" s="258"/>
      <c r="Q863" s="258"/>
    </row>
    <row r="864" ht="15.75" customHeight="1">
      <c r="B864" s="258"/>
      <c r="C864" s="258"/>
      <c r="D864" s="258"/>
      <c r="E864" s="258"/>
      <c r="F864" s="258"/>
      <c r="G864" s="258"/>
      <c r="H864" s="258"/>
      <c r="I864" s="258"/>
      <c r="J864" s="258"/>
      <c r="K864" s="258"/>
      <c r="L864" s="258"/>
      <c r="M864" s="258"/>
      <c r="N864" s="258"/>
      <c r="O864" s="258"/>
      <c r="P864" s="258"/>
      <c r="Q864" s="258"/>
    </row>
    <row r="865" ht="15.75" customHeight="1">
      <c r="B865" s="258"/>
      <c r="C865" s="258"/>
      <c r="D865" s="258"/>
      <c r="E865" s="258"/>
      <c r="F865" s="258"/>
      <c r="G865" s="258"/>
      <c r="H865" s="258"/>
      <c r="I865" s="258"/>
      <c r="J865" s="258"/>
      <c r="K865" s="258"/>
      <c r="L865" s="258"/>
      <c r="M865" s="258"/>
      <c r="N865" s="258"/>
      <c r="O865" s="258"/>
      <c r="P865" s="258"/>
      <c r="Q865" s="258"/>
    </row>
    <row r="866" ht="15.75" customHeight="1">
      <c r="B866" s="258"/>
      <c r="C866" s="258"/>
      <c r="D866" s="258"/>
      <c r="E866" s="258"/>
      <c r="F866" s="258"/>
      <c r="G866" s="258"/>
      <c r="H866" s="258"/>
      <c r="I866" s="258"/>
      <c r="J866" s="258"/>
      <c r="K866" s="258"/>
      <c r="L866" s="258"/>
      <c r="M866" s="258"/>
      <c r="N866" s="258"/>
      <c r="O866" s="258"/>
      <c r="P866" s="258"/>
      <c r="Q866" s="258"/>
    </row>
    <row r="867" ht="15.75" customHeight="1">
      <c r="B867" s="258"/>
      <c r="C867" s="258"/>
      <c r="D867" s="258"/>
      <c r="E867" s="258"/>
      <c r="F867" s="258"/>
      <c r="G867" s="258"/>
      <c r="H867" s="258"/>
      <c r="I867" s="258"/>
      <c r="J867" s="258"/>
      <c r="K867" s="258"/>
      <c r="L867" s="258"/>
      <c r="M867" s="258"/>
      <c r="N867" s="258"/>
      <c r="O867" s="258"/>
      <c r="P867" s="258"/>
      <c r="Q867" s="258"/>
    </row>
    <row r="868" ht="15.75" customHeight="1">
      <c r="B868" s="258"/>
      <c r="C868" s="258"/>
      <c r="D868" s="258"/>
      <c r="E868" s="258"/>
      <c r="F868" s="258"/>
      <c r="G868" s="258"/>
      <c r="H868" s="258"/>
      <c r="I868" s="258"/>
      <c r="J868" s="258"/>
      <c r="K868" s="258"/>
      <c r="L868" s="258"/>
      <c r="M868" s="258"/>
      <c r="N868" s="258"/>
      <c r="O868" s="258"/>
      <c r="P868" s="258"/>
      <c r="Q868" s="258"/>
    </row>
    <row r="869" ht="15.75" customHeight="1">
      <c r="B869" s="258"/>
      <c r="C869" s="258"/>
      <c r="D869" s="258"/>
      <c r="E869" s="258"/>
      <c r="F869" s="258"/>
      <c r="G869" s="258"/>
      <c r="H869" s="258"/>
      <c r="I869" s="258"/>
      <c r="J869" s="258"/>
      <c r="K869" s="258"/>
      <c r="L869" s="258"/>
      <c r="M869" s="258"/>
      <c r="N869" s="258"/>
      <c r="O869" s="258"/>
      <c r="P869" s="258"/>
      <c r="Q869" s="258"/>
    </row>
    <row r="870" ht="15.75" customHeight="1">
      <c r="B870" s="258"/>
      <c r="C870" s="258"/>
      <c r="D870" s="258"/>
      <c r="E870" s="258"/>
      <c r="F870" s="258"/>
      <c r="G870" s="258"/>
      <c r="H870" s="258"/>
      <c r="I870" s="258"/>
      <c r="J870" s="258"/>
      <c r="K870" s="258"/>
      <c r="L870" s="258"/>
      <c r="M870" s="258"/>
      <c r="N870" s="258"/>
      <c r="O870" s="258"/>
      <c r="P870" s="258"/>
      <c r="Q870" s="258"/>
    </row>
    <row r="871" ht="15.75" customHeight="1">
      <c r="B871" s="258"/>
      <c r="C871" s="258"/>
      <c r="D871" s="258"/>
      <c r="E871" s="258"/>
      <c r="F871" s="258"/>
      <c r="G871" s="258"/>
      <c r="H871" s="258"/>
      <c r="I871" s="258"/>
      <c r="J871" s="258"/>
      <c r="K871" s="258"/>
      <c r="L871" s="258"/>
      <c r="M871" s="258"/>
      <c r="N871" s="258"/>
      <c r="O871" s="258"/>
      <c r="P871" s="258"/>
      <c r="Q871" s="258"/>
    </row>
    <row r="872" ht="15.75" customHeight="1">
      <c r="B872" s="258"/>
      <c r="C872" s="258"/>
      <c r="D872" s="258"/>
      <c r="E872" s="258"/>
      <c r="F872" s="258"/>
      <c r="G872" s="258"/>
      <c r="H872" s="258"/>
      <c r="I872" s="258"/>
      <c r="J872" s="258"/>
      <c r="K872" s="258"/>
      <c r="L872" s="258"/>
      <c r="M872" s="258"/>
      <c r="N872" s="258"/>
      <c r="O872" s="258"/>
      <c r="P872" s="258"/>
      <c r="Q872" s="258"/>
    </row>
    <row r="873" ht="15.75" customHeight="1">
      <c r="B873" s="258"/>
      <c r="C873" s="258"/>
      <c r="D873" s="258"/>
      <c r="E873" s="258"/>
      <c r="F873" s="258"/>
      <c r="G873" s="258"/>
      <c r="H873" s="258"/>
      <c r="I873" s="258"/>
      <c r="J873" s="258"/>
      <c r="K873" s="258"/>
      <c r="L873" s="258"/>
      <c r="M873" s="258"/>
      <c r="N873" s="258"/>
      <c r="O873" s="258"/>
      <c r="P873" s="258"/>
      <c r="Q873" s="258"/>
    </row>
    <row r="874" ht="15.75" customHeight="1">
      <c r="B874" s="258"/>
      <c r="C874" s="258"/>
      <c r="D874" s="258"/>
      <c r="E874" s="258"/>
      <c r="F874" s="258"/>
      <c r="G874" s="258"/>
      <c r="H874" s="258"/>
      <c r="I874" s="258"/>
      <c r="J874" s="258"/>
      <c r="K874" s="258"/>
      <c r="L874" s="258"/>
      <c r="M874" s="258"/>
      <c r="N874" s="258"/>
      <c r="O874" s="258"/>
      <c r="P874" s="258"/>
      <c r="Q874" s="258"/>
    </row>
    <row r="875" ht="15.75" customHeight="1">
      <c r="B875" s="258"/>
      <c r="C875" s="258"/>
      <c r="D875" s="258"/>
      <c r="E875" s="258"/>
      <c r="F875" s="258"/>
      <c r="G875" s="258"/>
      <c r="H875" s="258"/>
      <c r="I875" s="258"/>
      <c r="J875" s="258"/>
      <c r="K875" s="258"/>
      <c r="L875" s="258"/>
      <c r="M875" s="258"/>
      <c r="N875" s="258"/>
      <c r="O875" s="258"/>
      <c r="P875" s="258"/>
      <c r="Q875" s="258"/>
    </row>
    <row r="876" ht="15.75" customHeight="1">
      <c r="B876" s="258"/>
      <c r="C876" s="258"/>
      <c r="D876" s="258"/>
      <c r="E876" s="258"/>
      <c r="F876" s="258"/>
      <c r="G876" s="258"/>
      <c r="H876" s="258"/>
      <c r="I876" s="258"/>
      <c r="J876" s="258"/>
      <c r="K876" s="258"/>
      <c r="L876" s="258"/>
      <c r="M876" s="258"/>
      <c r="N876" s="258"/>
      <c r="O876" s="258"/>
      <c r="P876" s="258"/>
      <c r="Q876" s="258"/>
    </row>
    <row r="877" ht="15.75" customHeight="1">
      <c r="B877" s="258"/>
      <c r="C877" s="258"/>
      <c r="D877" s="258"/>
      <c r="E877" s="258"/>
      <c r="F877" s="258"/>
      <c r="G877" s="258"/>
      <c r="H877" s="258"/>
      <c r="I877" s="258"/>
      <c r="J877" s="258"/>
      <c r="K877" s="258"/>
      <c r="L877" s="258"/>
      <c r="M877" s="258"/>
      <c r="N877" s="258"/>
      <c r="O877" s="258"/>
      <c r="P877" s="258"/>
      <c r="Q877" s="258"/>
    </row>
    <row r="878" ht="15.75" customHeight="1">
      <c r="B878" s="258"/>
      <c r="C878" s="258"/>
      <c r="D878" s="258"/>
      <c r="E878" s="258"/>
      <c r="F878" s="258"/>
      <c r="G878" s="258"/>
      <c r="H878" s="258"/>
      <c r="I878" s="258"/>
      <c r="J878" s="258"/>
      <c r="K878" s="258"/>
      <c r="L878" s="258"/>
      <c r="M878" s="258"/>
      <c r="N878" s="258"/>
      <c r="O878" s="258"/>
      <c r="P878" s="258"/>
      <c r="Q878" s="258"/>
    </row>
    <row r="879" ht="15.75" customHeight="1">
      <c r="B879" s="258"/>
      <c r="C879" s="258"/>
      <c r="D879" s="258"/>
      <c r="E879" s="258"/>
      <c r="F879" s="258"/>
      <c r="G879" s="258"/>
      <c r="H879" s="258"/>
      <c r="I879" s="258"/>
      <c r="J879" s="258"/>
      <c r="K879" s="258"/>
      <c r="L879" s="258"/>
      <c r="M879" s="258"/>
      <c r="N879" s="258"/>
      <c r="O879" s="258"/>
      <c r="P879" s="258"/>
      <c r="Q879" s="258"/>
    </row>
    <row r="880" ht="15.75" customHeight="1">
      <c r="B880" s="258"/>
      <c r="C880" s="258"/>
      <c r="D880" s="258"/>
      <c r="E880" s="258"/>
      <c r="F880" s="258"/>
      <c r="G880" s="258"/>
      <c r="H880" s="258"/>
      <c r="I880" s="258"/>
      <c r="J880" s="258"/>
      <c r="K880" s="258"/>
      <c r="L880" s="258"/>
      <c r="M880" s="258"/>
      <c r="N880" s="258"/>
      <c r="O880" s="258"/>
      <c r="P880" s="258"/>
      <c r="Q880" s="258"/>
    </row>
    <row r="881" ht="15.75" customHeight="1">
      <c r="B881" s="258"/>
      <c r="C881" s="258"/>
      <c r="D881" s="258"/>
      <c r="E881" s="258"/>
      <c r="F881" s="258"/>
      <c r="G881" s="258"/>
      <c r="H881" s="258"/>
      <c r="I881" s="258"/>
      <c r="J881" s="258"/>
      <c r="K881" s="258"/>
      <c r="L881" s="258"/>
      <c r="M881" s="258"/>
      <c r="N881" s="258"/>
      <c r="O881" s="258"/>
      <c r="P881" s="258"/>
      <c r="Q881" s="258"/>
    </row>
    <row r="882" ht="15.75" customHeight="1">
      <c r="B882" s="258"/>
      <c r="C882" s="258"/>
      <c r="D882" s="258"/>
      <c r="E882" s="258"/>
      <c r="F882" s="258"/>
      <c r="G882" s="258"/>
      <c r="H882" s="258"/>
      <c r="I882" s="258"/>
      <c r="J882" s="258"/>
      <c r="K882" s="258"/>
      <c r="L882" s="258"/>
      <c r="M882" s="258"/>
      <c r="N882" s="258"/>
      <c r="O882" s="258"/>
      <c r="P882" s="258"/>
      <c r="Q882" s="258"/>
    </row>
    <row r="883" ht="15.75" customHeight="1">
      <c r="B883" s="258"/>
      <c r="C883" s="258"/>
      <c r="D883" s="258"/>
      <c r="E883" s="258"/>
      <c r="F883" s="258"/>
      <c r="G883" s="258"/>
      <c r="H883" s="258"/>
      <c r="I883" s="258"/>
      <c r="J883" s="258"/>
      <c r="K883" s="258"/>
      <c r="L883" s="258"/>
      <c r="M883" s="258"/>
      <c r="N883" s="258"/>
      <c r="O883" s="258"/>
      <c r="P883" s="258"/>
      <c r="Q883" s="258"/>
    </row>
    <row r="884" ht="15.75" customHeight="1">
      <c r="B884" s="258"/>
      <c r="C884" s="258"/>
      <c r="D884" s="258"/>
      <c r="E884" s="258"/>
      <c r="F884" s="258"/>
      <c r="G884" s="258"/>
      <c r="H884" s="258"/>
      <c r="I884" s="258"/>
      <c r="J884" s="258"/>
      <c r="K884" s="258"/>
      <c r="L884" s="258"/>
      <c r="M884" s="258"/>
      <c r="N884" s="258"/>
      <c r="O884" s="258"/>
      <c r="P884" s="258"/>
      <c r="Q884" s="258"/>
    </row>
    <row r="885" ht="15.75" customHeight="1">
      <c r="B885" s="258"/>
      <c r="C885" s="258"/>
      <c r="D885" s="258"/>
      <c r="E885" s="258"/>
      <c r="F885" s="258"/>
      <c r="G885" s="258"/>
      <c r="H885" s="258"/>
      <c r="I885" s="258"/>
      <c r="J885" s="258"/>
      <c r="K885" s="258"/>
      <c r="L885" s="258"/>
      <c r="M885" s="258"/>
      <c r="N885" s="258"/>
      <c r="O885" s="258"/>
      <c r="P885" s="258"/>
      <c r="Q885" s="258"/>
    </row>
    <row r="886" ht="15.75" customHeight="1">
      <c r="B886" s="258"/>
      <c r="C886" s="258"/>
      <c r="D886" s="258"/>
      <c r="E886" s="258"/>
      <c r="F886" s="258"/>
      <c r="G886" s="258"/>
      <c r="H886" s="258"/>
      <c r="I886" s="258"/>
      <c r="J886" s="258"/>
      <c r="K886" s="258"/>
      <c r="L886" s="258"/>
      <c r="M886" s="258"/>
      <c r="N886" s="258"/>
      <c r="O886" s="258"/>
      <c r="P886" s="258"/>
      <c r="Q886" s="258"/>
    </row>
    <row r="887" ht="15.75" customHeight="1">
      <c r="B887" s="258"/>
      <c r="C887" s="258"/>
      <c r="D887" s="258"/>
      <c r="E887" s="258"/>
      <c r="F887" s="258"/>
      <c r="G887" s="258"/>
      <c r="H887" s="258"/>
      <c r="I887" s="258"/>
      <c r="J887" s="258"/>
      <c r="K887" s="258"/>
      <c r="L887" s="258"/>
      <c r="M887" s="258"/>
      <c r="N887" s="258"/>
      <c r="O887" s="258"/>
      <c r="P887" s="258"/>
      <c r="Q887" s="258"/>
    </row>
    <row r="888" ht="15.75" customHeight="1">
      <c r="B888" s="258"/>
      <c r="C888" s="258"/>
      <c r="D888" s="258"/>
      <c r="E888" s="258"/>
      <c r="F888" s="258"/>
      <c r="G888" s="258"/>
      <c r="H888" s="258"/>
      <c r="I888" s="258"/>
      <c r="J888" s="258"/>
      <c r="K888" s="258"/>
      <c r="L888" s="258"/>
      <c r="M888" s="258"/>
      <c r="N888" s="258"/>
      <c r="O888" s="258"/>
      <c r="P888" s="258"/>
      <c r="Q888" s="258"/>
    </row>
    <row r="889" ht="15.75" customHeight="1">
      <c r="B889" s="258"/>
      <c r="C889" s="258"/>
      <c r="D889" s="258"/>
      <c r="E889" s="258"/>
      <c r="F889" s="258"/>
      <c r="G889" s="258"/>
      <c r="H889" s="258"/>
      <c r="I889" s="258"/>
      <c r="J889" s="258"/>
      <c r="K889" s="258"/>
      <c r="L889" s="258"/>
      <c r="M889" s="258"/>
      <c r="N889" s="258"/>
      <c r="O889" s="258"/>
      <c r="P889" s="258"/>
      <c r="Q889" s="258"/>
    </row>
    <row r="890" ht="15.75" customHeight="1">
      <c r="B890" s="258"/>
      <c r="C890" s="258"/>
      <c r="D890" s="258"/>
      <c r="E890" s="258"/>
      <c r="F890" s="258"/>
      <c r="G890" s="258"/>
      <c r="H890" s="258"/>
      <c r="I890" s="258"/>
      <c r="J890" s="258"/>
      <c r="K890" s="258"/>
      <c r="L890" s="258"/>
      <c r="M890" s="258"/>
      <c r="N890" s="258"/>
      <c r="O890" s="258"/>
      <c r="P890" s="258"/>
      <c r="Q890" s="258"/>
    </row>
    <row r="891" ht="15.75" customHeight="1">
      <c r="B891" s="258"/>
      <c r="C891" s="258"/>
      <c r="D891" s="258"/>
      <c r="E891" s="258"/>
      <c r="F891" s="258"/>
      <c r="G891" s="258"/>
      <c r="H891" s="258"/>
      <c r="I891" s="258"/>
      <c r="J891" s="258"/>
      <c r="K891" s="258"/>
      <c r="L891" s="258"/>
      <c r="M891" s="258"/>
      <c r="N891" s="258"/>
      <c r="O891" s="258"/>
      <c r="P891" s="258"/>
      <c r="Q891" s="258"/>
    </row>
    <row r="892" ht="15.75" customHeight="1">
      <c r="B892" s="258"/>
      <c r="C892" s="258"/>
      <c r="D892" s="258"/>
      <c r="E892" s="258"/>
      <c r="F892" s="258"/>
      <c r="G892" s="258"/>
      <c r="H892" s="258"/>
      <c r="I892" s="258"/>
      <c r="J892" s="258"/>
      <c r="K892" s="258"/>
      <c r="L892" s="258"/>
      <c r="M892" s="258"/>
      <c r="N892" s="258"/>
      <c r="O892" s="258"/>
      <c r="P892" s="258"/>
      <c r="Q892" s="258"/>
    </row>
    <row r="893" ht="15.75" customHeight="1">
      <c r="B893" s="258"/>
      <c r="C893" s="258"/>
      <c r="D893" s="258"/>
      <c r="E893" s="258"/>
      <c r="F893" s="258"/>
      <c r="G893" s="258"/>
      <c r="H893" s="258"/>
      <c r="I893" s="258"/>
      <c r="J893" s="258"/>
      <c r="K893" s="258"/>
      <c r="L893" s="258"/>
      <c r="M893" s="258"/>
      <c r="N893" s="258"/>
      <c r="O893" s="258"/>
      <c r="P893" s="258"/>
      <c r="Q893" s="258"/>
    </row>
    <row r="894" ht="15.75" customHeight="1">
      <c r="B894" s="258"/>
      <c r="C894" s="258"/>
      <c r="D894" s="258"/>
      <c r="E894" s="258"/>
      <c r="F894" s="258"/>
      <c r="G894" s="258"/>
      <c r="H894" s="258"/>
      <c r="I894" s="258"/>
      <c r="J894" s="258"/>
      <c r="K894" s="258"/>
      <c r="L894" s="258"/>
      <c r="M894" s="258"/>
      <c r="N894" s="258"/>
      <c r="O894" s="258"/>
      <c r="P894" s="258"/>
      <c r="Q894" s="258"/>
    </row>
    <row r="895" ht="15.75" customHeight="1">
      <c r="B895" s="258"/>
      <c r="C895" s="258"/>
      <c r="D895" s="258"/>
      <c r="E895" s="258"/>
      <c r="F895" s="258"/>
      <c r="G895" s="258"/>
      <c r="H895" s="258"/>
      <c r="I895" s="258"/>
      <c r="J895" s="258"/>
      <c r="K895" s="258"/>
      <c r="L895" s="258"/>
      <c r="M895" s="258"/>
      <c r="N895" s="258"/>
      <c r="O895" s="258"/>
      <c r="P895" s="258"/>
      <c r="Q895" s="258"/>
    </row>
    <row r="896" ht="15.75" customHeight="1">
      <c r="B896" s="258"/>
      <c r="C896" s="258"/>
      <c r="D896" s="258"/>
      <c r="E896" s="258"/>
      <c r="F896" s="258"/>
      <c r="G896" s="258"/>
      <c r="H896" s="258"/>
      <c r="I896" s="258"/>
      <c r="J896" s="258"/>
      <c r="K896" s="258"/>
      <c r="L896" s="258"/>
      <c r="M896" s="258"/>
      <c r="N896" s="258"/>
      <c r="O896" s="258"/>
      <c r="P896" s="258"/>
      <c r="Q896" s="258"/>
    </row>
    <row r="897" ht="15.75" customHeight="1">
      <c r="B897" s="258"/>
      <c r="C897" s="258"/>
      <c r="D897" s="258"/>
      <c r="E897" s="258"/>
      <c r="F897" s="258"/>
      <c r="G897" s="258"/>
      <c r="H897" s="258"/>
      <c r="I897" s="258"/>
      <c r="J897" s="258"/>
      <c r="K897" s="258"/>
      <c r="L897" s="258"/>
      <c r="M897" s="258"/>
      <c r="N897" s="258"/>
      <c r="O897" s="258"/>
      <c r="P897" s="258"/>
      <c r="Q897" s="258"/>
    </row>
    <row r="898" ht="15.75" customHeight="1">
      <c r="B898" s="258"/>
      <c r="C898" s="258"/>
      <c r="D898" s="258"/>
      <c r="E898" s="258"/>
      <c r="F898" s="258"/>
      <c r="G898" s="258"/>
      <c r="H898" s="258"/>
      <c r="I898" s="258"/>
      <c r="J898" s="258"/>
      <c r="K898" s="258"/>
      <c r="L898" s="258"/>
      <c r="M898" s="258"/>
      <c r="N898" s="258"/>
      <c r="O898" s="258"/>
      <c r="P898" s="258"/>
      <c r="Q898" s="258"/>
    </row>
    <row r="899" ht="15.75" customHeight="1">
      <c r="B899" s="258"/>
      <c r="C899" s="258"/>
      <c r="D899" s="258"/>
      <c r="E899" s="258"/>
      <c r="F899" s="258"/>
      <c r="G899" s="258"/>
      <c r="H899" s="258"/>
      <c r="I899" s="258"/>
      <c r="J899" s="258"/>
      <c r="K899" s="258"/>
      <c r="L899" s="258"/>
      <c r="M899" s="258"/>
      <c r="N899" s="258"/>
      <c r="O899" s="258"/>
      <c r="P899" s="258"/>
      <c r="Q899" s="258"/>
    </row>
    <row r="900" ht="15.75" customHeight="1">
      <c r="B900" s="258"/>
      <c r="C900" s="258"/>
      <c r="D900" s="258"/>
      <c r="E900" s="258"/>
      <c r="F900" s="258"/>
      <c r="G900" s="258"/>
      <c r="H900" s="258"/>
      <c r="I900" s="258"/>
      <c r="J900" s="258"/>
      <c r="K900" s="258"/>
      <c r="L900" s="258"/>
      <c r="M900" s="258"/>
      <c r="N900" s="258"/>
      <c r="O900" s="258"/>
      <c r="P900" s="258"/>
      <c r="Q900" s="258"/>
    </row>
    <row r="901" ht="15.75" customHeight="1">
      <c r="B901" s="258"/>
      <c r="C901" s="258"/>
      <c r="D901" s="258"/>
      <c r="E901" s="258"/>
      <c r="F901" s="258"/>
      <c r="G901" s="258"/>
      <c r="H901" s="258"/>
      <c r="I901" s="258"/>
      <c r="J901" s="258"/>
      <c r="K901" s="258"/>
      <c r="L901" s="258"/>
      <c r="M901" s="258"/>
      <c r="N901" s="258"/>
      <c r="O901" s="258"/>
      <c r="P901" s="258"/>
      <c r="Q901" s="258"/>
    </row>
    <row r="902" ht="15.75" customHeight="1">
      <c r="B902" s="258"/>
      <c r="C902" s="258"/>
      <c r="D902" s="258"/>
      <c r="E902" s="258"/>
      <c r="F902" s="258"/>
      <c r="G902" s="258"/>
      <c r="H902" s="258"/>
      <c r="I902" s="258"/>
      <c r="J902" s="258"/>
      <c r="K902" s="258"/>
      <c r="L902" s="258"/>
      <c r="M902" s="258"/>
      <c r="N902" s="258"/>
      <c r="O902" s="258"/>
      <c r="P902" s="258"/>
      <c r="Q902" s="258"/>
    </row>
    <row r="903" ht="15.75" customHeight="1">
      <c r="B903" s="258"/>
      <c r="C903" s="258"/>
      <c r="D903" s="258"/>
      <c r="E903" s="258"/>
      <c r="F903" s="258"/>
      <c r="G903" s="258"/>
      <c r="H903" s="258"/>
      <c r="I903" s="258"/>
      <c r="J903" s="258"/>
      <c r="K903" s="258"/>
      <c r="L903" s="258"/>
      <c r="M903" s="258"/>
      <c r="N903" s="258"/>
      <c r="O903" s="258"/>
      <c r="P903" s="258"/>
      <c r="Q903" s="258"/>
    </row>
    <row r="904" ht="15.75" customHeight="1">
      <c r="B904" s="258"/>
      <c r="C904" s="258"/>
      <c r="D904" s="258"/>
      <c r="E904" s="258"/>
      <c r="F904" s="258"/>
      <c r="G904" s="258"/>
      <c r="H904" s="258"/>
      <c r="I904" s="258"/>
      <c r="J904" s="258"/>
      <c r="K904" s="258"/>
      <c r="L904" s="258"/>
      <c r="M904" s="258"/>
      <c r="N904" s="258"/>
      <c r="O904" s="258"/>
      <c r="P904" s="258"/>
      <c r="Q904" s="258"/>
    </row>
    <row r="905" ht="15.75" customHeight="1">
      <c r="B905" s="258"/>
      <c r="C905" s="258"/>
      <c r="D905" s="258"/>
      <c r="E905" s="258"/>
      <c r="F905" s="258"/>
      <c r="G905" s="258"/>
      <c r="H905" s="258"/>
      <c r="I905" s="258"/>
      <c r="J905" s="258"/>
      <c r="K905" s="258"/>
      <c r="L905" s="258"/>
      <c r="M905" s="258"/>
      <c r="N905" s="258"/>
      <c r="O905" s="258"/>
      <c r="P905" s="258"/>
      <c r="Q905" s="258"/>
    </row>
    <row r="906" ht="15.75" customHeight="1">
      <c r="B906" s="258"/>
      <c r="C906" s="258"/>
      <c r="D906" s="258"/>
      <c r="E906" s="258"/>
      <c r="F906" s="258"/>
      <c r="G906" s="258"/>
      <c r="H906" s="258"/>
      <c r="I906" s="258"/>
      <c r="J906" s="258"/>
      <c r="K906" s="258"/>
      <c r="L906" s="258"/>
      <c r="M906" s="258"/>
      <c r="N906" s="258"/>
      <c r="O906" s="258"/>
      <c r="P906" s="258"/>
      <c r="Q906" s="258"/>
    </row>
    <row r="907" ht="15.75" customHeight="1">
      <c r="B907" s="258"/>
      <c r="C907" s="258"/>
      <c r="D907" s="258"/>
      <c r="E907" s="258"/>
      <c r="F907" s="258"/>
      <c r="G907" s="258"/>
      <c r="H907" s="258"/>
      <c r="I907" s="258"/>
      <c r="J907" s="258"/>
      <c r="K907" s="258"/>
      <c r="L907" s="258"/>
      <c r="M907" s="258"/>
      <c r="N907" s="258"/>
      <c r="O907" s="258"/>
      <c r="P907" s="258"/>
      <c r="Q907" s="258"/>
    </row>
    <row r="908" ht="15.75" customHeight="1">
      <c r="B908" s="258"/>
      <c r="C908" s="258"/>
      <c r="D908" s="258"/>
      <c r="E908" s="258"/>
      <c r="F908" s="258"/>
      <c r="G908" s="258"/>
      <c r="H908" s="258"/>
      <c r="I908" s="258"/>
      <c r="J908" s="258"/>
      <c r="K908" s="258"/>
      <c r="L908" s="258"/>
      <c r="M908" s="258"/>
      <c r="N908" s="258"/>
      <c r="O908" s="258"/>
      <c r="P908" s="258"/>
      <c r="Q908" s="258"/>
    </row>
    <row r="909" ht="15.75" customHeight="1">
      <c r="B909" s="258"/>
      <c r="C909" s="258"/>
      <c r="D909" s="258"/>
      <c r="E909" s="258"/>
      <c r="F909" s="258"/>
      <c r="G909" s="258"/>
      <c r="H909" s="258"/>
      <c r="I909" s="258"/>
      <c r="J909" s="258"/>
      <c r="K909" s="258"/>
      <c r="L909" s="258"/>
      <c r="M909" s="258"/>
      <c r="N909" s="258"/>
      <c r="O909" s="258"/>
      <c r="P909" s="258"/>
      <c r="Q909" s="258"/>
    </row>
    <row r="910" ht="15.75" customHeight="1">
      <c r="B910" s="258"/>
      <c r="C910" s="258"/>
      <c r="D910" s="258"/>
      <c r="E910" s="258"/>
      <c r="F910" s="258"/>
      <c r="G910" s="258"/>
      <c r="H910" s="258"/>
      <c r="I910" s="258"/>
      <c r="J910" s="258"/>
      <c r="K910" s="258"/>
      <c r="L910" s="258"/>
      <c r="M910" s="258"/>
      <c r="N910" s="258"/>
      <c r="O910" s="258"/>
      <c r="P910" s="258"/>
      <c r="Q910" s="258"/>
    </row>
    <row r="911" ht="15.75" customHeight="1">
      <c r="B911" s="258"/>
      <c r="C911" s="258"/>
      <c r="D911" s="258"/>
      <c r="E911" s="258"/>
      <c r="F911" s="258"/>
      <c r="G911" s="258"/>
      <c r="H911" s="258"/>
      <c r="I911" s="258"/>
      <c r="J911" s="258"/>
      <c r="K911" s="258"/>
      <c r="L911" s="258"/>
      <c r="M911" s="258"/>
      <c r="N911" s="258"/>
      <c r="O911" s="258"/>
      <c r="P911" s="258"/>
      <c r="Q911" s="258"/>
    </row>
    <row r="912" ht="15.75" customHeight="1">
      <c r="B912" s="258"/>
      <c r="C912" s="258"/>
      <c r="D912" s="258"/>
      <c r="E912" s="258"/>
      <c r="F912" s="258"/>
      <c r="G912" s="258"/>
      <c r="H912" s="258"/>
      <c r="I912" s="258"/>
      <c r="J912" s="258"/>
      <c r="K912" s="258"/>
      <c r="L912" s="258"/>
      <c r="M912" s="258"/>
      <c r="N912" s="258"/>
      <c r="O912" s="258"/>
      <c r="P912" s="258"/>
      <c r="Q912" s="258"/>
    </row>
    <row r="913" ht="15.75" customHeight="1">
      <c r="B913" s="258"/>
      <c r="C913" s="258"/>
      <c r="D913" s="258"/>
      <c r="E913" s="258"/>
      <c r="F913" s="258"/>
      <c r="G913" s="258"/>
      <c r="H913" s="258"/>
      <c r="I913" s="258"/>
      <c r="J913" s="258"/>
      <c r="K913" s="258"/>
      <c r="L913" s="258"/>
      <c r="M913" s="258"/>
      <c r="N913" s="258"/>
      <c r="O913" s="258"/>
      <c r="P913" s="258"/>
      <c r="Q913" s="258"/>
    </row>
    <row r="914" ht="15.75" customHeight="1">
      <c r="B914" s="258"/>
      <c r="C914" s="258"/>
      <c r="D914" s="258"/>
      <c r="E914" s="258"/>
      <c r="F914" s="258"/>
      <c r="G914" s="258"/>
      <c r="H914" s="258"/>
      <c r="I914" s="258"/>
      <c r="J914" s="258"/>
      <c r="K914" s="258"/>
      <c r="L914" s="258"/>
      <c r="M914" s="258"/>
      <c r="N914" s="258"/>
      <c r="O914" s="258"/>
      <c r="P914" s="258"/>
      <c r="Q914" s="258"/>
    </row>
    <row r="915" ht="15.75" customHeight="1">
      <c r="B915" s="258"/>
      <c r="C915" s="258"/>
      <c r="D915" s="258"/>
      <c r="E915" s="258"/>
      <c r="F915" s="258"/>
      <c r="G915" s="258"/>
      <c r="H915" s="258"/>
      <c r="I915" s="258"/>
      <c r="J915" s="258"/>
      <c r="K915" s="258"/>
      <c r="L915" s="258"/>
      <c r="M915" s="258"/>
      <c r="N915" s="258"/>
      <c r="O915" s="258"/>
      <c r="P915" s="258"/>
      <c r="Q915" s="258"/>
    </row>
    <row r="916" ht="15.75" customHeight="1">
      <c r="B916" s="258"/>
      <c r="C916" s="258"/>
      <c r="D916" s="258"/>
      <c r="E916" s="258"/>
      <c r="F916" s="258"/>
      <c r="G916" s="258"/>
      <c r="H916" s="258"/>
      <c r="I916" s="258"/>
      <c r="J916" s="258"/>
      <c r="K916" s="258"/>
      <c r="L916" s="258"/>
      <c r="M916" s="258"/>
      <c r="N916" s="258"/>
      <c r="O916" s="258"/>
      <c r="P916" s="258"/>
      <c r="Q916" s="258"/>
    </row>
    <row r="917" ht="15.75" customHeight="1">
      <c r="B917" s="258"/>
      <c r="C917" s="258"/>
      <c r="D917" s="258"/>
      <c r="E917" s="258"/>
      <c r="F917" s="258"/>
      <c r="G917" s="258"/>
      <c r="H917" s="258"/>
      <c r="I917" s="258"/>
      <c r="J917" s="258"/>
      <c r="K917" s="258"/>
      <c r="L917" s="258"/>
      <c r="M917" s="258"/>
      <c r="N917" s="258"/>
      <c r="O917" s="258"/>
      <c r="P917" s="258"/>
      <c r="Q917" s="258"/>
    </row>
    <row r="918" ht="15.75" customHeight="1">
      <c r="B918" s="258"/>
      <c r="C918" s="258"/>
      <c r="D918" s="258"/>
      <c r="E918" s="258"/>
      <c r="F918" s="258"/>
      <c r="G918" s="258"/>
      <c r="H918" s="258"/>
      <c r="I918" s="258"/>
      <c r="J918" s="258"/>
      <c r="K918" s="258"/>
      <c r="L918" s="258"/>
      <c r="M918" s="258"/>
      <c r="N918" s="258"/>
      <c r="O918" s="258"/>
      <c r="P918" s="258"/>
      <c r="Q918" s="258"/>
    </row>
    <row r="919" ht="15.75" customHeight="1">
      <c r="B919" s="258"/>
      <c r="C919" s="258"/>
      <c r="D919" s="258"/>
      <c r="E919" s="258"/>
      <c r="F919" s="258"/>
      <c r="G919" s="258"/>
      <c r="H919" s="258"/>
      <c r="I919" s="258"/>
      <c r="J919" s="258"/>
      <c r="K919" s="258"/>
      <c r="L919" s="258"/>
      <c r="M919" s="258"/>
      <c r="N919" s="258"/>
      <c r="O919" s="258"/>
      <c r="P919" s="258"/>
      <c r="Q919" s="258"/>
    </row>
    <row r="920" ht="15.75" customHeight="1">
      <c r="B920" s="258"/>
      <c r="C920" s="258"/>
      <c r="D920" s="258"/>
      <c r="E920" s="258"/>
      <c r="F920" s="258"/>
      <c r="G920" s="258"/>
      <c r="H920" s="258"/>
      <c r="I920" s="258"/>
      <c r="J920" s="258"/>
      <c r="K920" s="258"/>
      <c r="L920" s="258"/>
      <c r="M920" s="258"/>
      <c r="N920" s="258"/>
      <c r="O920" s="258"/>
      <c r="P920" s="258"/>
      <c r="Q920" s="258"/>
    </row>
    <row r="921" ht="15.75" customHeight="1">
      <c r="B921" s="258"/>
      <c r="C921" s="258"/>
      <c r="D921" s="258"/>
      <c r="E921" s="258"/>
      <c r="F921" s="258"/>
      <c r="G921" s="258"/>
      <c r="H921" s="258"/>
      <c r="I921" s="258"/>
      <c r="J921" s="258"/>
      <c r="K921" s="258"/>
      <c r="L921" s="258"/>
      <c r="M921" s="258"/>
      <c r="N921" s="258"/>
      <c r="O921" s="258"/>
      <c r="P921" s="258"/>
      <c r="Q921" s="258"/>
    </row>
    <row r="922" ht="15.75" customHeight="1">
      <c r="B922" s="258"/>
      <c r="C922" s="258"/>
      <c r="D922" s="258"/>
      <c r="E922" s="258"/>
      <c r="F922" s="258"/>
      <c r="G922" s="258"/>
      <c r="H922" s="258"/>
      <c r="I922" s="258"/>
      <c r="J922" s="258"/>
      <c r="K922" s="258"/>
      <c r="L922" s="258"/>
      <c r="M922" s="258"/>
      <c r="N922" s="258"/>
      <c r="O922" s="258"/>
      <c r="P922" s="258"/>
      <c r="Q922" s="258"/>
    </row>
    <row r="923" ht="15.75" customHeight="1">
      <c r="B923" s="258"/>
      <c r="C923" s="258"/>
      <c r="D923" s="258"/>
      <c r="E923" s="258"/>
      <c r="F923" s="258"/>
      <c r="G923" s="258"/>
      <c r="H923" s="258"/>
      <c r="I923" s="258"/>
      <c r="J923" s="258"/>
      <c r="K923" s="258"/>
      <c r="L923" s="258"/>
      <c r="M923" s="258"/>
      <c r="N923" s="258"/>
      <c r="O923" s="258"/>
      <c r="P923" s="258"/>
      <c r="Q923" s="258"/>
    </row>
    <row r="924" ht="15.75" customHeight="1">
      <c r="B924" s="258"/>
      <c r="C924" s="258"/>
      <c r="D924" s="258"/>
      <c r="E924" s="258"/>
      <c r="F924" s="258"/>
      <c r="G924" s="258"/>
      <c r="H924" s="258"/>
      <c r="I924" s="258"/>
      <c r="J924" s="258"/>
      <c r="K924" s="258"/>
      <c r="L924" s="258"/>
      <c r="M924" s="258"/>
      <c r="N924" s="258"/>
      <c r="O924" s="258"/>
      <c r="P924" s="258"/>
      <c r="Q924" s="258"/>
    </row>
    <row r="925" ht="15.75" customHeight="1">
      <c r="B925" s="258"/>
      <c r="C925" s="258"/>
      <c r="D925" s="258"/>
      <c r="E925" s="258"/>
      <c r="F925" s="258"/>
      <c r="G925" s="258"/>
      <c r="H925" s="258"/>
      <c r="I925" s="258"/>
      <c r="J925" s="258"/>
      <c r="K925" s="258"/>
      <c r="L925" s="258"/>
      <c r="M925" s="258"/>
      <c r="N925" s="258"/>
      <c r="O925" s="258"/>
      <c r="P925" s="258"/>
      <c r="Q925" s="258"/>
    </row>
    <row r="926" ht="15.75" customHeight="1">
      <c r="B926" s="258"/>
      <c r="C926" s="258"/>
      <c r="D926" s="258"/>
      <c r="E926" s="258"/>
      <c r="F926" s="258"/>
      <c r="G926" s="258"/>
      <c r="H926" s="258"/>
      <c r="I926" s="258"/>
      <c r="J926" s="258"/>
      <c r="K926" s="258"/>
      <c r="L926" s="258"/>
      <c r="M926" s="258"/>
      <c r="N926" s="258"/>
      <c r="O926" s="258"/>
      <c r="P926" s="258"/>
      <c r="Q926" s="258"/>
    </row>
    <row r="927" ht="15.75" customHeight="1">
      <c r="B927" s="258"/>
      <c r="C927" s="258"/>
      <c r="D927" s="258"/>
      <c r="E927" s="258"/>
      <c r="F927" s="258"/>
      <c r="G927" s="258"/>
      <c r="H927" s="258"/>
      <c r="I927" s="258"/>
      <c r="J927" s="258"/>
      <c r="K927" s="258"/>
      <c r="L927" s="258"/>
      <c r="M927" s="258"/>
      <c r="N927" s="258"/>
      <c r="O927" s="258"/>
      <c r="P927" s="258"/>
      <c r="Q927" s="258"/>
    </row>
    <row r="928" ht="15.75" customHeight="1">
      <c r="B928" s="258"/>
      <c r="C928" s="258"/>
      <c r="D928" s="258"/>
      <c r="E928" s="258"/>
      <c r="F928" s="258"/>
      <c r="G928" s="258"/>
      <c r="H928" s="258"/>
      <c r="I928" s="258"/>
      <c r="J928" s="258"/>
      <c r="K928" s="258"/>
      <c r="L928" s="258"/>
      <c r="M928" s="258"/>
      <c r="N928" s="258"/>
      <c r="O928" s="258"/>
      <c r="P928" s="258"/>
      <c r="Q928" s="258"/>
    </row>
    <row r="929" ht="15.75" customHeight="1">
      <c r="B929" s="258"/>
      <c r="C929" s="258"/>
      <c r="D929" s="258"/>
      <c r="E929" s="258"/>
      <c r="F929" s="258"/>
      <c r="G929" s="258"/>
      <c r="H929" s="258"/>
      <c r="I929" s="258"/>
      <c r="J929" s="258"/>
      <c r="K929" s="258"/>
      <c r="L929" s="258"/>
      <c r="M929" s="258"/>
      <c r="N929" s="258"/>
      <c r="O929" s="258"/>
      <c r="P929" s="258"/>
      <c r="Q929" s="258"/>
    </row>
    <row r="930" ht="15.75" customHeight="1">
      <c r="B930" s="258"/>
      <c r="C930" s="258"/>
      <c r="D930" s="258"/>
      <c r="E930" s="258"/>
      <c r="F930" s="258"/>
      <c r="G930" s="258"/>
      <c r="H930" s="258"/>
      <c r="I930" s="258"/>
      <c r="J930" s="258"/>
      <c r="K930" s="258"/>
      <c r="L930" s="258"/>
      <c r="M930" s="258"/>
      <c r="N930" s="258"/>
      <c r="O930" s="258"/>
      <c r="P930" s="258"/>
      <c r="Q930" s="258"/>
    </row>
    <row r="931" ht="15.75" customHeight="1">
      <c r="B931" s="258"/>
      <c r="C931" s="258"/>
      <c r="D931" s="258"/>
      <c r="E931" s="258"/>
      <c r="F931" s="258"/>
      <c r="G931" s="258"/>
      <c r="H931" s="258"/>
      <c r="I931" s="258"/>
      <c r="J931" s="258"/>
      <c r="K931" s="258"/>
      <c r="L931" s="258"/>
      <c r="M931" s="258"/>
      <c r="N931" s="258"/>
      <c r="O931" s="258"/>
      <c r="P931" s="258"/>
      <c r="Q931" s="258"/>
    </row>
    <row r="932" ht="15.75" customHeight="1">
      <c r="B932" s="258"/>
      <c r="C932" s="258"/>
      <c r="D932" s="258"/>
      <c r="E932" s="258"/>
      <c r="F932" s="258"/>
      <c r="G932" s="258"/>
      <c r="H932" s="258"/>
      <c r="I932" s="258"/>
      <c r="J932" s="258"/>
      <c r="K932" s="258"/>
      <c r="L932" s="258"/>
      <c r="M932" s="258"/>
      <c r="N932" s="258"/>
      <c r="O932" s="258"/>
      <c r="P932" s="258"/>
      <c r="Q932" s="258"/>
    </row>
    <row r="933" ht="15.75" customHeight="1">
      <c r="B933" s="258"/>
      <c r="C933" s="258"/>
      <c r="D933" s="258"/>
      <c r="E933" s="258"/>
      <c r="F933" s="258"/>
      <c r="G933" s="258"/>
      <c r="H933" s="258"/>
      <c r="I933" s="258"/>
      <c r="J933" s="258"/>
      <c r="K933" s="258"/>
      <c r="L933" s="258"/>
      <c r="M933" s="258"/>
      <c r="N933" s="258"/>
      <c r="O933" s="258"/>
      <c r="P933" s="258"/>
      <c r="Q933" s="258"/>
    </row>
    <row r="934" ht="15.75" customHeight="1">
      <c r="B934" s="258"/>
      <c r="C934" s="258"/>
      <c r="D934" s="258"/>
      <c r="E934" s="258"/>
      <c r="F934" s="258"/>
      <c r="G934" s="258"/>
      <c r="H934" s="258"/>
      <c r="I934" s="258"/>
      <c r="J934" s="258"/>
      <c r="K934" s="258"/>
      <c r="L934" s="258"/>
      <c r="M934" s="258"/>
      <c r="N934" s="258"/>
      <c r="O934" s="258"/>
      <c r="P934" s="258"/>
      <c r="Q934" s="258"/>
    </row>
    <row r="935" ht="15.75" customHeight="1">
      <c r="B935" s="258"/>
      <c r="C935" s="258"/>
      <c r="D935" s="258"/>
      <c r="E935" s="258"/>
      <c r="F935" s="258"/>
      <c r="G935" s="258"/>
      <c r="H935" s="258"/>
      <c r="I935" s="258"/>
      <c r="J935" s="258"/>
      <c r="K935" s="258"/>
      <c r="L935" s="258"/>
      <c r="M935" s="258"/>
      <c r="N935" s="258"/>
      <c r="O935" s="258"/>
      <c r="P935" s="258"/>
      <c r="Q935" s="258"/>
    </row>
    <row r="936" ht="15.75" customHeight="1">
      <c r="B936" s="258"/>
      <c r="C936" s="258"/>
      <c r="D936" s="258"/>
      <c r="E936" s="258"/>
      <c r="F936" s="258"/>
      <c r="G936" s="258"/>
      <c r="H936" s="258"/>
      <c r="I936" s="258"/>
      <c r="J936" s="258"/>
      <c r="K936" s="258"/>
      <c r="L936" s="258"/>
      <c r="M936" s="258"/>
      <c r="N936" s="258"/>
      <c r="O936" s="258"/>
      <c r="P936" s="258"/>
      <c r="Q936" s="258"/>
    </row>
    <row r="937" ht="15.75" customHeight="1">
      <c r="B937" s="258"/>
      <c r="C937" s="258"/>
      <c r="D937" s="258"/>
      <c r="E937" s="258"/>
      <c r="F937" s="258"/>
      <c r="G937" s="258"/>
      <c r="H937" s="258"/>
      <c r="I937" s="258"/>
      <c r="J937" s="258"/>
      <c r="K937" s="258"/>
      <c r="L937" s="258"/>
      <c r="M937" s="258"/>
      <c r="N937" s="258"/>
      <c r="O937" s="258"/>
      <c r="P937" s="258"/>
      <c r="Q937" s="258"/>
    </row>
    <row r="938" ht="15.75" customHeight="1">
      <c r="B938" s="258"/>
      <c r="C938" s="258"/>
      <c r="D938" s="258"/>
      <c r="E938" s="258"/>
      <c r="F938" s="258"/>
      <c r="G938" s="258"/>
      <c r="H938" s="258"/>
      <c r="I938" s="258"/>
      <c r="J938" s="258"/>
      <c r="K938" s="258"/>
      <c r="L938" s="258"/>
      <c r="M938" s="258"/>
      <c r="N938" s="258"/>
      <c r="O938" s="258"/>
      <c r="P938" s="258"/>
      <c r="Q938" s="258"/>
    </row>
    <row r="939" ht="15.75" customHeight="1">
      <c r="B939" s="258"/>
      <c r="C939" s="258"/>
      <c r="D939" s="258"/>
      <c r="E939" s="258"/>
      <c r="F939" s="258"/>
      <c r="G939" s="258"/>
      <c r="H939" s="258"/>
      <c r="I939" s="258"/>
      <c r="J939" s="258"/>
      <c r="K939" s="258"/>
      <c r="L939" s="258"/>
      <c r="M939" s="258"/>
      <c r="N939" s="258"/>
      <c r="O939" s="258"/>
      <c r="P939" s="258"/>
      <c r="Q939" s="258"/>
    </row>
    <row r="940" ht="15.75" customHeight="1">
      <c r="B940" s="258"/>
      <c r="C940" s="258"/>
      <c r="D940" s="258"/>
      <c r="E940" s="258"/>
      <c r="F940" s="258"/>
      <c r="G940" s="258"/>
      <c r="H940" s="258"/>
      <c r="I940" s="258"/>
      <c r="J940" s="258"/>
      <c r="K940" s="258"/>
      <c r="L940" s="258"/>
      <c r="M940" s="258"/>
      <c r="N940" s="258"/>
      <c r="O940" s="258"/>
      <c r="P940" s="258"/>
      <c r="Q940" s="258"/>
    </row>
    <row r="941" ht="15.75" customHeight="1">
      <c r="B941" s="258"/>
      <c r="C941" s="258"/>
      <c r="D941" s="258"/>
      <c r="E941" s="258"/>
      <c r="F941" s="258"/>
      <c r="G941" s="258"/>
      <c r="H941" s="258"/>
      <c r="I941" s="258"/>
      <c r="J941" s="258"/>
      <c r="K941" s="258"/>
      <c r="L941" s="258"/>
      <c r="M941" s="258"/>
      <c r="N941" s="258"/>
      <c r="O941" s="258"/>
      <c r="P941" s="258"/>
      <c r="Q941" s="258"/>
    </row>
    <row r="942" ht="15.75" customHeight="1">
      <c r="B942" s="258"/>
      <c r="C942" s="258"/>
      <c r="D942" s="258"/>
      <c r="E942" s="258"/>
      <c r="F942" s="258"/>
      <c r="G942" s="258"/>
      <c r="H942" s="258"/>
      <c r="I942" s="258"/>
      <c r="J942" s="258"/>
      <c r="K942" s="258"/>
      <c r="L942" s="258"/>
      <c r="M942" s="258"/>
      <c r="N942" s="258"/>
      <c r="O942" s="258"/>
      <c r="P942" s="258"/>
      <c r="Q942" s="258"/>
    </row>
    <row r="943" ht="15.75" customHeight="1">
      <c r="B943" s="258"/>
      <c r="C943" s="258"/>
      <c r="D943" s="258"/>
      <c r="E943" s="258"/>
      <c r="F943" s="258"/>
      <c r="G943" s="258"/>
      <c r="H943" s="258"/>
      <c r="I943" s="258"/>
      <c r="J943" s="258"/>
      <c r="K943" s="258"/>
      <c r="L943" s="258"/>
      <c r="M943" s="258"/>
      <c r="N943" s="258"/>
      <c r="O943" s="258"/>
      <c r="P943" s="258"/>
      <c r="Q943" s="258"/>
    </row>
    <row r="944" ht="15.75" customHeight="1">
      <c r="B944" s="258"/>
      <c r="C944" s="258"/>
      <c r="D944" s="258"/>
      <c r="E944" s="258"/>
      <c r="F944" s="258"/>
      <c r="G944" s="258"/>
      <c r="H944" s="258"/>
      <c r="I944" s="258"/>
      <c r="J944" s="258"/>
      <c r="K944" s="258"/>
      <c r="L944" s="258"/>
      <c r="M944" s="258"/>
      <c r="N944" s="258"/>
      <c r="O944" s="258"/>
      <c r="P944" s="258"/>
      <c r="Q944" s="258"/>
    </row>
    <row r="945" ht="15.75" customHeight="1">
      <c r="B945" s="258"/>
      <c r="C945" s="258"/>
      <c r="D945" s="258"/>
      <c r="E945" s="258"/>
      <c r="F945" s="258"/>
      <c r="G945" s="258"/>
      <c r="H945" s="258"/>
      <c r="I945" s="258"/>
      <c r="J945" s="258"/>
      <c r="K945" s="258"/>
      <c r="L945" s="258"/>
      <c r="M945" s="258"/>
      <c r="N945" s="258"/>
      <c r="O945" s="258"/>
      <c r="P945" s="258"/>
      <c r="Q945" s="258"/>
    </row>
    <row r="946" ht="15.75" customHeight="1">
      <c r="B946" s="258"/>
      <c r="C946" s="258"/>
      <c r="D946" s="258"/>
      <c r="E946" s="258"/>
      <c r="F946" s="258"/>
      <c r="G946" s="258"/>
      <c r="H946" s="258"/>
      <c r="I946" s="258"/>
      <c r="J946" s="258"/>
      <c r="K946" s="258"/>
      <c r="L946" s="258"/>
      <c r="M946" s="258"/>
      <c r="N946" s="258"/>
      <c r="O946" s="258"/>
      <c r="P946" s="258"/>
      <c r="Q946" s="258"/>
    </row>
    <row r="947" ht="15.75" customHeight="1">
      <c r="B947" s="258"/>
      <c r="C947" s="258"/>
      <c r="D947" s="258"/>
      <c r="E947" s="258"/>
      <c r="F947" s="258"/>
      <c r="G947" s="258"/>
      <c r="H947" s="258"/>
      <c r="I947" s="258"/>
      <c r="J947" s="258"/>
      <c r="K947" s="258"/>
      <c r="L947" s="258"/>
      <c r="M947" s="258"/>
      <c r="N947" s="258"/>
      <c r="O947" s="258"/>
      <c r="P947" s="258"/>
      <c r="Q947" s="258"/>
    </row>
    <row r="948" ht="15.75" customHeight="1">
      <c r="B948" s="258"/>
      <c r="C948" s="258"/>
      <c r="D948" s="258"/>
      <c r="E948" s="258"/>
      <c r="F948" s="258"/>
      <c r="G948" s="258"/>
      <c r="H948" s="258"/>
      <c r="I948" s="258"/>
      <c r="J948" s="258"/>
      <c r="K948" s="258"/>
      <c r="L948" s="258"/>
      <c r="M948" s="258"/>
      <c r="N948" s="258"/>
      <c r="O948" s="258"/>
      <c r="P948" s="258"/>
      <c r="Q948" s="258"/>
    </row>
    <row r="949" ht="15.75" customHeight="1">
      <c r="B949" s="258"/>
      <c r="C949" s="258"/>
      <c r="D949" s="258"/>
      <c r="E949" s="258"/>
      <c r="F949" s="258"/>
      <c r="G949" s="258"/>
      <c r="H949" s="258"/>
      <c r="I949" s="258"/>
      <c r="J949" s="258"/>
      <c r="K949" s="258"/>
      <c r="L949" s="258"/>
      <c r="M949" s="258"/>
      <c r="N949" s="258"/>
      <c r="O949" s="258"/>
      <c r="P949" s="258"/>
      <c r="Q949" s="258"/>
    </row>
    <row r="950" ht="15.75" customHeight="1">
      <c r="B950" s="258"/>
      <c r="C950" s="258"/>
      <c r="D950" s="258"/>
      <c r="E950" s="258"/>
      <c r="F950" s="258"/>
      <c r="G950" s="258"/>
      <c r="H950" s="258"/>
      <c r="I950" s="258"/>
      <c r="J950" s="258"/>
      <c r="K950" s="258"/>
      <c r="L950" s="258"/>
      <c r="M950" s="258"/>
      <c r="N950" s="258"/>
      <c r="O950" s="258"/>
      <c r="P950" s="258"/>
      <c r="Q950" s="258"/>
    </row>
    <row r="951" ht="15.75" customHeight="1">
      <c r="B951" s="258"/>
      <c r="C951" s="258"/>
      <c r="D951" s="258"/>
      <c r="E951" s="258"/>
      <c r="F951" s="258"/>
      <c r="G951" s="258"/>
      <c r="H951" s="258"/>
      <c r="I951" s="258"/>
      <c r="J951" s="258"/>
      <c r="K951" s="258"/>
      <c r="L951" s="258"/>
      <c r="M951" s="258"/>
      <c r="N951" s="258"/>
      <c r="O951" s="258"/>
      <c r="P951" s="258"/>
      <c r="Q951" s="258"/>
    </row>
    <row r="952" ht="15.75" customHeight="1">
      <c r="B952" s="258"/>
      <c r="C952" s="258"/>
      <c r="D952" s="258"/>
      <c r="E952" s="258"/>
      <c r="F952" s="258"/>
      <c r="G952" s="258"/>
      <c r="H952" s="258"/>
      <c r="I952" s="258"/>
      <c r="J952" s="258"/>
      <c r="K952" s="258"/>
      <c r="L952" s="258"/>
      <c r="M952" s="258"/>
      <c r="N952" s="258"/>
      <c r="O952" s="258"/>
      <c r="P952" s="258"/>
      <c r="Q952" s="258"/>
    </row>
    <row r="953" ht="15.75" customHeight="1">
      <c r="B953" s="258"/>
      <c r="C953" s="258"/>
      <c r="D953" s="258"/>
      <c r="E953" s="258"/>
      <c r="F953" s="258"/>
      <c r="G953" s="258"/>
      <c r="H953" s="258"/>
      <c r="I953" s="258"/>
      <c r="J953" s="258"/>
      <c r="K953" s="258"/>
      <c r="L953" s="258"/>
      <c r="M953" s="258"/>
      <c r="N953" s="258"/>
      <c r="O953" s="258"/>
      <c r="P953" s="258"/>
      <c r="Q953" s="258"/>
    </row>
    <row r="954" ht="15.75" customHeight="1">
      <c r="B954" s="258"/>
      <c r="C954" s="258"/>
      <c r="D954" s="258"/>
      <c r="E954" s="258"/>
      <c r="F954" s="258"/>
      <c r="G954" s="258"/>
      <c r="H954" s="258"/>
      <c r="I954" s="258"/>
      <c r="J954" s="258"/>
      <c r="K954" s="258"/>
      <c r="L954" s="258"/>
      <c r="M954" s="258"/>
      <c r="N954" s="258"/>
      <c r="O954" s="258"/>
      <c r="P954" s="258"/>
      <c r="Q954" s="258"/>
    </row>
    <row r="955" ht="15.75" customHeight="1">
      <c r="B955" s="258"/>
      <c r="C955" s="258"/>
      <c r="D955" s="258"/>
      <c r="E955" s="258"/>
      <c r="F955" s="258"/>
      <c r="G955" s="258"/>
      <c r="H955" s="258"/>
      <c r="I955" s="258"/>
      <c r="J955" s="258"/>
      <c r="K955" s="258"/>
      <c r="L955" s="258"/>
      <c r="M955" s="258"/>
      <c r="N955" s="258"/>
      <c r="O955" s="258"/>
      <c r="P955" s="258"/>
      <c r="Q955" s="258"/>
    </row>
    <row r="956" ht="15.75" customHeight="1">
      <c r="B956" s="258"/>
      <c r="C956" s="258"/>
      <c r="D956" s="258"/>
      <c r="E956" s="258"/>
      <c r="F956" s="258"/>
      <c r="G956" s="258"/>
      <c r="H956" s="258"/>
      <c r="I956" s="258"/>
      <c r="J956" s="258"/>
      <c r="K956" s="258"/>
      <c r="L956" s="258"/>
      <c r="M956" s="258"/>
      <c r="N956" s="258"/>
      <c r="O956" s="258"/>
      <c r="P956" s="258"/>
      <c r="Q956" s="258"/>
    </row>
    <row r="957" ht="15.75" customHeight="1">
      <c r="B957" s="258"/>
      <c r="C957" s="258"/>
      <c r="D957" s="258"/>
      <c r="E957" s="258"/>
      <c r="F957" s="258"/>
      <c r="G957" s="258"/>
      <c r="H957" s="258"/>
      <c r="I957" s="258"/>
      <c r="J957" s="258"/>
      <c r="K957" s="258"/>
      <c r="L957" s="258"/>
      <c r="M957" s="258"/>
      <c r="N957" s="258"/>
      <c r="O957" s="258"/>
      <c r="P957" s="258"/>
      <c r="Q957" s="258"/>
    </row>
    <row r="958" ht="15.75" customHeight="1">
      <c r="B958" s="258"/>
      <c r="C958" s="258"/>
      <c r="D958" s="258"/>
      <c r="E958" s="258"/>
      <c r="F958" s="258"/>
      <c r="G958" s="258"/>
      <c r="H958" s="258"/>
      <c r="I958" s="258"/>
      <c r="J958" s="258"/>
      <c r="K958" s="258"/>
      <c r="L958" s="258"/>
      <c r="M958" s="258"/>
      <c r="N958" s="258"/>
      <c r="O958" s="258"/>
      <c r="P958" s="258"/>
      <c r="Q958" s="258"/>
    </row>
    <row r="959" ht="15.75" customHeight="1">
      <c r="B959" s="258"/>
      <c r="C959" s="258"/>
      <c r="D959" s="258"/>
      <c r="E959" s="258"/>
      <c r="F959" s="258"/>
      <c r="G959" s="258"/>
      <c r="H959" s="258"/>
      <c r="I959" s="258"/>
      <c r="J959" s="258"/>
      <c r="K959" s="258"/>
      <c r="L959" s="258"/>
      <c r="M959" s="258"/>
      <c r="N959" s="258"/>
      <c r="O959" s="258"/>
      <c r="P959" s="258"/>
      <c r="Q959" s="258"/>
    </row>
    <row r="960" ht="15.75" customHeight="1">
      <c r="B960" s="258"/>
      <c r="C960" s="258"/>
      <c r="D960" s="258"/>
      <c r="E960" s="258"/>
      <c r="F960" s="258"/>
      <c r="G960" s="258"/>
      <c r="H960" s="258"/>
      <c r="I960" s="258"/>
      <c r="J960" s="258"/>
      <c r="K960" s="258"/>
      <c r="L960" s="258"/>
      <c r="M960" s="258"/>
      <c r="N960" s="258"/>
      <c r="O960" s="258"/>
      <c r="P960" s="258"/>
      <c r="Q960" s="258"/>
    </row>
    <row r="961" ht="15.75" customHeight="1">
      <c r="B961" s="258"/>
      <c r="C961" s="258"/>
      <c r="D961" s="258"/>
      <c r="E961" s="258"/>
      <c r="F961" s="258"/>
      <c r="G961" s="258"/>
      <c r="H961" s="258"/>
      <c r="I961" s="258"/>
      <c r="J961" s="258"/>
      <c r="K961" s="258"/>
      <c r="L961" s="258"/>
      <c r="M961" s="258"/>
      <c r="N961" s="258"/>
      <c r="O961" s="258"/>
      <c r="P961" s="258"/>
      <c r="Q961" s="258"/>
    </row>
    <row r="962" ht="15.75" customHeight="1">
      <c r="B962" s="258"/>
      <c r="C962" s="258"/>
      <c r="D962" s="258"/>
      <c r="E962" s="258"/>
      <c r="F962" s="258"/>
      <c r="G962" s="258"/>
      <c r="H962" s="258"/>
      <c r="I962" s="258"/>
      <c r="J962" s="258"/>
      <c r="K962" s="258"/>
      <c r="L962" s="258"/>
      <c r="M962" s="258"/>
      <c r="N962" s="258"/>
      <c r="O962" s="258"/>
      <c r="P962" s="258"/>
      <c r="Q962" s="258"/>
    </row>
    <row r="963" ht="15.75" customHeight="1">
      <c r="B963" s="258"/>
      <c r="C963" s="258"/>
      <c r="D963" s="258"/>
      <c r="E963" s="258"/>
      <c r="F963" s="258"/>
      <c r="G963" s="258"/>
      <c r="H963" s="258"/>
      <c r="I963" s="258"/>
      <c r="J963" s="258"/>
      <c r="K963" s="258"/>
      <c r="L963" s="258"/>
      <c r="M963" s="258"/>
      <c r="N963" s="258"/>
      <c r="O963" s="258"/>
      <c r="P963" s="258"/>
      <c r="Q963" s="258"/>
    </row>
    <row r="964" ht="15.75" customHeight="1">
      <c r="B964" s="258"/>
      <c r="C964" s="258"/>
      <c r="D964" s="258"/>
      <c r="E964" s="258"/>
      <c r="F964" s="258"/>
      <c r="G964" s="258"/>
      <c r="H964" s="258"/>
      <c r="I964" s="258"/>
      <c r="J964" s="258"/>
      <c r="K964" s="258"/>
      <c r="L964" s="258"/>
      <c r="M964" s="258"/>
      <c r="N964" s="258"/>
      <c r="O964" s="258"/>
      <c r="P964" s="258"/>
      <c r="Q964" s="258"/>
    </row>
    <row r="965" ht="15.75" customHeight="1">
      <c r="B965" s="258"/>
      <c r="C965" s="258"/>
      <c r="D965" s="258"/>
      <c r="E965" s="258"/>
      <c r="F965" s="258"/>
      <c r="G965" s="258"/>
      <c r="H965" s="258"/>
      <c r="I965" s="258"/>
      <c r="J965" s="258"/>
      <c r="K965" s="258"/>
      <c r="L965" s="258"/>
      <c r="M965" s="258"/>
      <c r="N965" s="258"/>
      <c r="O965" s="258"/>
      <c r="P965" s="258"/>
      <c r="Q965" s="258"/>
    </row>
    <row r="966" ht="15.75" customHeight="1">
      <c r="B966" s="258"/>
      <c r="C966" s="258"/>
      <c r="D966" s="258"/>
      <c r="E966" s="258"/>
      <c r="F966" s="258"/>
      <c r="G966" s="258"/>
      <c r="H966" s="258"/>
      <c r="I966" s="258"/>
      <c r="J966" s="258"/>
      <c r="K966" s="258"/>
      <c r="L966" s="258"/>
      <c r="M966" s="258"/>
      <c r="N966" s="258"/>
      <c r="O966" s="258"/>
      <c r="P966" s="258"/>
      <c r="Q966" s="258"/>
    </row>
    <row r="967" ht="15.75" customHeight="1">
      <c r="B967" s="258"/>
      <c r="C967" s="258"/>
      <c r="D967" s="258"/>
      <c r="E967" s="258"/>
      <c r="F967" s="258"/>
      <c r="G967" s="258"/>
      <c r="H967" s="258"/>
      <c r="I967" s="258"/>
      <c r="J967" s="258"/>
      <c r="K967" s="258"/>
      <c r="L967" s="258"/>
      <c r="M967" s="258"/>
      <c r="N967" s="258"/>
      <c r="O967" s="258"/>
      <c r="P967" s="258"/>
      <c r="Q967" s="258"/>
    </row>
    <row r="968" ht="15.75" customHeight="1">
      <c r="B968" s="258"/>
      <c r="C968" s="258"/>
      <c r="D968" s="258"/>
      <c r="E968" s="258"/>
      <c r="F968" s="258"/>
      <c r="G968" s="258"/>
      <c r="H968" s="258"/>
      <c r="I968" s="258"/>
      <c r="J968" s="258"/>
      <c r="K968" s="258"/>
      <c r="L968" s="258"/>
      <c r="M968" s="258"/>
      <c r="N968" s="258"/>
      <c r="O968" s="258"/>
      <c r="P968" s="258"/>
      <c r="Q968" s="258"/>
    </row>
    <row r="969" ht="15.75" customHeight="1">
      <c r="B969" s="258"/>
      <c r="C969" s="258"/>
      <c r="D969" s="258"/>
      <c r="E969" s="258"/>
      <c r="F969" s="258"/>
      <c r="G969" s="258"/>
      <c r="H969" s="258"/>
      <c r="I969" s="258"/>
      <c r="J969" s="258"/>
      <c r="K969" s="258"/>
      <c r="L969" s="258"/>
      <c r="M969" s="258"/>
      <c r="N969" s="258"/>
      <c r="O969" s="258"/>
      <c r="P969" s="258"/>
      <c r="Q969" s="258"/>
    </row>
    <row r="970" ht="15.75" customHeight="1">
      <c r="B970" s="258"/>
      <c r="C970" s="258"/>
      <c r="D970" s="258"/>
      <c r="E970" s="258"/>
      <c r="F970" s="258"/>
      <c r="G970" s="258"/>
      <c r="H970" s="258"/>
      <c r="I970" s="258"/>
      <c r="J970" s="258"/>
      <c r="K970" s="258"/>
      <c r="L970" s="258"/>
      <c r="M970" s="258"/>
      <c r="N970" s="258"/>
      <c r="O970" s="258"/>
      <c r="P970" s="258"/>
      <c r="Q970" s="258"/>
    </row>
    <row r="971" ht="15.75" customHeight="1">
      <c r="B971" s="258"/>
      <c r="C971" s="258"/>
      <c r="D971" s="258"/>
      <c r="E971" s="258"/>
      <c r="F971" s="258"/>
      <c r="G971" s="258"/>
      <c r="H971" s="258"/>
      <c r="I971" s="258"/>
      <c r="J971" s="258"/>
      <c r="K971" s="258"/>
      <c r="L971" s="258"/>
      <c r="M971" s="258"/>
      <c r="N971" s="258"/>
      <c r="O971" s="258"/>
      <c r="P971" s="258"/>
      <c r="Q971" s="258"/>
    </row>
    <row r="972" ht="15.75" customHeight="1">
      <c r="B972" s="258"/>
      <c r="C972" s="258"/>
      <c r="D972" s="258"/>
      <c r="E972" s="258"/>
      <c r="F972" s="258"/>
      <c r="G972" s="258"/>
      <c r="H972" s="258"/>
      <c r="I972" s="258"/>
      <c r="J972" s="258"/>
      <c r="K972" s="258"/>
      <c r="L972" s="258"/>
      <c r="M972" s="258"/>
      <c r="N972" s="258"/>
      <c r="O972" s="258"/>
      <c r="P972" s="258"/>
      <c r="Q972" s="258"/>
    </row>
    <row r="973" ht="15.75" customHeight="1">
      <c r="B973" s="258"/>
      <c r="C973" s="258"/>
      <c r="D973" s="258"/>
      <c r="E973" s="258"/>
      <c r="F973" s="258"/>
      <c r="G973" s="258"/>
      <c r="H973" s="258"/>
      <c r="I973" s="258"/>
      <c r="J973" s="258"/>
      <c r="K973" s="258"/>
      <c r="L973" s="258"/>
      <c r="M973" s="258"/>
      <c r="N973" s="258"/>
      <c r="O973" s="258"/>
      <c r="P973" s="258"/>
      <c r="Q973" s="258"/>
    </row>
    <row r="974" ht="15.75" customHeight="1">
      <c r="B974" s="258"/>
      <c r="C974" s="258"/>
      <c r="D974" s="258"/>
      <c r="E974" s="258"/>
      <c r="F974" s="258"/>
      <c r="G974" s="258"/>
      <c r="H974" s="258"/>
      <c r="I974" s="258"/>
      <c r="J974" s="258"/>
      <c r="K974" s="258"/>
      <c r="L974" s="258"/>
      <c r="M974" s="258"/>
      <c r="N974" s="258"/>
      <c r="O974" s="258"/>
      <c r="P974" s="258"/>
      <c r="Q974" s="258"/>
    </row>
    <row r="975" ht="15.75" customHeight="1">
      <c r="B975" s="258"/>
      <c r="C975" s="258"/>
      <c r="D975" s="258"/>
      <c r="E975" s="258"/>
      <c r="F975" s="258"/>
      <c r="G975" s="258"/>
      <c r="H975" s="258"/>
      <c r="I975" s="258"/>
      <c r="J975" s="258"/>
      <c r="K975" s="258"/>
      <c r="L975" s="258"/>
      <c r="M975" s="258"/>
      <c r="N975" s="258"/>
      <c r="O975" s="258"/>
      <c r="P975" s="258"/>
      <c r="Q975" s="258"/>
    </row>
    <row r="976" ht="15.75" customHeight="1">
      <c r="B976" s="258"/>
      <c r="C976" s="258"/>
      <c r="D976" s="258"/>
      <c r="E976" s="258"/>
      <c r="F976" s="258"/>
      <c r="G976" s="258"/>
      <c r="H976" s="258"/>
      <c r="I976" s="258"/>
      <c r="J976" s="258"/>
      <c r="K976" s="258"/>
      <c r="L976" s="258"/>
      <c r="M976" s="258"/>
      <c r="N976" s="258"/>
      <c r="O976" s="258"/>
      <c r="P976" s="258"/>
      <c r="Q976" s="258"/>
    </row>
    <row r="977" ht="15.75" customHeight="1">
      <c r="B977" s="258"/>
      <c r="C977" s="258"/>
      <c r="D977" s="258"/>
      <c r="E977" s="258"/>
      <c r="F977" s="258"/>
      <c r="G977" s="258"/>
      <c r="H977" s="258"/>
      <c r="I977" s="258"/>
      <c r="J977" s="258"/>
      <c r="K977" s="258"/>
      <c r="L977" s="258"/>
      <c r="M977" s="258"/>
      <c r="N977" s="258"/>
      <c r="O977" s="258"/>
      <c r="P977" s="258"/>
      <c r="Q977" s="258"/>
    </row>
    <row r="978" ht="15.75" customHeight="1">
      <c r="B978" s="258"/>
      <c r="C978" s="258"/>
      <c r="D978" s="258"/>
      <c r="E978" s="258"/>
      <c r="F978" s="258"/>
      <c r="G978" s="258"/>
      <c r="H978" s="258"/>
      <c r="I978" s="258"/>
      <c r="J978" s="258"/>
      <c r="K978" s="258"/>
      <c r="L978" s="258"/>
      <c r="M978" s="258"/>
      <c r="N978" s="258"/>
      <c r="O978" s="258"/>
      <c r="P978" s="258"/>
      <c r="Q978" s="258"/>
    </row>
    <row r="979" ht="15.75" customHeight="1">
      <c r="B979" s="258"/>
      <c r="C979" s="258"/>
      <c r="D979" s="258"/>
      <c r="E979" s="258"/>
      <c r="F979" s="258"/>
      <c r="G979" s="258"/>
      <c r="H979" s="258"/>
      <c r="I979" s="258"/>
      <c r="J979" s="258"/>
      <c r="K979" s="258"/>
      <c r="L979" s="258"/>
      <c r="M979" s="258"/>
      <c r="N979" s="258"/>
      <c r="O979" s="258"/>
      <c r="P979" s="258"/>
      <c r="Q979" s="258"/>
    </row>
    <row r="980" ht="15.75" customHeight="1">
      <c r="B980" s="258"/>
      <c r="C980" s="258"/>
      <c r="D980" s="258"/>
      <c r="E980" s="258"/>
      <c r="F980" s="258"/>
      <c r="G980" s="258"/>
      <c r="H980" s="258"/>
      <c r="I980" s="258"/>
      <c r="J980" s="258"/>
      <c r="K980" s="258"/>
      <c r="L980" s="258"/>
      <c r="M980" s="258"/>
      <c r="N980" s="258"/>
      <c r="O980" s="258"/>
      <c r="P980" s="258"/>
      <c r="Q980" s="258"/>
    </row>
    <row r="981" ht="15.75" customHeight="1">
      <c r="B981" s="258"/>
      <c r="C981" s="258"/>
      <c r="D981" s="258"/>
      <c r="E981" s="258"/>
      <c r="F981" s="258"/>
      <c r="G981" s="258"/>
      <c r="H981" s="258"/>
      <c r="I981" s="258"/>
      <c r="J981" s="258"/>
      <c r="K981" s="258"/>
      <c r="L981" s="258"/>
      <c r="M981" s="258"/>
      <c r="N981" s="258"/>
      <c r="O981" s="258"/>
      <c r="P981" s="258"/>
      <c r="Q981" s="258"/>
    </row>
    <row r="982" ht="15.75" customHeight="1">
      <c r="B982" s="258"/>
      <c r="C982" s="258"/>
      <c r="D982" s="258"/>
      <c r="E982" s="258"/>
      <c r="F982" s="258"/>
      <c r="G982" s="258"/>
      <c r="H982" s="258"/>
      <c r="I982" s="258"/>
      <c r="J982" s="258"/>
      <c r="K982" s="258"/>
      <c r="L982" s="258"/>
      <c r="M982" s="258"/>
      <c r="N982" s="258"/>
      <c r="O982" s="258"/>
      <c r="P982" s="258"/>
      <c r="Q982" s="258"/>
    </row>
    <row r="983" ht="15.75" customHeight="1">
      <c r="B983" s="258"/>
      <c r="C983" s="258"/>
      <c r="D983" s="258"/>
      <c r="E983" s="258"/>
      <c r="F983" s="258"/>
      <c r="G983" s="258"/>
      <c r="H983" s="258"/>
      <c r="I983" s="258"/>
      <c r="J983" s="258"/>
      <c r="K983" s="258"/>
      <c r="L983" s="258"/>
      <c r="M983" s="258"/>
      <c r="N983" s="258"/>
      <c r="O983" s="258"/>
      <c r="P983" s="258"/>
      <c r="Q983" s="258"/>
    </row>
    <row r="984" ht="15.75" customHeight="1">
      <c r="B984" s="258"/>
      <c r="C984" s="258"/>
      <c r="D984" s="258"/>
      <c r="E984" s="258"/>
      <c r="F984" s="258"/>
      <c r="G984" s="258"/>
      <c r="H984" s="258"/>
      <c r="I984" s="258"/>
      <c r="J984" s="258"/>
      <c r="K984" s="258"/>
      <c r="L984" s="258"/>
      <c r="M984" s="258"/>
      <c r="N984" s="258"/>
      <c r="O984" s="258"/>
      <c r="P984" s="258"/>
      <c r="Q984" s="258"/>
    </row>
    <row r="985" ht="15.75" customHeight="1">
      <c r="B985" s="258"/>
      <c r="C985" s="258"/>
      <c r="D985" s="258"/>
      <c r="E985" s="258"/>
      <c r="F985" s="258"/>
      <c r="G985" s="258"/>
      <c r="H985" s="258"/>
      <c r="I985" s="258"/>
      <c r="J985" s="258"/>
      <c r="K985" s="258"/>
      <c r="L985" s="258"/>
      <c r="M985" s="258"/>
      <c r="N985" s="258"/>
      <c r="O985" s="258"/>
      <c r="P985" s="258"/>
      <c r="Q985" s="258"/>
    </row>
    <row r="986" ht="15.75" customHeight="1">
      <c r="B986" s="258"/>
      <c r="C986" s="258"/>
      <c r="D986" s="258"/>
      <c r="E986" s="258"/>
      <c r="F986" s="258"/>
      <c r="G986" s="258"/>
      <c r="H986" s="258"/>
      <c r="I986" s="258"/>
      <c r="J986" s="258"/>
      <c r="K986" s="258"/>
      <c r="L986" s="258"/>
      <c r="M986" s="258"/>
      <c r="N986" s="258"/>
      <c r="O986" s="258"/>
      <c r="P986" s="258"/>
      <c r="Q986" s="258"/>
    </row>
    <row r="987" ht="15.75" customHeight="1">
      <c r="B987" s="258"/>
      <c r="C987" s="258"/>
      <c r="D987" s="258"/>
      <c r="E987" s="258"/>
      <c r="F987" s="258"/>
      <c r="G987" s="258"/>
      <c r="H987" s="258"/>
      <c r="I987" s="258"/>
      <c r="J987" s="258"/>
      <c r="K987" s="258"/>
      <c r="L987" s="258"/>
      <c r="M987" s="258"/>
      <c r="N987" s="258"/>
      <c r="O987" s="258"/>
      <c r="P987" s="258"/>
      <c r="Q987" s="258"/>
    </row>
    <row r="988" ht="15.75" customHeight="1">
      <c r="B988" s="258"/>
      <c r="C988" s="258"/>
      <c r="D988" s="258"/>
      <c r="E988" s="258"/>
      <c r="F988" s="258"/>
      <c r="G988" s="258"/>
      <c r="H988" s="258"/>
      <c r="I988" s="258"/>
      <c r="J988" s="258"/>
      <c r="K988" s="258"/>
      <c r="L988" s="258"/>
      <c r="M988" s="258"/>
      <c r="N988" s="258"/>
      <c r="O988" s="258"/>
      <c r="P988" s="258"/>
      <c r="Q988" s="258"/>
    </row>
    <row r="989" ht="15.75" customHeight="1">
      <c r="B989" s="258"/>
      <c r="C989" s="258"/>
      <c r="D989" s="258"/>
      <c r="E989" s="258"/>
      <c r="F989" s="258"/>
      <c r="G989" s="258"/>
      <c r="H989" s="258"/>
      <c r="I989" s="258"/>
      <c r="J989" s="258"/>
      <c r="K989" s="258"/>
      <c r="L989" s="258"/>
      <c r="M989" s="258"/>
      <c r="N989" s="258"/>
      <c r="O989" s="258"/>
      <c r="P989" s="258"/>
      <c r="Q989" s="258"/>
    </row>
    <row r="990" ht="15.75" customHeight="1">
      <c r="B990" s="258"/>
      <c r="C990" s="258"/>
      <c r="D990" s="258"/>
      <c r="E990" s="258"/>
      <c r="F990" s="258"/>
      <c r="G990" s="258"/>
      <c r="H990" s="258"/>
      <c r="I990" s="258"/>
      <c r="J990" s="258"/>
      <c r="K990" s="258"/>
      <c r="L990" s="258"/>
      <c r="M990" s="258"/>
      <c r="N990" s="258"/>
      <c r="O990" s="258"/>
      <c r="P990" s="258"/>
      <c r="Q990" s="258"/>
    </row>
    <row r="991" ht="15.75" customHeight="1">
      <c r="B991" s="258"/>
      <c r="C991" s="258"/>
      <c r="D991" s="258"/>
      <c r="E991" s="258"/>
      <c r="F991" s="258"/>
      <c r="G991" s="258"/>
      <c r="H991" s="258"/>
      <c r="I991" s="258"/>
      <c r="J991" s="258"/>
      <c r="K991" s="258"/>
      <c r="L991" s="258"/>
      <c r="M991" s="258"/>
      <c r="N991" s="258"/>
      <c r="O991" s="258"/>
      <c r="P991" s="258"/>
      <c r="Q991" s="258"/>
    </row>
    <row r="992" ht="15.75" customHeight="1">
      <c r="B992" s="258"/>
      <c r="C992" s="258"/>
      <c r="D992" s="258"/>
      <c r="E992" s="258"/>
      <c r="F992" s="258"/>
      <c r="G992" s="258"/>
      <c r="H992" s="258"/>
      <c r="I992" s="258"/>
      <c r="J992" s="258"/>
      <c r="K992" s="258"/>
      <c r="L992" s="258"/>
      <c r="M992" s="258"/>
      <c r="N992" s="258"/>
      <c r="O992" s="258"/>
      <c r="P992" s="258"/>
      <c r="Q992" s="258"/>
    </row>
    <row r="993" ht="15.75" customHeight="1">
      <c r="B993" s="258"/>
      <c r="C993" s="258"/>
      <c r="D993" s="258"/>
      <c r="E993" s="258"/>
      <c r="F993" s="258"/>
      <c r="G993" s="258"/>
      <c r="H993" s="258"/>
      <c r="I993" s="258"/>
      <c r="J993" s="258"/>
      <c r="K993" s="258"/>
      <c r="L993" s="258"/>
      <c r="M993" s="258"/>
      <c r="N993" s="258"/>
      <c r="O993" s="258"/>
      <c r="P993" s="258"/>
      <c r="Q993" s="258"/>
    </row>
    <row r="994" ht="15.75" customHeight="1">
      <c r="B994" s="258"/>
      <c r="C994" s="258"/>
      <c r="D994" s="258"/>
      <c r="E994" s="258"/>
      <c r="F994" s="258"/>
      <c r="G994" s="258"/>
      <c r="H994" s="258"/>
      <c r="I994" s="258"/>
      <c r="J994" s="258"/>
      <c r="K994" s="258"/>
      <c r="L994" s="258"/>
      <c r="M994" s="258"/>
      <c r="N994" s="258"/>
      <c r="O994" s="258"/>
      <c r="P994" s="258"/>
      <c r="Q994" s="258"/>
    </row>
    <row r="995" ht="15.75" customHeight="1">
      <c r="B995" s="258"/>
      <c r="C995" s="258"/>
      <c r="D995" s="258"/>
      <c r="E995" s="258"/>
      <c r="F995" s="258"/>
      <c r="G995" s="258"/>
      <c r="H995" s="258"/>
      <c r="I995" s="258"/>
      <c r="J995" s="258"/>
      <c r="K995" s="258"/>
      <c r="L995" s="258"/>
      <c r="M995" s="258"/>
      <c r="N995" s="258"/>
      <c r="O995" s="258"/>
      <c r="P995" s="258"/>
      <c r="Q995" s="258"/>
    </row>
    <row r="996" ht="15.75" customHeight="1">
      <c r="B996" s="258"/>
      <c r="C996" s="258"/>
      <c r="D996" s="258"/>
      <c r="E996" s="258"/>
      <c r="F996" s="258"/>
      <c r="G996" s="258"/>
      <c r="H996" s="258"/>
      <c r="I996" s="258"/>
      <c r="J996" s="258"/>
      <c r="K996" s="258"/>
      <c r="L996" s="258"/>
      <c r="M996" s="258"/>
      <c r="N996" s="258"/>
      <c r="O996" s="258"/>
      <c r="P996" s="258"/>
      <c r="Q996" s="258"/>
    </row>
    <row r="997" ht="15.75" customHeight="1">
      <c r="B997" s="258"/>
      <c r="C997" s="258"/>
      <c r="D997" s="258"/>
      <c r="E997" s="258"/>
      <c r="F997" s="258"/>
      <c r="G997" s="258"/>
      <c r="H997" s="258"/>
      <c r="I997" s="258"/>
      <c r="J997" s="258"/>
      <c r="K997" s="258"/>
      <c r="L997" s="258"/>
      <c r="M997" s="258"/>
      <c r="N997" s="258"/>
      <c r="O997" s="258"/>
      <c r="P997" s="258"/>
      <c r="Q997" s="258"/>
    </row>
    <row r="998" ht="15.75" customHeight="1">
      <c r="B998" s="258"/>
      <c r="C998" s="258"/>
      <c r="D998" s="258"/>
      <c r="E998" s="258"/>
      <c r="F998" s="258"/>
      <c r="G998" s="258"/>
      <c r="H998" s="258"/>
      <c r="I998" s="258"/>
      <c r="J998" s="258"/>
      <c r="K998" s="258"/>
      <c r="L998" s="258"/>
      <c r="M998" s="258"/>
      <c r="N998" s="258"/>
      <c r="O998" s="258"/>
      <c r="P998" s="258"/>
      <c r="Q998" s="258"/>
    </row>
    <row r="999" ht="15.75" customHeight="1">
      <c r="B999" s="258"/>
      <c r="C999" s="258"/>
      <c r="D999" s="258"/>
      <c r="E999" s="258"/>
      <c r="F999" s="258"/>
      <c r="G999" s="258"/>
      <c r="H999" s="258"/>
      <c r="I999" s="258"/>
      <c r="J999" s="258"/>
      <c r="K999" s="258"/>
      <c r="L999" s="258"/>
      <c r="M999" s="258"/>
      <c r="N999" s="258"/>
      <c r="O999" s="258"/>
      <c r="P999" s="258"/>
      <c r="Q999" s="258"/>
    </row>
    <row r="1000" ht="15.75" customHeight="1">
      <c r="B1000" s="258"/>
      <c r="C1000" s="258"/>
      <c r="D1000" s="258"/>
      <c r="E1000" s="258"/>
      <c r="F1000" s="258"/>
      <c r="G1000" s="258"/>
      <c r="H1000" s="258"/>
      <c r="I1000" s="258"/>
      <c r="J1000" s="258"/>
      <c r="K1000" s="258"/>
      <c r="L1000" s="258"/>
      <c r="M1000" s="258"/>
      <c r="N1000" s="258"/>
      <c r="O1000" s="258"/>
      <c r="P1000" s="258"/>
      <c r="Q1000" s="258"/>
    </row>
  </sheetData>
  <mergeCells count="3">
    <mergeCell ref="L8:L9"/>
    <mergeCell ref="M8:O8"/>
    <mergeCell ref="B9:F9"/>
  </mergeCells>
  <hyperlinks>
    <hyperlink r:id="rId1" ref="C12"/>
    <hyperlink r:id="rId2" ref="F12"/>
    <hyperlink r:id="rId3" ref="L12"/>
    <hyperlink r:id="rId4" ref="C16"/>
    <hyperlink r:id="rId5" ref="F16"/>
    <hyperlink r:id="rId6" ref="L16"/>
    <hyperlink r:id="rId7" ref="F20"/>
    <hyperlink r:id="rId8" ref="L20"/>
    <hyperlink r:id="rId9" ref="F24"/>
    <hyperlink r:id="rId10" ref="L24"/>
    <hyperlink r:id="rId11" ref="C32"/>
    <hyperlink r:id="rId12" ref="F32"/>
    <hyperlink r:id="rId13" ref="L32"/>
  </hyperlinks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0"/>
    <col customWidth="1" min="3" max="3" width="20.0"/>
    <col customWidth="1" min="10" max="10" width="6.25"/>
    <col customWidth="1" min="11" max="11" width="15.63"/>
  </cols>
  <sheetData>
    <row r="1" ht="15.75" customHeight="1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B2" s="558" t="s">
        <v>288</v>
      </c>
      <c r="R2" s="5"/>
      <c r="S2" s="5"/>
      <c r="T2" s="5"/>
      <c r="U2" s="5"/>
      <c r="V2" s="5"/>
    </row>
    <row r="3" ht="15.7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B4" s="559" t="s">
        <v>289</v>
      </c>
      <c r="C4" s="366"/>
      <c r="D4" s="559"/>
      <c r="E4" s="366"/>
      <c r="F4" s="366"/>
      <c r="G4" s="5"/>
      <c r="H4" s="5"/>
      <c r="I4" s="5"/>
      <c r="J4" s="559" t="s">
        <v>290</v>
      </c>
      <c r="R4" s="5"/>
      <c r="S4" s="5"/>
      <c r="T4" s="5"/>
      <c r="U4" s="5"/>
      <c r="V4" s="5"/>
    </row>
    <row r="5" ht="15.75" customHeight="1">
      <c r="B5" s="560" t="s">
        <v>291</v>
      </c>
      <c r="C5" s="218" t="s">
        <v>292</v>
      </c>
      <c r="D5" s="561" t="s">
        <v>293</v>
      </c>
      <c r="E5" s="561" t="s">
        <v>463</v>
      </c>
      <c r="F5" s="561" t="s">
        <v>296</v>
      </c>
      <c r="G5" s="561" t="s">
        <v>297</v>
      </c>
      <c r="H5" s="5"/>
      <c r="I5" s="5"/>
      <c r="J5" s="218" t="s">
        <v>298</v>
      </c>
      <c r="L5" s="560" t="s">
        <v>299</v>
      </c>
      <c r="N5" s="560" t="s">
        <v>296</v>
      </c>
      <c r="P5" s="560" t="s">
        <v>297</v>
      </c>
      <c r="R5" s="5"/>
      <c r="S5" s="5"/>
      <c r="T5" s="5"/>
      <c r="U5" s="5"/>
      <c r="V5" s="5"/>
    </row>
    <row r="6" ht="15.75" customHeight="1">
      <c r="B6" s="288">
        <v>1.0</v>
      </c>
      <c r="C6" s="5" t="s">
        <v>496</v>
      </c>
      <c r="D6" s="458">
        <f>'Drying Details'!F10</f>
        <v>1000</v>
      </c>
      <c r="E6" s="258">
        <f>'Drying Details'!I10</f>
        <v>43</v>
      </c>
      <c r="F6" s="458">
        <f t="shared" ref="F6:F8" si="1">E6*D6</f>
        <v>43000</v>
      </c>
      <c r="G6" s="480">
        <f t="shared" ref="G6:G8" si="2">F6/E$9</f>
        <v>0.106713373</v>
      </c>
      <c r="H6" s="5"/>
      <c r="I6" s="5"/>
      <c r="L6" s="560" t="s">
        <v>21</v>
      </c>
      <c r="M6" s="560" t="s">
        <v>301</v>
      </c>
      <c r="N6" s="560" t="s">
        <v>21</v>
      </c>
      <c r="O6" s="560" t="s">
        <v>301</v>
      </c>
      <c r="P6" s="560" t="s">
        <v>21</v>
      </c>
      <c r="Q6" s="560" t="s">
        <v>301</v>
      </c>
      <c r="R6" s="5"/>
      <c r="S6" s="5"/>
      <c r="T6" s="5"/>
      <c r="U6" s="5"/>
      <c r="V6" s="5"/>
    </row>
    <row r="7" ht="15.75" customHeight="1">
      <c r="B7" s="288">
        <f t="shared" ref="B7:B8" si="5">B6+1</f>
        <v>2</v>
      </c>
      <c r="C7" s="5" t="s">
        <v>497</v>
      </c>
      <c r="D7" s="458">
        <f>'Drying Details'!F14</f>
        <v>349948.5602</v>
      </c>
      <c r="E7" s="479">
        <f>'Drying Details'!I14</f>
        <v>1</v>
      </c>
      <c r="F7" s="458">
        <f t="shared" si="1"/>
        <v>349948.5602</v>
      </c>
      <c r="G7" s="480">
        <f t="shared" si="2"/>
        <v>0.8684695635</v>
      </c>
      <c r="H7" s="5"/>
      <c r="I7" s="5"/>
      <c r="J7" s="562" t="s">
        <v>303</v>
      </c>
      <c r="K7" s="563"/>
      <c r="L7" s="564" t="s">
        <v>304</v>
      </c>
      <c r="M7" s="564" t="s">
        <v>304</v>
      </c>
      <c r="N7" s="565">
        <f t="shared" ref="N7:O7" si="3">SUM(N8:N16)</f>
        <v>870368.89</v>
      </c>
      <c r="O7" s="565">
        <f t="shared" si="3"/>
        <v>1019459.857</v>
      </c>
      <c r="P7" s="566">
        <f t="shared" ref="P7:Q7" si="4">N7/N$23</f>
        <v>0.7826086957</v>
      </c>
      <c r="Q7" s="566">
        <f t="shared" si="4"/>
        <v>0.7713414634</v>
      </c>
      <c r="R7" s="5"/>
      <c r="S7" s="5"/>
      <c r="T7" s="5"/>
      <c r="U7" s="5"/>
      <c r="V7" s="5"/>
    </row>
    <row r="8" ht="15.75" customHeight="1">
      <c r="B8" s="288">
        <f t="shared" si="5"/>
        <v>3</v>
      </c>
      <c r="C8" s="5" t="s">
        <v>498</v>
      </c>
      <c r="D8" s="458">
        <f>'Drying Details'!F18</f>
        <v>10000</v>
      </c>
      <c r="E8" s="479">
        <f>'Drying Details'!E3</f>
        <v>1</v>
      </c>
      <c r="F8" s="458">
        <f t="shared" si="1"/>
        <v>10000</v>
      </c>
      <c r="G8" s="480">
        <f t="shared" si="2"/>
        <v>0.02481706349</v>
      </c>
      <c r="H8" s="5"/>
      <c r="I8" s="5"/>
      <c r="J8" s="5"/>
      <c r="K8" s="378" t="s">
        <v>306</v>
      </c>
      <c r="L8" s="379" t="s">
        <v>304</v>
      </c>
      <c r="M8" s="379" t="s">
        <v>304</v>
      </c>
      <c r="N8" s="380">
        <f>E9</f>
        <v>402948.5602</v>
      </c>
      <c r="P8" s="381">
        <f t="shared" ref="P8:P16" si="7">N8/N$7</f>
        <v>0.462962963</v>
      </c>
      <c r="Q8" s="381">
        <f>N8/O$7</f>
        <v>0.395256917</v>
      </c>
      <c r="R8" s="5"/>
      <c r="S8" s="5"/>
      <c r="T8" s="5"/>
      <c r="U8" s="5"/>
      <c r="V8" s="5"/>
    </row>
    <row r="9" ht="15.75" customHeight="1">
      <c r="B9" s="567" t="s">
        <v>322</v>
      </c>
      <c r="E9" s="568">
        <f>SUM(F6:F12)</f>
        <v>402948.5602</v>
      </c>
      <c r="H9" s="5"/>
      <c r="I9" s="5"/>
      <c r="J9" s="5"/>
      <c r="K9" s="378" t="s">
        <v>308</v>
      </c>
      <c r="L9" s="379">
        <v>0.2</v>
      </c>
      <c r="M9" s="379">
        <v>0.5</v>
      </c>
      <c r="N9" s="383">
        <f t="shared" ref="N9:O9" si="6">L9*$N$8</f>
        <v>80589.71204</v>
      </c>
      <c r="O9" s="383">
        <f t="shared" si="6"/>
        <v>201474.2801</v>
      </c>
      <c r="P9" s="381">
        <f t="shared" si="7"/>
        <v>0.09259259259</v>
      </c>
      <c r="Q9" s="381">
        <f t="shared" ref="Q9:Q16" si="9">O9/O$7</f>
        <v>0.1976284585</v>
      </c>
      <c r="R9" s="5"/>
      <c r="S9" s="5"/>
      <c r="T9" s="5"/>
      <c r="U9" s="5"/>
      <c r="V9" s="5"/>
    </row>
    <row r="10" ht="15.75" customHeight="1">
      <c r="H10" s="5"/>
      <c r="I10" s="5"/>
      <c r="J10" s="5"/>
      <c r="K10" s="378" t="s">
        <v>310</v>
      </c>
      <c r="L10" s="379">
        <v>0.3</v>
      </c>
      <c r="M10" s="379">
        <v>0.4</v>
      </c>
      <c r="N10" s="383">
        <f t="shared" ref="N10:O10" si="8">L10*$N$8</f>
        <v>120884.5681</v>
      </c>
      <c r="O10" s="383">
        <f t="shared" si="8"/>
        <v>161179.4241</v>
      </c>
      <c r="P10" s="381">
        <f t="shared" si="7"/>
        <v>0.1388888889</v>
      </c>
      <c r="Q10" s="381">
        <f t="shared" si="9"/>
        <v>0.1581027668</v>
      </c>
      <c r="R10" s="5"/>
      <c r="S10" s="5"/>
      <c r="T10" s="5"/>
      <c r="U10" s="5"/>
      <c r="V10" s="5"/>
    </row>
    <row r="11" ht="15.75" customHeight="1">
      <c r="B11" s="288"/>
      <c r="C11" s="5"/>
      <c r="D11" s="458"/>
      <c r="E11" s="258"/>
      <c r="F11" s="458"/>
      <c r="G11" s="480"/>
      <c r="H11" s="5"/>
      <c r="I11" s="5"/>
      <c r="J11" s="5"/>
      <c r="K11" s="378" t="s">
        <v>312</v>
      </c>
      <c r="L11" s="379">
        <v>0.2</v>
      </c>
      <c r="M11" s="379">
        <v>0.35</v>
      </c>
      <c r="N11" s="383">
        <f t="shared" ref="N11:O11" si="10">L11*$N$8</f>
        <v>80589.71204</v>
      </c>
      <c r="O11" s="383">
        <f t="shared" si="10"/>
        <v>141031.9961</v>
      </c>
      <c r="P11" s="381">
        <f t="shared" si="7"/>
        <v>0.09259259259</v>
      </c>
      <c r="Q11" s="381">
        <f t="shared" si="9"/>
        <v>0.1383399209</v>
      </c>
      <c r="R11" s="5"/>
      <c r="S11" s="5"/>
      <c r="T11" s="5"/>
      <c r="U11" s="5"/>
      <c r="V11" s="5"/>
    </row>
    <row r="12" ht="15.75" customHeight="1">
      <c r="B12" s="288"/>
      <c r="C12" s="5"/>
      <c r="D12" s="458"/>
      <c r="E12" s="258"/>
      <c r="F12" s="458"/>
      <c r="G12" s="480"/>
      <c r="H12" s="5"/>
      <c r="I12" s="5"/>
      <c r="J12" s="5"/>
      <c r="K12" s="378" t="s">
        <v>314</v>
      </c>
      <c r="L12" s="379">
        <v>0.01</v>
      </c>
      <c r="M12" s="379">
        <v>0.03</v>
      </c>
      <c r="N12" s="383">
        <f t="shared" ref="N12:O12" si="11">L12*$N$8</f>
        <v>4029.485602</v>
      </c>
      <c r="O12" s="383">
        <f t="shared" si="11"/>
        <v>12088.45681</v>
      </c>
      <c r="P12" s="381">
        <f t="shared" si="7"/>
        <v>0.00462962963</v>
      </c>
      <c r="Q12" s="381">
        <f t="shared" si="9"/>
        <v>0.01185770751</v>
      </c>
      <c r="R12" s="5"/>
      <c r="S12" s="5"/>
      <c r="T12" s="5"/>
      <c r="U12" s="5"/>
      <c r="V12" s="5"/>
    </row>
    <row r="13" ht="15.75" customHeight="1">
      <c r="B13" s="5"/>
      <c r="C13" s="5"/>
      <c r="D13" s="5"/>
      <c r="E13" s="5"/>
      <c r="F13" s="5"/>
      <c r="G13" s="5"/>
      <c r="H13" s="5"/>
      <c r="I13" s="5"/>
      <c r="J13" s="5"/>
      <c r="K13" s="378" t="s">
        <v>316</v>
      </c>
      <c r="L13" s="379">
        <v>0.1</v>
      </c>
      <c r="M13" s="379">
        <v>0.15</v>
      </c>
      <c r="N13" s="383">
        <f t="shared" ref="N13:O13" si="12">L13*$N$8</f>
        <v>40294.85602</v>
      </c>
      <c r="O13" s="383">
        <f t="shared" si="12"/>
        <v>60442.28403</v>
      </c>
      <c r="P13" s="381">
        <f t="shared" si="7"/>
        <v>0.0462962963</v>
      </c>
      <c r="Q13" s="381">
        <f t="shared" si="9"/>
        <v>0.05928853755</v>
      </c>
      <c r="R13" s="5"/>
      <c r="S13" s="5"/>
      <c r="T13" s="5"/>
      <c r="U13" s="5"/>
      <c r="V13" s="5"/>
    </row>
    <row r="14" ht="15.75" customHeight="1">
      <c r="B14" s="5"/>
      <c r="C14" s="5"/>
      <c r="D14" s="5"/>
      <c r="E14" s="5"/>
      <c r="F14" s="5"/>
      <c r="G14" s="5"/>
      <c r="H14" s="5"/>
      <c r="I14" s="5"/>
      <c r="J14" s="5"/>
      <c r="K14" s="378" t="s">
        <v>318</v>
      </c>
      <c r="L14" s="379">
        <v>0.1</v>
      </c>
      <c r="M14" s="379">
        <v>0.45</v>
      </c>
      <c r="N14" s="383">
        <f t="shared" ref="N14:O14" si="13">L14*$N$8</f>
        <v>40294.85602</v>
      </c>
      <c r="O14" s="383">
        <f t="shared" si="13"/>
        <v>181326.8521</v>
      </c>
      <c r="P14" s="381">
        <f t="shared" si="7"/>
        <v>0.0462962963</v>
      </c>
      <c r="Q14" s="381">
        <f t="shared" si="9"/>
        <v>0.1778656126</v>
      </c>
      <c r="R14" s="5"/>
      <c r="S14" s="5"/>
      <c r="T14" s="5"/>
      <c r="U14" s="5"/>
      <c r="V14" s="5"/>
    </row>
    <row r="15" ht="15.75" customHeight="1">
      <c r="B15" s="288"/>
      <c r="C15" s="5"/>
      <c r="D15" s="5"/>
      <c r="E15" s="5"/>
      <c r="F15" s="5"/>
      <c r="G15" s="5"/>
      <c r="H15" s="5"/>
      <c r="I15" s="5"/>
      <c r="J15" s="5"/>
      <c r="K15" s="378" t="s">
        <v>320</v>
      </c>
      <c r="L15" s="379">
        <v>0.05</v>
      </c>
      <c r="M15" s="379">
        <v>0.15</v>
      </c>
      <c r="N15" s="383">
        <f t="shared" ref="N15:O15" si="14">L15*$N$8</f>
        <v>20147.42801</v>
      </c>
      <c r="O15" s="383">
        <f t="shared" si="14"/>
        <v>60442.28403</v>
      </c>
      <c r="P15" s="381">
        <f t="shared" si="7"/>
        <v>0.02314814815</v>
      </c>
      <c r="Q15" s="381">
        <f t="shared" si="9"/>
        <v>0.05928853755</v>
      </c>
      <c r="R15" s="5"/>
      <c r="S15" s="5"/>
      <c r="T15" s="5"/>
      <c r="U15" s="5"/>
      <c r="V15" s="5"/>
    </row>
    <row r="16" ht="15.75" customHeight="1">
      <c r="B16" s="288"/>
      <c r="C16" s="5"/>
      <c r="D16" s="5"/>
      <c r="E16" s="5"/>
      <c r="F16" s="5"/>
      <c r="G16" s="5"/>
      <c r="H16" s="5"/>
      <c r="I16" s="5"/>
      <c r="J16" s="5"/>
      <c r="K16" s="378" t="s">
        <v>321</v>
      </c>
      <c r="L16" s="379">
        <v>0.2</v>
      </c>
      <c r="M16" s="379">
        <v>0.5</v>
      </c>
      <c r="N16" s="383">
        <f t="shared" ref="N16:O16" si="15">L16*$N$8</f>
        <v>80589.71204</v>
      </c>
      <c r="O16" s="383">
        <f t="shared" si="15"/>
        <v>201474.2801</v>
      </c>
      <c r="P16" s="381">
        <f t="shared" si="7"/>
        <v>0.09259259259</v>
      </c>
      <c r="Q16" s="381">
        <f t="shared" si="9"/>
        <v>0.1976284585</v>
      </c>
      <c r="R16" s="5"/>
      <c r="S16" s="5"/>
      <c r="T16" s="5"/>
      <c r="U16" s="5"/>
      <c r="V16" s="5"/>
    </row>
    <row r="17" ht="15.75" customHeight="1">
      <c r="B17" s="288"/>
      <c r="C17" s="5"/>
      <c r="D17" s="5"/>
      <c r="E17" s="5"/>
      <c r="F17" s="5"/>
      <c r="G17" s="5"/>
      <c r="H17" s="5"/>
      <c r="I17" s="5"/>
      <c r="J17" s="562" t="s">
        <v>323</v>
      </c>
      <c r="K17" s="563"/>
      <c r="L17" s="564" t="s">
        <v>304</v>
      </c>
      <c r="M17" s="569" t="s">
        <v>304</v>
      </c>
      <c r="N17" s="565">
        <f t="shared" ref="N17:O17" si="16">SUM(N18:N19)</f>
        <v>201474.2801</v>
      </c>
      <c r="O17" s="565">
        <f t="shared" si="16"/>
        <v>241769.1361</v>
      </c>
      <c r="P17" s="566">
        <f t="shared" ref="P17:Q17" si="17">N17/N23</f>
        <v>0.1811594203</v>
      </c>
      <c r="Q17" s="566">
        <f t="shared" si="17"/>
        <v>0.1829268293</v>
      </c>
      <c r="R17" s="5"/>
      <c r="S17" s="5"/>
      <c r="T17" s="5"/>
      <c r="U17" s="5"/>
      <c r="V17" s="5"/>
    </row>
    <row r="18" ht="15.75" customHeight="1">
      <c r="B18" s="288"/>
      <c r="C18" s="5"/>
      <c r="D18" s="5"/>
      <c r="E18" s="5"/>
      <c r="F18" s="5"/>
      <c r="G18" s="5"/>
      <c r="H18" s="283">
        <f t="shared" ref="H18:I18" si="18">N18/N23</f>
        <v>0.07246376812</v>
      </c>
      <c r="I18" s="283">
        <f t="shared" si="18"/>
        <v>0.0762195122</v>
      </c>
      <c r="J18" s="5"/>
      <c r="K18" s="378" t="s">
        <v>324</v>
      </c>
      <c r="L18" s="379">
        <v>0.2</v>
      </c>
      <c r="M18" s="379">
        <v>0.25</v>
      </c>
      <c r="N18" s="383">
        <f t="shared" ref="N18:O18" si="19">L18*$N$8</f>
        <v>80589.71204</v>
      </c>
      <c r="O18" s="383">
        <f t="shared" si="19"/>
        <v>100737.14</v>
      </c>
      <c r="P18" s="381">
        <f t="shared" ref="P18:Q18" si="20">N18/N$17</f>
        <v>0.4</v>
      </c>
      <c r="Q18" s="381">
        <f t="shared" si="20"/>
        <v>0.4166666667</v>
      </c>
      <c r="R18" s="5"/>
      <c r="S18" s="5"/>
      <c r="T18" s="5"/>
      <c r="U18" s="5"/>
      <c r="V18" s="5"/>
    </row>
    <row r="19" ht="15.75" customHeight="1">
      <c r="B19" s="5"/>
      <c r="C19" s="5"/>
      <c r="D19" s="5"/>
      <c r="E19" s="5"/>
      <c r="F19" s="5"/>
      <c r="G19" s="5"/>
      <c r="H19" s="5"/>
      <c r="I19" s="5"/>
      <c r="J19" s="5"/>
      <c r="K19" s="378" t="s">
        <v>325</v>
      </c>
      <c r="L19" s="379">
        <v>0.3</v>
      </c>
      <c r="M19" s="379">
        <v>0.35</v>
      </c>
      <c r="N19" s="383">
        <f t="shared" ref="N19:O19" si="21">L19*$N$8</f>
        <v>120884.5681</v>
      </c>
      <c r="O19" s="383">
        <f t="shared" si="21"/>
        <v>141031.9961</v>
      </c>
      <c r="P19" s="381">
        <f t="shared" ref="P19:Q19" si="22">N19/N$17</f>
        <v>0.6</v>
      </c>
      <c r="Q19" s="381">
        <f t="shared" si="22"/>
        <v>0.5833333333</v>
      </c>
      <c r="R19" s="5"/>
      <c r="S19" s="5"/>
      <c r="T19" s="5"/>
      <c r="U19" s="5"/>
      <c r="V19" s="5"/>
    </row>
    <row r="20" ht="15.75" customHeight="1">
      <c r="B20" s="5"/>
      <c r="C20" s="5"/>
      <c r="D20" s="5"/>
      <c r="E20" s="5"/>
      <c r="F20" s="5"/>
      <c r="G20" s="5"/>
      <c r="H20" s="5"/>
      <c r="I20" s="5"/>
      <c r="J20" s="570" t="s">
        <v>326</v>
      </c>
      <c r="K20" s="563"/>
      <c r="L20" s="564" t="s">
        <v>304</v>
      </c>
      <c r="M20" s="569" t="s">
        <v>304</v>
      </c>
      <c r="N20" s="565">
        <f t="shared" ref="N20:O20" si="23">SUM(N21:N22)</f>
        <v>40294.85602</v>
      </c>
      <c r="O20" s="565">
        <f t="shared" si="23"/>
        <v>60442.28403</v>
      </c>
      <c r="P20" s="566">
        <f t="shared" ref="P20:Q20" si="24">N20/N23</f>
        <v>0.03623188406</v>
      </c>
      <c r="Q20" s="566">
        <f t="shared" si="24"/>
        <v>0.04573170732</v>
      </c>
      <c r="R20" s="5"/>
      <c r="S20" s="5"/>
      <c r="T20" s="5"/>
      <c r="U20" s="5"/>
      <c r="V20" s="5"/>
    </row>
    <row r="21" ht="15.75" customHeight="1">
      <c r="B21" s="5"/>
      <c r="C21" s="5"/>
      <c r="D21" s="5"/>
      <c r="E21" s="5"/>
      <c r="F21" s="5"/>
      <c r="G21" s="5"/>
      <c r="H21" s="5"/>
      <c r="I21" s="5"/>
      <c r="J21" s="5"/>
      <c r="K21" s="378" t="s">
        <v>327</v>
      </c>
      <c r="L21" s="379">
        <v>0.03</v>
      </c>
      <c r="M21" s="379">
        <v>0.05</v>
      </c>
      <c r="N21" s="383">
        <f t="shared" ref="N21:O21" si="25">L21*$N$8</f>
        <v>12088.45681</v>
      </c>
      <c r="O21" s="383">
        <f t="shared" si="25"/>
        <v>20147.42801</v>
      </c>
      <c r="P21" s="381">
        <f t="shared" ref="P21:Q21" si="26">N21/N$17</f>
        <v>0.06</v>
      </c>
      <c r="Q21" s="381">
        <f t="shared" si="26"/>
        <v>0.08333333333</v>
      </c>
      <c r="R21" s="5"/>
      <c r="S21" s="5"/>
      <c r="T21" s="5"/>
      <c r="U21" s="5"/>
      <c r="V21" s="5"/>
    </row>
    <row r="22" ht="15.75" customHeight="1">
      <c r="B22" s="5"/>
      <c r="C22" s="5"/>
      <c r="D22" s="5"/>
      <c r="E22" s="5"/>
      <c r="F22" s="5"/>
      <c r="G22" s="5"/>
      <c r="H22" s="5"/>
      <c r="I22" s="5"/>
      <c r="J22" s="5"/>
      <c r="K22" s="378" t="s">
        <v>328</v>
      </c>
      <c r="L22" s="379">
        <v>0.07</v>
      </c>
      <c r="M22" s="379">
        <v>0.1</v>
      </c>
      <c r="N22" s="383">
        <f t="shared" ref="N22:O22" si="27">L22*$N$8</f>
        <v>28206.39921</v>
      </c>
      <c r="O22" s="383">
        <f t="shared" si="27"/>
        <v>40294.85602</v>
      </c>
      <c r="P22" s="381">
        <f t="shared" ref="P22:Q22" si="28">N22/N$17</f>
        <v>0.14</v>
      </c>
      <c r="Q22" s="381">
        <f t="shared" si="28"/>
        <v>0.1666666667</v>
      </c>
      <c r="R22" s="5"/>
      <c r="S22" s="5"/>
      <c r="T22" s="5"/>
      <c r="U22" s="5"/>
      <c r="V22" s="5"/>
    </row>
    <row r="23" ht="15.75" customHeight="1">
      <c r="B23" s="5"/>
      <c r="C23" s="5"/>
      <c r="D23" s="5"/>
      <c r="E23" s="5"/>
      <c r="F23" s="5"/>
      <c r="G23" s="5"/>
      <c r="H23" s="283">
        <f>N8/N23</f>
        <v>0.3623188406</v>
      </c>
      <c r="I23" s="283">
        <f>N8/O23</f>
        <v>0.3048780488</v>
      </c>
      <c r="J23" s="567" t="s">
        <v>329</v>
      </c>
      <c r="N23" s="571">
        <f t="shared" ref="N23:O23" si="29">SUM(N7,N17,N20)</f>
        <v>1112138.026</v>
      </c>
      <c r="O23" s="571">
        <f t="shared" si="29"/>
        <v>1321671.277</v>
      </c>
      <c r="P23" s="218" t="s">
        <v>304</v>
      </c>
      <c r="Q23" s="218" t="s">
        <v>304</v>
      </c>
      <c r="R23" s="5"/>
      <c r="S23" s="5"/>
      <c r="T23" s="5"/>
      <c r="U23" s="5"/>
      <c r="V23" s="5"/>
    </row>
    <row r="24" ht="15.75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B26" s="5"/>
      <c r="C26" s="5"/>
      <c r="D26" s="5"/>
      <c r="E26" s="5"/>
      <c r="F26" s="5"/>
      <c r="G26" s="5"/>
      <c r="H26" s="5"/>
      <c r="I26" s="5"/>
      <c r="J26" s="572" t="s">
        <v>330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B27" s="5"/>
      <c r="C27" s="5"/>
      <c r="D27" s="5"/>
      <c r="E27" s="5"/>
      <c r="F27" s="5"/>
      <c r="G27" s="5"/>
      <c r="H27" s="5"/>
      <c r="I27" s="5"/>
      <c r="J27" s="218" t="s">
        <v>331</v>
      </c>
      <c r="L27" s="560" t="s">
        <v>332</v>
      </c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B28" s="5"/>
      <c r="C28" s="5"/>
      <c r="D28" s="5"/>
      <c r="E28" s="5"/>
      <c r="F28" s="5"/>
      <c r="G28" s="5"/>
      <c r="H28" s="5"/>
      <c r="I28" s="5"/>
      <c r="J28" s="5" t="s">
        <v>173</v>
      </c>
      <c r="L28" s="288">
        <v>2.0</v>
      </c>
      <c r="M28" s="392" t="s">
        <v>499</v>
      </c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342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B30" s="5"/>
      <c r="C30" s="5"/>
      <c r="D30" s="5"/>
      <c r="E30" s="5"/>
      <c r="F30" s="5"/>
      <c r="G30" s="5"/>
      <c r="H30" s="5"/>
      <c r="I30" s="5"/>
      <c r="J30" s="218" t="s">
        <v>334</v>
      </c>
      <c r="L30" s="218" t="s">
        <v>335</v>
      </c>
      <c r="M30" s="560" t="s">
        <v>336</v>
      </c>
      <c r="N30" s="560" t="s">
        <v>296</v>
      </c>
      <c r="O30" s="5"/>
      <c r="P30" s="5"/>
      <c r="Q30" s="5"/>
      <c r="R30" s="5"/>
      <c r="S30" s="5"/>
      <c r="T30" s="5"/>
      <c r="U30" s="5"/>
      <c r="V30" s="5"/>
    </row>
    <row r="31" ht="15.75" customHeight="1">
      <c r="B31" s="5"/>
      <c r="C31" s="5"/>
      <c r="D31" s="5"/>
      <c r="E31" s="5"/>
      <c r="F31" s="5"/>
      <c r="G31" s="5"/>
      <c r="H31" s="5"/>
      <c r="I31" s="5"/>
      <c r="J31" s="5" t="s">
        <v>337</v>
      </c>
      <c r="L31" s="5" t="s">
        <v>338</v>
      </c>
      <c r="M31" s="393">
        <v>3010.0</v>
      </c>
      <c r="N31" s="394">
        <f t="shared" ref="N31:N34" si="30">M31*L$28</f>
        <v>6020</v>
      </c>
      <c r="O31" s="5"/>
      <c r="P31" s="5"/>
      <c r="Q31" s="5"/>
      <c r="R31" s="5"/>
      <c r="S31" s="5"/>
      <c r="T31" s="5"/>
      <c r="U31" s="5"/>
      <c r="V31" s="5"/>
    </row>
    <row r="32" ht="15.75" customHeight="1">
      <c r="B32" s="5"/>
      <c r="C32" s="5"/>
      <c r="D32" s="5"/>
      <c r="E32" s="5"/>
      <c r="F32" s="5"/>
      <c r="G32" s="5"/>
      <c r="H32" s="5"/>
      <c r="I32" s="5"/>
      <c r="J32" s="5" t="s">
        <v>339</v>
      </c>
      <c r="L32" s="5" t="s">
        <v>340</v>
      </c>
      <c r="M32" s="393">
        <v>3800.0</v>
      </c>
      <c r="N32" s="394">
        <f t="shared" si="30"/>
        <v>7600</v>
      </c>
      <c r="O32" s="342" t="s">
        <v>341</v>
      </c>
      <c r="P32" s="5"/>
      <c r="Q32" s="5"/>
      <c r="R32" s="5"/>
      <c r="S32" s="5"/>
      <c r="T32" s="5"/>
      <c r="U32" s="5"/>
      <c r="V32" s="5"/>
    </row>
    <row r="33" ht="15.75" customHeight="1">
      <c r="B33" s="5"/>
      <c r="C33" s="5"/>
      <c r="D33" s="5"/>
      <c r="E33" s="5"/>
      <c r="F33" s="5"/>
      <c r="G33" s="5"/>
      <c r="H33" s="5"/>
      <c r="I33" s="5"/>
      <c r="J33" s="5" t="s">
        <v>342</v>
      </c>
      <c r="L33" s="5" t="s">
        <v>338</v>
      </c>
      <c r="M33" s="393">
        <v>417.0</v>
      </c>
      <c r="N33" s="394">
        <f t="shared" si="30"/>
        <v>834</v>
      </c>
      <c r="O33" s="5"/>
      <c r="P33" s="5"/>
      <c r="Q33" s="5"/>
      <c r="R33" s="5"/>
      <c r="S33" s="5"/>
      <c r="T33" s="5"/>
      <c r="U33" s="5"/>
      <c r="V33" s="5"/>
    </row>
    <row r="34" ht="15.75" customHeight="1">
      <c r="B34" s="5"/>
      <c r="C34" s="5"/>
      <c r="D34" s="5"/>
      <c r="E34" s="5"/>
      <c r="F34" s="5"/>
      <c r="G34" s="5"/>
      <c r="H34" s="5"/>
      <c r="I34" s="5"/>
      <c r="J34" s="5" t="s">
        <v>343</v>
      </c>
      <c r="L34" s="5" t="s">
        <v>338</v>
      </c>
      <c r="M34" s="393">
        <v>1660.0</v>
      </c>
      <c r="N34" s="394">
        <f t="shared" si="30"/>
        <v>3320</v>
      </c>
      <c r="O34" s="5"/>
      <c r="P34" s="5"/>
      <c r="Q34" s="5"/>
      <c r="R34" s="5"/>
      <c r="S34" s="5"/>
      <c r="T34" s="5"/>
      <c r="U34" s="5"/>
      <c r="V34" s="5"/>
    </row>
    <row r="35" ht="15.75" customHeight="1">
      <c r="B35" s="5"/>
      <c r="C35" s="5"/>
      <c r="D35" s="5"/>
      <c r="E35" s="5"/>
      <c r="F35" s="5"/>
      <c r="G35" s="5"/>
      <c r="H35" s="5"/>
      <c r="I35" s="5"/>
      <c r="J35" s="567" t="s">
        <v>344</v>
      </c>
      <c r="N35" s="573">
        <f>MIN(N31:N34)</f>
        <v>834</v>
      </c>
      <c r="O35" s="5"/>
      <c r="P35" s="5"/>
      <c r="Q35" s="5"/>
      <c r="R35" s="5"/>
      <c r="S35" s="5"/>
      <c r="T35" s="5"/>
      <c r="U35" s="5"/>
      <c r="V35" s="5"/>
    </row>
    <row r="36" ht="15.75" customHeight="1">
      <c r="B36" s="5"/>
      <c r="C36" s="5"/>
      <c r="D36" s="5"/>
      <c r="E36" s="5"/>
      <c r="F36" s="5"/>
      <c r="G36" s="5"/>
      <c r="H36" s="5"/>
      <c r="I36" s="5"/>
      <c r="J36" s="567" t="s">
        <v>345</v>
      </c>
      <c r="N36" s="573">
        <f>MAX(N31:N34)</f>
        <v>7600</v>
      </c>
      <c r="O36" s="5"/>
      <c r="P36" s="5"/>
      <c r="Q36" s="5"/>
      <c r="R36" s="5"/>
      <c r="S36" s="5"/>
      <c r="T36" s="5"/>
      <c r="U36" s="5"/>
      <c r="V36" s="5"/>
    </row>
    <row r="37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B39" s="395"/>
      <c r="C39" s="395"/>
      <c r="D39" s="395"/>
      <c r="E39" s="395"/>
      <c r="F39" s="395"/>
      <c r="G39" s="395"/>
      <c r="H39" s="395"/>
      <c r="I39" s="395"/>
      <c r="J39" s="395"/>
      <c r="K39" s="395"/>
      <c r="L39" s="395"/>
      <c r="M39" s="395"/>
      <c r="N39" s="395"/>
      <c r="O39" s="5"/>
      <c r="P39" s="5"/>
      <c r="Q39" s="5"/>
      <c r="R39" s="5"/>
      <c r="S39" s="5"/>
      <c r="T39" s="5"/>
      <c r="U39" s="5"/>
      <c r="V39" s="5"/>
    </row>
    <row r="40" ht="15.75" customHeight="1">
      <c r="B40" s="558" t="s">
        <v>346</v>
      </c>
      <c r="O40" s="5"/>
      <c r="P40" s="5"/>
      <c r="Q40" s="5"/>
      <c r="R40" s="5"/>
      <c r="S40" s="5"/>
      <c r="T40" s="5"/>
      <c r="U40" s="5"/>
      <c r="V40" s="5"/>
    </row>
    <row r="41" ht="15.7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B42" s="559" t="s">
        <v>347</v>
      </c>
      <c r="C42" s="366"/>
      <c r="D42" s="366"/>
      <c r="E42" s="366"/>
      <c r="F42" s="366"/>
      <c r="G42" s="5"/>
      <c r="H42" s="5"/>
      <c r="I42" s="5"/>
      <c r="J42" s="559" t="s">
        <v>348</v>
      </c>
      <c r="L42" s="5"/>
      <c r="M42" s="396" t="s">
        <v>429</v>
      </c>
      <c r="N42" s="397">
        <f>L28</f>
        <v>2</v>
      </c>
      <c r="O42" s="5"/>
      <c r="P42" s="5"/>
      <c r="Q42" s="5"/>
      <c r="R42" s="5"/>
      <c r="S42" s="5"/>
      <c r="T42" s="5"/>
      <c r="U42" s="5"/>
      <c r="V42" s="5"/>
    </row>
    <row r="43" ht="15.75" customHeight="1">
      <c r="B43" s="560" t="s">
        <v>350</v>
      </c>
      <c r="C43" s="218" t="s">
        <v>292</v>
      </c>
      <c r="D43" s="218" t="s">
        <v>351</v>
      </c>
      <c r="E43" s="218" t="s">
        <v>470</v>
      </c>
      <c r="F43" s="560" t="s">
        <v>296</v>
      </c>
      <c r="G43" s="560" t="s">
        <v>297</v>
      </c>
      <c r="H43" s="5"/>
      <c r="I43" s="5"/>
      <c r="J43" s="218" t="s">
        <v>182</v>
      </c>
      <c r="L43" s="560" t="s">
        <v>354</v>
      </c>
      <c r="M43" s="560" t="s">
        <v>355</v>
      </c>
      <c r="N43" s="560" t="s">
        <v>356</v>
      </c>
      <c r="O43" s="5"/>
      <c r="P43" s="5"/>
      <c r="Q43" s="5"/>
      <c r="R43" s="5"/>
      <c r="S43" s="5"/>
      <c r="T43" s="5"/>
      <c r="U43" s="5"/>
      <c r="V43" s="5"/>
    </row>
    <row r="44" ht="15.75" customHeight="1">
      <c r="B44" s="288" t="s">
        <v>304</v>
      </c>
      <c r="C44" s="5" t="s">
        <v>304</v>
      </c>
      <c r="D44" s="5" t="s">
        <v>304</v>
      </c>
      <c r="E44" s="5" t="s">
        <v>304</v>
      </c>
      <c r="F44" s="5" t="s">
        <v>304</v>
      </c>
      <c r="G44" s="5" t="s">
        <v>304</v>
      </c>
      <c r="H44" s="5"/>
      <c r="I44" s="5"/>
      <c r="J44" s="5" t="s">
        <v>500</v>
      </c>
      <c r="L44" s="288">
        <v>1.0</v>
      </c>
      <c r="M44" s="393">
        <f>M47*3</f>
        <v>219000</v>
      </c>
      <c r="N44" s="393">
        <f t="shared" ref="N44:N48" si="31">M44*L44</f>
        <v>219000</v>
      </c>
      <c r="O44" s="5"/>
      <c r="P44" s="5"/>
      <c r="Q44" s="5"/>
      <c r="R44" s="5"/>
      <c r="S44" s="5"/>
      <c r="T44" s="5"/>
      <c r="U44" s="5"/>
      <c r="V44" s="5"/>
    </row>
    <row r="45" ht="15.75" customHeight="1">
      <c r="B45" s="567" t="s">
        <v>322</v>
      </c>
      <c r="E45" s="567"/>
      <c r="H45" s="5"/>
      <c r="I45" s="5"/>
      <c r="J45" s="5" t="s">
        <v>501</v>
      </c>
      <c r="L45" s="288">
        <v>1.0</v>
      </c>
      <c r="M45" s="393">
        <f>M47*2.5</f>
        <v>182500</v>
      </c>
      <c r="N45" s="393">
        <f t="shared" si="31"/>
        <v>182500</v>
      </c>
      <c r="O45" s="5"/>
      <c r="P45" s="5"/>
      <c r="Q45" s="5"/>
      <c r="R45" s="5"/>
      <c r="S45" s="5"/>
      <c r="T45" s="5"/>
      <c r="U45" s="5"/>
      <c r="V45" s="5"/>
    </row>
    <row r="46" ht="15.75" customHeight="1">
      <c r="B46" s="5"/>
      <c r="C46" s="5"/>
      <c r="D46" s="5"/>
      <c r="E46" s="5"/>
      <c r="F46" s="5"/>
      <c r="G46" s="5"/>
      <c r="H46" s="5"/>
      <c r="I46" s="5"/>
      <c r="J46" s="5" t="s">
        <v>502</v>
      </c>
      <c r="L46" s="288">
        <v>1.0</v>
      </c>
      <c r="M46" s="393">
        <f>M47*2</f>
        <v>146000</v>
      </c>
      <c r="N46" s="393">
        <f t="shared" si="31"/>
        <v>146000</v>
      </c>
      <c r="O46" s="5"/>
      <c r="P46" s="5"/>
      <c r="Q46" s="5"/>
      <c r="R46" s="5"/>
      <c r="S46" s="5"/>
      <c r="T46" s="5"/>
      <c r="U46" s="5"/>
      <c r="V46" s="5"/>
    </row>
    <row r="47" ht="15.75" customHeight="1">
      <c r="B47" s="5"/>
      <c r="C47" s="5"/>
      <c r="D47" s="5"/>
      <c r="E47" s="5"/>
      <c r="F47" s="5"/>
      <c r="G47" s="5"/>
      <c r="H47" s="5"/>
      <c r="I47" s="396" t="s">
        <v>363</v>
      </c>
      <c r="J47" s="5" t="s">
        <v>131</v>
      </c>
      <c r="L47" s="403">
        <v>1.0</v>
      </c>
      <c r="M47" s="393">
        <f>'System Control &amp; Outputs'!$C$27*40*50</f>
        <v>73000</v>
      </c>
      <c r="N47" s="393">
        <f t="shared" si="31"/>
        <v>73000</v>
      </c>
      <c r="O47" s="472" t="s">
        <v>364</v>
      </c>
      <c r="P47" s="5"/>
      <c r="Q47" s="5"/>
      <c r="R47" s="5"/>
      <c r="S47" s="5"/>
      <c r="T47" s="5"/>
      <c r="U47" s="5"/>
      <c r="V47" s="5"/>
    </row>
    <row r="48" ht="15.75" customHeight="1">
      <c r="B48" s="559" t="s">
        <v>367</v>
      </c>
      <c r="C48" s="366"/>
      <c r="D48" s="366"/>
      <c r="E48" s="366"/>
      <c r="F48" s="366"/>
      <c r="G48" s="5"/>
      <c r="H48" s="5"/>
      <c r="I48" s="396" t="s">
        <v>363</v>
      </c>
      <c r="J48" s="5" t="s">
        <v>135</v>
      </c>
      <c r="L48" s="403">
        <f>ROUNDUP(N42/10)</f>
        <v>1</v>
      </c>
      <c r="M48" s="393">
        <f>'System Control &amp; Outputs'!$C$27*40*50</f>
        <v>73000</v>
      </c>
      <c r="N48" s="393">
        <f t="shared" si="31"/>
        <v>73000</v>
      </c>
      <c r="O48" s="472" t="s">
        <v>364</v>
      </c>
      <c r="P48" s="5"/>
      <c r="Q48" s="5"/>
      <c r="R48" s="5"/>
      <c r="S48" s="5"/>
      <c r="T48" s="5"/>
      <c r="U48" s="5"/>
      <c r="V48" s="5"/>
    </row>
    <row r="49" ht="15.75" customHeight="1">
      <c r="B49" s="560" t="s">
        <v>291</v>
      </c>
      <c r="C49" s="218" t="s">
        <v>292</v>
      </c>
      <c r="D49" s="218" t="s">
        <v>368</v>
      </c>
      <c r="E49" s="218" t="s">
        <v>352</v>
      </c>
      <c r="F49" s="560" t="s">
        <v>353</v>
      </c>
      <c r="G49" s="560" t="s">
        <v>297</v>
      </c>
      <c r="H49" s="5"/>
      <c r="I49" s="5"/>
      <c r="J49" s="567" t="s">
        <v>365</v>
      </c>
      <c r="L49" s="560">
        <f>SUM(L44:L48)</f>
        <v>5</v>
      </c>
      <c r="M49" s="574"/>
      <c r="N49" s="568">
        <f>SUM(N44:N48)</f>
        <v>693500</v>
      </c>
      <c r="O49" s="5"/>
      <c r="P49" s="5"/>
      <c r="Q49" s="5"/>
      <c r="R49" s="5"/>
      <c r="S49" s="5"/>
      <c r="T49" s="5"/>
      <c r="U49" s="5"/>
      <c r="V49" s="5"/>
    </row>
    <row r="50" ht="15.75" customHeight="1">
      <c r="B50" s="288">
        <v>1.0</v>
      </c>
      <c r="C50" s="5" t="s">
        <v>496</v>
      </c>
      <c r="D50" s="5" t="s">
        <v>370</v>
      </c>
      <c r="E50" s="350">
        <f>'Harvesting Details'!H13*'Harvesting Details'!I13*E6</f>
        <v>13511.76454</v>
      </c>
      <c r="F50" s="458">
        <f>E50*'System Control &amp; Outputs'!C$19</f>
        <v>5437.134053</v>
      </c>
      <c r="G50" s="359">
        <f t="shared" ref="G50:G51" si="32">F50/E$53</f>
        <v>0.2559049494</v>
      </c>
      <c r="H50" s="5"/>
      <c r="I50" s="396" t="s">
        <v>363</v>
      </c>
      <c r="J50" s="5" t="s">
        <v>136</v>
      </c>
      <c r="L50" s="288">
        <f>L48*2</f>
        <v>2</v>
      </c>
      <c r="M50" s="393">
        <f>'System Control &amp; Outputs'!$C$27*40*50</f>
        <v>73000</v>
      </c>
      <c r="N50" s="393">
        <f>M50*L50</f>
        <v>146000</v>
      </c>
      <c r="O50" s="5"/>
      <c r="P50" s="5"/>
      <c r="Q50" s="5"/>
      <c r="R50" s="5"/>
      <c r="S50" s="5"/>
      <c r="T50" s="5"/>
      <c r="U50" s="5"/>
      <c r="V50" s="5"/>
    </row>
    <row r="51" ht="15.75" customHeight="1">
      <c r="B51" s="288">
        <f t="shared" ref="B51:B52" si="33">B50+1</f>
        <v>2</v>
      </c>
      <c r="C51" s="5" t="s">
        <v>497</v>
      </c>
      <c r="D51" s="5" t="s">
        <v>503</v>
      </c>
      <c r="E51" s="350">
        <f>'Drying Details'!N14</f>
        <v>1342.18956</v>
      </c>
      <c r="F51" s="458">
        <f>'Drying Details'!P14</f>
        <v>15809.55956</v>
      </c>
      <c r="G51" s="359">
        <f t="shared" si="32"/>
        <v>0.7440950506</v>
      </c>
      <c r="H51" s="5"/>
      <c r="I51" s="5"/>
      <c r="J51" s="567" t="s">
        <v>366</v>
      </c>
      <c r="L51" s="560">
        <f>SUM(L44:L47)+L50</f>
        <v>6</v>
      </c>
      <c r="M51" s="574"/>
      <c r="N51" s="568">
        <f>SUM(N44:N47)+N50</f>
        <v>766500</v>
      </c>
      <c r="O51" s="5"/>
      <c r="P51" s="5"/>
      <c r="Q51" s="5"/>
      <c r="R51" s="5"/>
      <c r="S51" s="5"/>
      <c r="T51" s="5"/>
      <c r="U51" s="5"/>
      <c r="V51" s="5"/>
    </row>
    <row r="52" ht="15.75" customHeight="1">
      <c r="B52" s="288">
        <f t="shared" si="33"/>
        <v>3</v>
      </c>
      <c r="C52" s="5" t="s">
        <v>498</v>
      </c>
      <c r="D52" s="5" t="s">
        <v>304</v>
      </c>
      <c r="E52" s="350" t="s">
        <v>304</v>
      </c>
      <c r="F52" s="458" t="s">
        <v>304</v>
      </c>
      <c r="G52" s="258" t="s">
        <v>504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B53" s="567" t="s">
        <v>322</v>
      </c>
      <c r="E53" s="568">
        <f>SUM(F50:F55)</f>
        <v>21246.69361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B54" s="5" t="s">
        <v>373</v>
      </c>
      <c r="E54" s="520">
        <f>E50</f>
        <v>13511.76454</v>
      </c>
      <c r="F54" s="458"/>
      <c r="G54" s="35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B55" s="5" t="s">
        <v>98</v>
      </c>
      <c r="E55" s="520">
        <f>'Drying Details'!O14</f>
        <v>469497.908</v>
      </c>
      <c r="F55" s="458"/>
      <c r="G55" s="35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B56" s="559"/>
      <c r="C56" s="366"/>
      <c r="D56" s="366"/>
      <c r="E56" s="366"/>
      <c r="F56" s="36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B57" s="559" t="s">
        <v>374</v>
      </c>
      <c r="C57" s="366"/>
      <c r="D57" s="366"/>
      <c r="E57" s="366"/>
      <c r="F57" s="36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B58" s="560" t="s">
        <v>291</v>
      </c>
      <c r="C58" s="218" t="s">
        <v>292</v>
      </c>
      <c r="D58" s="218" t="s">
        <v>375</v>
      </c>
      <c r="E58" s="218" t="s">
        <v>376</v>
      </c>
      <c r="F58" s="561" t="s">
        <v>353</v>
      </c>
      <c r="G58" s="561" t="s">
        <v>297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B59" s="288">
        <v>1.0</v>
      </c>
      <c r="C59" s="5" t="s">
        <v>496</v>
      </c>
      <c r="D59" s="5" t="s">
        <v>474</v>
      </c>
      <c r="E59" s="356">
        <v>0.05</v>
      </c>
      <c r="F59" s="458">
        <f t="shared" ref="F59:F61" si="34">E59*F6</f>
        <v>2150</v>
      </c>
      <c r="G59" s="480">
        <f t="shared" ref="G59:G61" si="35">F59/E$62</f>
        <v>0.07978802596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B60" s="288">
        <f t="shared" ref="B60:B61" si="36">B59+1</f>
        <v>2</v>
      </c>
      <c r="C60" s="5" t="s">
        <v>497</v>
      </c>
      <c r="D60" s="5" t="s">
        <v>22</v>
      </c>
      <c r="E60" s="356">
        <v>0.07</v>
      </c>
      <c r="F60" s="458">
        <f t="shared" si="34"/>
        <v>24496.39921</v>
      </c>
      <c r="G60" s="480">
        <f t="shared" si="35"/>
        <v>0.9090787611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B61" s="288">
        <f t="shared" si="36"/>
        <v>3</v>
      </c>
      <c r="C61" s="5" t="s">
        <v>498</v>
      </c>
      <c r="D61" s="5" t="s">
        <v>21</v>
      </c>
      <c r="E61" s="356">
        <v>0.03</v>
      </c>
      <c r="F61" s="458">
        <f t="shared" si="34"/>
        <v>300</v>
      </c>
      <c r="G61" s="480">
        <f t="shared" si="35"/>
        <v>0.01113321292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B62" s="567" t="s">
        <v>322</v>
      </c>
      <c r="E62" s="568">
        <f>sum(F59:F61)</f>
        <v>26946.39921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B66" s="288"/>
      <c r="C66" s="5"/>
      <c r="D66" s="5"/>
      <c r="E66" s="356"/>
      <c r="F66" s="458"/>
      <c r="G66" s="480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B67" s="288"/>
      <c r="C67" s="5"/>
      <c r="D67" s="5"/>
      <c r="E67" s="356"/>
      <c r="F67" s="458"/>
      <c r="G67" s="480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B76" s="28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B77" s="28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B78" s="28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B79" s="28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8">
    <mergeCell ref="B2:Q2"/>
    <mergeCell ref="J4:Q4"/>
    <mergeCell ref="J5:K6"/>
    <mergeCell ref="L5:M5"/>
    <mergeCell ref="N5:O5"/>
    <mergeCell ref="P5:Q5"/>
    <mergeCell ref="N8:O8"/>
    <mergeCell ref="B9:D9"/>
    <mergeCell ref="E9:G9"/>
    <mergeCell ref="J23:M23"/>
    <mergeCell ref="J27:K27"/>
    <mergeCell ref="J28:K28"/>
    <mergeCell ref="J30:K30"/>
    <mergeCell ref="J31:K31"/>
    <mergeCell ref="J32:K32"/>
    <mergeCell ref="J33:K33"/>
    <mergeCell ref="J34:K34"/>
    <mergeCell ref="J35:M35"/>
    <mergeCell ref="J36:M36"/>
    <mergeCell ref="B40:N40"/>
    <mergeCell ref="J42:K42"/>
    <mergeCell ref="J43:K43"/>
    <mergeCell ref="J44:K44"/>
    <mergeCell ref="B45:D45"/>
    <mergeCell ref="E45:G45"/>
    <mergeCell ref="J45:K45"/>
    <mergeCell ref="J46:K46"/>
    <mergeCell ref="J47:K47"/>
    <mergeCell ref="B55:D55"/>
    <mergeCell ref="B62:D62"/>
    <mergeCell ref="E62:G62"/>
    <mergeCell ref="J48:K48"/>
    <mergeCell ref="J49:K49"/>
    <mergeCell ref="J50:K50"/>
    <mergeCell ref="J51:K51"/>
    <mergeCell ref="B53:D53"/>
    <mergeCell ref="E53:G53"/>
    <mergeCell ref="B54:D5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15.75" customHeight="1">
      <c r="B2" s="575" t="s">
        <v>505</v>
      </c>
      <c r="C2" s="5"/>
      <c r="D2" s="5"/>
      <c r="E2" s="408">
        <f>'Harvesting Details'!J5</f>
        <v>848.4131225</v>
      </c>
      <c r="F2" s="5"/>
      <c r="G2" s="5"/>
      <c r="H2" s="575" t="s">
        <v>506</v>
      </c>
      <c r="I2" s="5"/>
      <c r="J2" s="5"/>
      <c r="K2" s="283">
        <f>1-'Harvesting Details'!J4</f>
        <v>0.75</v>
      </c>
      <c r="L2" s="5"/>
      <c r="M2" s="5"/>
    </row>
    <row r="3" ht="15.75" customHeight="1">
      <c r="B3" s="575" t="s">
        <v>507</v>
      </c>
      <c r="C3" s="5"/>
      <c r="D3" s="5"/>
      <c r="E3" s="408">
        <f>'Harvesting Details'!E3</f>
        <v>1</v>
      </c>
      <c r="F3" s="5"/>
      <c r="G3" s="5"/>
      <c r="H3" s="575" t="s">
        <v>508</v>
      </c>
      <c r="I3" s="5"/>
      <c r="J3" s="5"/>
      <c r="K3" s="283">
        <v>0.05</v>
      </c>
      <c r="L3" s="5"/>
      <c r="M3" s="5"/>
    </row>
    <row r="4" ht="15.75" customHeight="1">
      <c r="B4" s="575" t="s">
        <v>509</v>
      </c>
      <c r="C4" s="5"/>
      <c r="D4" s="5"/>
      <c r="E4" s="408">
        <f>E2/E3</f>
        <v>848.4131225</v>
      </c>
      <c r="F4" s="5"/>
      <c r="G4" s="5"/>
      <c r="H4" s="575" t="s">
        <v>510</v>
      </c>
      <c r="I4" s="5"/>
      <c r="J4" s="5"/>
      <c r="K4" s="408">
        <f>E2*(K2-K3)</f>
        <v>593.8891858</v>
      </c>
      <c r="L4" s="5"/>
      <c r="M4" s="5"/>
    </row>
    <row r="5" ht="15.7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15.75" customHeight="1">
      <c r="B6" s="576" t="s">
        <v>381</v>
      </c>
      <c r="G6" s="5"/>
      <c r="H6" s="5"/>
      <c r="I6" s="5"/>
      <c r="J6" s="5" t="s">
        <v>511</v>
      </c>
      <c r="K6" s="577" t="s">
        <v>512</v>
      </c>
      <c r="L6" s="5"/>
      <c r="M6" s="5"/>
    </row>
    <row r="7" ht="15.75" customHeight="1">
      <c r="B7" s="258"/>
      <c r="C7" s="258"/>
      <c r="D7" s="258"/>
      <c r="E7" s="258"/>
      <c r="F7" s="258"/>
      <c r="G7" s="5"/>
      <c r="H7" s="5"/>
      <c r="I7" s="5"/>
      <c r="J7" s="5"/>
      <c r="K7" s="5"/>
      <c r="L7" s="5"/>
      <c r="M7" s="5"/>
    </row>
    <row r="8" ht="15.75" customHeight="1">
      <c r="A8" s="396"/>
      <c r="B8" s="575" t="s">
        <v>513</v>
      </c>
      <c r="C8" s="257"/>
      <c r="D8" s="257"/>
      <c r="E8" s="257"/>
      <c r="F8" s="257"/>
      <c r="G8" s="5"/>
      <c r="H8" s="5"/>
      <c r="I8" s="5"/>
      <c r="J8" s="5"/>
      <c r="K8" s="5"/>
      <c r="L8" s="5"/>
      <c r="M8" s="5"/>
    </row>
    <row r="9" ht="29.25" customHeight="1">
      <c r="B9" s="340" t="s">
        <v>402</v>
      </c>
      <c r="C9" s="578" t="s">
        <v>487</v>
      </c>
      <c r="D9" s="340" t="s">
        <v>390</v>
      </c>
      <c r="E9" s="340" t="s">
        <v>391</v>
      </c>
      <c r="F9" s="579" t="s">
        <v>392</v>
      </c>
      <c r="G9" s="345"/>
      <c r="H9" s="340" t="s">
        <v>488</v>
      </c>
      <c r="I9" s="340" t="s">
        <v>394</v>
      </c>
      <c r="J9" s="340" t="s">
        <v>395</v>
      </c>
      <c r="K9" s="346"/>
      <c r="L9" s="580" t="s">
        <v>396</v>
      </c>
      <c r="M9" s="340" t="s">
        <v>397</v>
      </c>
      <c r="N9" s="340" t="s">
        <v>398</v>
      </c>
      <c r="O9" s="340" t="s">
        <v>399</v>
      </c>
    </row>
    <row r="10" ht="15.75" customHeight="1">
      <c r="B10" s="346">
        <v>6.0</v>
      </c>
      <c r="C10" s="430">
        <v>20.0</v>
      </c>
      <c r="D10" s="346" t="s">
        <v>514</v>
      </c>
      <c r="E10" s="428" t="s">
        <v>304</v>
      </c>
      <c r="F10" s="428">
        <v>1000.0</v>
      </c>
      <c r="G10" s="345"/>
      <c r="H10" s="434">
        <f>E2</f>
        <v>848.4131225</v>
      </c>
      <c r="I10" s="346">
        <f>ROUNDUP(H10/C10)</f>
        <v>43</v>
      </c>
      <c r="J10" s="429">
        <f>F10*I10</f>
        <v>43000</v>
      </c>
      <c r="K10" s="346"/>
      <c r="L10" s="430">
        <v>15.0</v>
      </c>
      <c r="M10" s="346">
        <f>B10*'Sys Volume &amp; Area'!$B$12*I10</f>
        <v>85140</v>
      </c>
      <c r="N10" s="347">
        <f>L10*M10</f>
        <v>1277100</v>
      </c>
      <c r="O10" s="429">
        <f>N10*'System Control &amp; Outputs'!$C$19</f>
        <v>513905.04</v>
      </c>
    </row>
    <row r="11" ht="15.75" customHeight="1">
      <c r="B11" s="258"/>
      <c r="C11" s="258"/>
      <c r="D11" s="258"/>
      <c r="E11" s="258"/>
      <c r="F11" s="258"/>
      <c r="G11" s="5"/>
      <c r="H11" s="5"/>
      <c r="I11" s="5"/>
      <c r="J11" s="5"/>
      <c r="K11" s="5"/>
      <c r="L11" s="5"/>
      <c r="M11" s="5"/>
    </row>
    <row r="12" ht="15.75" customHeight="1">
      <c r="B12" s="575" t="s">
        <v>515</v>
      </c>
      <c r="C12" s="258"/>
      <c r="D12" s="258"/>
      <c r="E12" s="258"/>
      <c r="F12" s="258"/>
      <c r="G12" s="5"/>
      <c r="H12" s="466"/>
      <c r="I12" s="466"/>
      <c r="J12" s="5"/>
      <c r="K12" s="5"/>
      <c r="L12" s="5"/>
      <c r="M12" s="5"/>
    </row>
    <row r="13" ht="15.75" customHeight="1">
      <c r="B13" s="340" t="s">
        <v>402</v>
      </c>
      <c r="C13" s="340" t="s">
        <v>516</v>
      </c>
      <c r="D13" s="340" t="s">
        <v>390</v>
      </c>
      <c r="E13" s="340" t="s">
        <v>391</v>
      </c>
      <c r="F13" s="578" t="s">
        <v>517</v>
      </c>
      <c r="G13" s="5"/>
      <c r="H13" s="340" t="s">
        <v>488</v>
      </c>
      <c r="I13" s="340" t="s">
        <v>394</v>
      </c>
      <c r="J13" s="340" t="s">
        <v>395</v>
      </c>
      <c r="K13" s="5"/>
      <c r="L13" s="581" t="s">
        <v>518</v>
      </c>
      <c r="M13" s="581" t="s">
        <v>519</v>
      </c>
      <c r="N13" s="581" t="s">
        <v>520</v>
      </c>
      <c r="O13" s="340" t="s">
        <v>521</v>
      </c>
      <c r="P13" s="340" t="s">
        <v>399</v>
      </c>
    </row>
    <row r="14" ht="15.75" customHeight="1">
      <c r="B14" s="258">
        <f>B10</f>
        <v>6</v>
      </c>
      <c r="C14" s="479">
        <f>K4/E3</f>
        <v>593.8891858</v>
      </c>
      <c r="D14" s="346" t="s">
        <v>522</v>
      </c>
      <c r="E14" s="458">
        <f>190000+180*(C14)^0.9</f>
        <v>246442.648</v>
      </c>
      <c r="F14" s="458">
        <f>E14*1.42</f>
        <v>349948.5602</v>
      </c>
      <c r="G14" s="458"/>
      <c r="H14" s="434" t="s">
        <v>304</v>
      </c>
      <c r="I14" s="447">
        <f>E3</f>
        <v>1</v>
      </c>
      <c r="J14" s="429">
        <f>F14*I14</f>
        <v>349948.5602</v>
      </c>
      <c r="K14" s="5"/>
      <c r="L14" s="520">
        <v>2260.0</v>
      </c>
      <c r="M14" s="283">
        <v>0.25</v>
      </c>
      <c r="N14" s="364">
        <f>L14*K4/1000</f>
        <v>1342.18956</v>
      </c>
      <c r="O14" s="364">
        <f>N14*330*1.06</f>
        <v>469497.908</v>
      </c>
      <c r="P14" s="198">
        <f>O14*'System Control &amp; Outputs'!C20</f>
        <v>15809.55956</v>
      </c>
    </row>
    <row r="15" ht="15.75" customHeight="1">
      <c r="B15" s="258"/>
      <c r="C15" s="258"/>
      <c r="D15" s="258"/>
      <c r="E15" s="258"/>
      <c r="F15" s="258"/>
      <c r="G15" s="5"/>
      <c r="H15" s="466"/>
      <c r="I15" s="466"/>
      <c r="J15" s="466"/>
      <c r="K15" s="5"/>
      <c r="L15" s="5"/>
      <c r="M15" s="5"/>
    </row>
    <row r="16" ht="15.75" customHeight="1">
      <c r="B16" s="582" t="s">
        <v>523</v>
      </c>
      <c r="C16" s="258"/>
      <c r="D16" s="258"/>
      <c r="E16" s="258"/>
      <c r="F16" s="258"/>
      <c r="G16" s="5"/>
      <c r="H16" s="5"/>
      <c r="I16" s="5"/>
      <c r="J16" s="5"/>
      <c r="K16" s="5"/>
      <c r="L16" s="5"/>
      <c r="M16" s="5"/>
    </row>
    <row r="17" ht="30.0" customHeight="1">
      <c r="B17" s="340" t="s">
        <v>524</v>
      </c>
      <c r="C17" s="340" t="s">
        <v>525</v>
      </c>
      <c r="D17" s="340" t="s">
        <v>526</v>
      </c>
      <c r="E17" s="583" t="s">
        <v>527</v>
      </c>
      <c r="F17" s="580" t="s">
        <v>528</v>
      </c>
      <c r="G17" s="578" t="s">
        <v>529</v>
      </c>
      <c r="H17" s="5"/>
      <c r="I17" s="5"/>
      <c r="J17" s="5"/>
      <c r="K17" s="5"/>
      <c r="L17" s="5"/>
      <c r="M17" s="5"/>
    </row>
    <row r="18" ht="15.75" customHeight="1">
      <c r="B18" s="258">
        <v>14.0</v>
      </c>
      <c r="C18" s="479">
        <f>'System Control &amp; Outputs'!G5/'System Control &amp; Outputs'!C6</f>
        <v>2.457004403</v>
      </c>
      <c r="D18" s="479">
        <f>C18*B18</f>
        <v>34.39806164</v>
      </c>
      <c r="E18" s="350">
        <f>D18/E3</f>
        <v>34.39806164</v>
      </c>
      <c r="F18" s="458">
        <v>10000.0</v>
      </c>
      <c r="G18" s="458">
        <f>F18*E3</f>
        <v>10000</v>
      </c>
      <c r="H18" s="5"/>
      <c r="I18" s="5"/>
      <c r="J18" s="5"/>
      <c r="K18" s="5"/>
      <c r="L18" s="5"/>
      <c r="M18" s="5"/>
    </row>
    <row r="19" ht="15.75" customHeight="1">
      <c r="B19" s="258"/>
      <c r="C19" s="258"/>
      <c r="D19" s="258"/>
      <c r="E19" s="258"/>
      <c r="F19" s="258"/>
      <c r="G19" s="5"/>
      <c r="H19" s="5"/>
      <c r="I19" s="5"/>
      <c r="J19" s="5"/>
      <c r="K19" s="5"/>
      <c r="L19" s="5"/>
      <c r="M19" s="5"/>
    </row>
    <row r="20" ht="15.75" customHeight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5.7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5.75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15.75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5.75" customHeight="1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5.75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5.75" customHeight="1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5.75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84"/>
    </row>
    <row r="29" ht="15.75" customHeight="1">
      <c r="B29" s="5"/>
      <c r="C29" s="5"/>
      <c r="D29" s="5"/>
      <c r="E29" s="5"/>
      <c r="F29" s="5"/>
      <c r="G29" s="5"/>
      <c r="H29" s="5"/>
      <c r="I29" s="5"/>
      <c r="J29" s="466"/>
      <c r="K29" s="466"/>
      <c r="L29" s="466"/>
      <c r="M29" s="466"/>
    </row>
    <row r="30" ht="15.75" customHeight="1">
      <c r="B30" s="5"/>
      <c r="C30" s="5"/>
      <c r="D30" s="5"/>
      <c r="E30" s="5"/>
      <c r="F30" s="5"/>
      <c r="G30" s="5"/>
      <c r="H30" s="5"/>
      <c r="I30" s="5"/>
      <c r="J30" s="5"/>
      <c r="K30" s="197"/>
      <c r="L30" s="197"/>
      <c r="M30" s="197"/>
    </row>
    <row r="31" ht="15.75" customHeight="1">
      <c r="B31" s="5"/>
      <c r="C31" s="5"/>
      <c r="D31" s="5"/>
      <c r="E31" s="5"/>
      <c r="F31" s="5"/>
      <c r="G31" s="5"/>
      <c r="H31" s="5"/>
      <c r="I31" s="5"/>
      <c r="J31" s="5"/>
      <c r="K31" s="384"/>
      <c r="L31" s="5"/>
      <c r="M31" s="5"/>
    </row>
    <row r="32" ht="15.75" customHeight="1">
      <c r="B32" s="5"/>
      <c r="C32" s="5"/>
      <c r="D32" s="5"/>
      <c r="E32" s="5"/>
      <c r="F32" s="5"/>
      <c r="G32" s="5"/>
      <c r="H32" s="5"/>
      <c r="I32" s="5"/>
      <c r="J32" s="466"/>
      <c r="K32" s="585"/>
      <c r="L32" s="5"/>
      <c r="M32" s="5"/>
    </row>
    <row r="33" ht="15.7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5.7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5.7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5.7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5.7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5.7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5.7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5.7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5.7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5.75" customHeigh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5.7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5.7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5.7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5.7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5.7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5.7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5.7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5.7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5.7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5.7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5.7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5.7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5.7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5.7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5.7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5.7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5.7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5.7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5.7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5.7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5.7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5.7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5.7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5.7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5.7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5.75" customHeight="1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5.75" customHeight="1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5.75" customHeight="1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5.75" customHeight="1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5.75" customHeight="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5.75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5.75" customHeight="1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5.75" customHeight="1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5.75" customHeight="1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5.75" customHeight="1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5.75" customHeight="1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5.75" customHeight="1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5.75" customHeight="1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5.75" customHeight="1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5.75" customHeight="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5.75" customHeight="1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5.75" customHeight="1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5.75" customHeight="1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5.75" customHeight="1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5.75" customHeight="1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5.75" customHeight="1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5.75" customHeight="1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5.75" customHeight="1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5.75" customHeight="1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5.7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5.75" customHeight="1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5.75" customHeight="1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5.75" customHeight="1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5.75" customHeight="1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5.75" customHeight="1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5.75" customHeight="1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5.75" customHeight="1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5.75" customHeight="1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5.75" customHeight="1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5.7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5.75" customHeight="1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5.75" customHeight="1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5.75" customHeight="1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5.75" customHeight="1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5.75" customHeight="1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5.75" customHeight="1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5.75" customHeight="1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5.75" customHeight="1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5.75" customHeight="1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5.7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5.75" customHeight="1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5.75" customHeight="1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5.75" customHeight="1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5.75" customHeight="1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5.75" customHeight="1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5.75" customHeight="1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5.75" customHeight="1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5.75" customHeight="1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5.75" customHeight="1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5.7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5.75" customHeight="1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5.75" customHeight="1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5.75" customHeight="1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5.75" customHeight="1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5.75" customHeight="1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5.75" customHeight="1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5.75" customHeight="1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5.75" customHeight="1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5.75" customHeight="1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5.75" customHeight="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5.75" customHeight="1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5.75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5.75" customHeight="1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5.75" customHeight="1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6:F6"/>
  </mergeCells>
  <hyperlinks>
    <hyperlink r:id="rId1" ref="K6"/>
    <hyperlink r:id="rId2" ref="F9"/>
    <hyperlink r:id="rId3" ref="L9"/>
    <hyperlink r:id="rId4" ref="F17"/>
  </hyperlinks>
  <drawing r:id="rId5"/>
</worksheet>
</file>